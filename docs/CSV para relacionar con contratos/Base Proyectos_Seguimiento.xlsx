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namedSheetViews/namedSheetView1.xml" ContentType="application/vnd.ms-excel.namedsheetviews+xml"/>
  <Override PartName="/xl/pivotTables/pivotTable1.xml" ContentType="application/vnd.openxmlformats-officedocument.spreadsheetml.pivotTable+xml"/>
  <Override PartName="/xl/tables/table2.xml" ContentType="application/vnd.openxmlformats-officedocument.spreadsheetml.table+xml"/>
  <Override PartName="/xl/comments3.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jvillanueva\Downloads\"/>
    </mc:Choice>
  </mc:AlternateContent>
  <xr:revisionPtr revIDLastSave="0" documentId="13_ncr:1_{3B92FB75-3765-4083-9490-708BE6BF6D4B}" xr6:coauthVersionLast="47" xr6:coauthVersionMax="47" xr10:uidLastSave="{00000000-0000-0000-0000-000000000000}"/>
  <bookViews>
    <workbookView xWindow="-110" yWindow="-110" windowWidth="19420" windowHeight="11500" tabRatio="835" firstSheet="1" activeTab="1" xr2:uid="{00000000-000D-0000-FFFF-FFFF00000000}"/>
  </bookViews>
  <sheets>
    <sheet name="Contratos Marco" sheetId="4" r:id="rId1"/>
    <sheet name="Proyectos Base digitable" sheetId="18" r:id="rId2"/>
    <sheet name="Proyectos" sheetId="1" r:id="rId3"/>
    <sheet name="PD_2024_2027" sheetId="19" r:id="rId4"/>
    <sheet name="Registro Fotografico" sheetId="17" r:id="rId5"/>
    <sheet name="Diccionario de Conceptos" sheetId="9" r:id="rId6"/>
    <sheet name="Listas" sheetId="2" r:id="rId7"/>
    <sheet name="Dinámicas" sheetId="6" r:id="rId8"/>
    <sheet name="Reporte" sheetId="12" r:id="rId9"/>
    <sheet name="Hoja1" sheetId="20" r:id="rId10"/>
  </sheets>
  <externalReferences>
    <externalReference r:id="rId11"/>
    <externalReference r:id="rId12"/>
  </externalReferences>
  <definedNames>
    <definedName name="_xlnm._FilterDatabase" localSheetId="9" hidden="1">Hoja1!$B$3:$F$36</definedName>
    <definedName name="_xlnm._FilterDatabase" localSheetId="3" hidden="1">PD_2024_2027!$A$2:$E$210</definedName>
    <definedName name="_xlnm._FilterDatabase" localSheetId="2" hidden="1">Proyectos!#REF!</definedName>
    <definedName name="_xlnm._FilterDatabase" localSheetId="1" hidden="1">'Proyectos Base digitable'!$A$1:$BF$325</definedName>
    <definedName name="CÓDIGOS_TIPO_DE_FUENTES_DE_FINANCIACIÓN">'[1]Fuentes de Financiación'!$B$3:$B$218</definedName>
    <definedName name="Energia_Sostenible" localSheetId="3">PD_2024_2027!#REF!</definedName>
    <definedName name="Energia_Sostenible">Listas!#REF!</definedName>
    <definedName name="SALDO_PPT">[1]Presentación!$E$3</definedName>
    <definedName name="SALDO_TES">[1]Presentación!$G$3</definedName>
    <definedName name="_xlnm.Print_Titles" localSheetId="9">Hoja1!$B:$F,Hoja1!$43:$43</definedName>
  </definedNames>
  <calcPr calcId="191029"/>
  <pivotCaches>
    <pivotCache cacheId="0" r:id="rId13"/>
    <pivotCache cacheId="1" r:id="rId14"/>
    <pivotCache cacheId="2"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T322" i="18" l="1"/>
  <c r="AT323" i="18"/>
  <c r="AT324" i="18"/>
  <c r="AT325" i="18"/>
  <c r="AT251" i="18"/>
  <c r="AT252" i="18"/>
  <c r="AT253" i="18"/>
  <c r="AT254" i="18"/>
  <c r="AT255" i="18"/>
  <c r="AT256" i="18"/>
  <c r="AT257" i="18"/>
  <c r="AT258" i="18"/>
  <c r="AT259" i="18"/>
  <c r="AT260" i="18"/>
  <c r="AT261" i="18"/>
  <c r="AT262" i="18"/>
  <c r="AT263" i="18"/>
  <c r="AT264" i="18"/>
  <c r="AT265" i="18"/>
  <c r="AT266" i="18"/>
  <c r="AT267" i="18"/>
  <c r="AT268" i="18"/>
  <c r="AT269" i="18"/>
  <c r="AT270" i="18"/>
  <c r="AT271" i="18"/>
  <c r="AT272" i="18"/>
  <c r="AT273" i="18"/>
  <c r="AT274" i="18"/>
  <c r="AT275" i="18"/>
  <c r="AT276" i="18"/>
  <c r="AT277" i="18"/>
  <c r="AT278" i="18"/>
  <c r="AT279" i="18"/>
  <c r="AT280" i="18"/>
  <c r="AT281" i="18"/>
  <c r="AT282" i="18"/>
  <c r="AT283" i="18"/>
  <c r="AT284" i="18"/>
  <c r="AT285" i="18"/>
  <c r="AT286" i="18"/>
  <c r="AT287" i="18"/>
  <c r="AT288" i="18"/>
  <c r="AT289" i="18"/>
  <c r="AT290" i="18"/>
  <c r="AT291" i="18"/>
  <c r="AT292" i="18"/>
  <c r="AT293" i="18"/>
  <c r="AT294" i="18"/>
  <c r="AT295" i="18"/>
  <c r="AT296" i="18"/>
  <c r="AT297" i="18"/>
  <c r="AT298" i="18"/>
  <c r="AT299" i="18"/>
  <c r="AT300" i="18"/>
  <c r="AT301" i="18"/>
  <c r="AT302" i="18"/>
  <c r="AT303" i="18"/>
  <c r="AT304" i="18"/>
  <c r="AT305" i="18"/>
  <c r="AT306" i="18"/>
  <c r="AT307" i="18"/>
  <c r="AT308" i="18"/>
  <c r="AT309" i="18"/>
  <c r="AT310" i="18"/>
  <c r="AT311" i="18"/>
  <c r="AT312" i="18"/>
  <c r="AT313" i="18"/>
  <c r="AT314" i="18"/>
  <c r="AT315" i="18"/>
  <c r="AT316" i="18"/>
  <c r="AT317" i="18"/>
  <c r="AT318" i="18"/>
  <c r="AT319" i="18"/>
  <c r="AT320" i="18"/>
  <c r="AT321" i="18"/>
  <c r="AT240" i="18"/>
  <c r="AT241" i="18"/>
  <c r="AT242" i="18"/>
  <c r="AT243" i="18"/>
  <c r="AT244" i="18"/>
  <c r="AT245" i="18"/>
  <c r="AT246" i="18"/>
  <c r="AT247" i="18"/>
  <c r="AT248" i="18"/>
  <c r="AT249" i="18"/>
  <c r="AT250" i="18"/>
  <c r="AT235" i="18"/>
  <c r="AT236" i="18"/>
  <c r="AT237" i="18"/>
  <c r="AT238" i="18"/>
  <c r="AT239" i="18"/>
  <c r="AO310" i="18"/>
  <c r="AO311" i="18"/>
  <c r="AO312" i="18"/>
  <c r="AO313" i="18"/>
  <c r="AO314" i="18"/>
  <c r="AO315" i="18"/>
  <c r="AO316" i="18"/>
  <c r="AO317" i="18"/>
  <c r="AO318" i="18"/>
  <c r="AO319" i="18"/>
  <c r="AO320" i="18"/>
  <c r="AT109" i="18"/>
  <c r="AT110" i="18"/>
  <c r="AT111" i="18"/>
  <c r="AT112" i="18"/>
  <c r="AT113" i="18"/>
  <c r="AT114" i="18"/>
  <c r="AT115" i="18"/>
  <c r="AO109" i="18"/>
  <c r="AO110" i="18"/>
  <c r="AO111" i="18"/>
  <c r="AO112" i="18"/>
  <c r="AO113" i="18"/>
  <c r="AO114" i="18"/>
  <c r="AO115" i="18"/>
  <c r="S109" i="18"/>
  <c r="T109" i="18" s="1" a="1"/>
  <c r="T109" i="18" s="1"/>
  <c r="Z109" i="18" s="1"/>
  <c r="AA109" i="18" s="1"/>
  <c r="S110" i="18"/>
  <c r="T110" i="18" s="1" a="1"/>
  <c r="T110" i="18" s="1"/>
  <c r="Z110" i="18" s="1"/>
  <c r="AA110" i="18" s="1"/>
  <c r="S111" i="18"/>
  <c r="T111" i="18" s="1" a="1"/>
  <c r="T111" i="18" s="1"/>
  <c r="Z111" i="18" s="1"/>
  <c r="AA111" i="18" s="1"/>
  <c r="S112" i="18"/>
  <c r="T112" i="18" s="1" a="1"/>
  <c r="T112" i="18" s="1"/>
  <c r="Z112" i="18" s="1"/>
  <c r="AA112" i="18" s="1"/>
  <c r="A2" i="1"/>
  <c r="B2" i="1"/>
  <c r="C2" i="1"/>
  <c r="D2" i="1"/>
  <c r="P314" i="18" l="1"/>
  <c r="P320" i="18"/>
  <c r="P313" i="18"/>
  <c r="P317" i="18"/>
  <c r="P316" i="18"/>
  <c r="P315" i="18"/>
  <c r="P318" i="18"/>
  <c r="P319" i="18"/>
  <c r="S250" i="18"/>
  <c r="S251" i="18"/>
  <c r="S252" i="18"/>
  <c r="S253" i="18"/>
  <c r="S254" i="18"/>
  <c r="S255" i="18"/>
  <c r="S256" i="18"/>
  <c r="S257" i="18"/>
  <c r="S258" i="18"/>
  <c r="S259" i="18"/>
  <c r="S260" i="18"/>
  <c r="S261" i="18"/>
  <c r="S262" i="18"/>
  <c r="S263" i="18"/>
  <c r="S264" i="18"/>
  <c r="S265" i="18"/>
  <c r="S266" i="18"/>
  <c r="S267" i="18"/>
  <c r="S268" i="18"/>
  <c r="S269" i="18"/>
  <c r="S270" i="18"/>
  <c r="S271" i="18"/>
  <c r="S272" i="18"/>
  <c r="S273" i="18"/>
  <c r="S274" i="18"/>
  <c r="S275" i="18"/>
  <c r="S276" i="18"/>
  <c r="S277" i="18"/>
  <c r="S278" i="18"/>
  <c r="S279" i="18"/>
  <c r="S280" i="18"/>
  <c r="S281" i="18"/>
  <c r="S282" i="18"/>
  <c r="S283" i="18"/>
  <c r="S284" i="18"/>
  <c r="S285" i="18"/>
  <c r="S286" i="18"/>
  <c r="S287" i="18"/>
  <c r="S288" i="18"/>
  <c r="S289" i="18"/>
  <c r="S290" i="18"/>
  <c r="S291" i="18"/>
  <c r="S292" i="18"/>
  <c r="S293" i="18"/>
  <c r="S294" i="18"/>
  <c r="S295" i="18"/>
  <c r="S296" i="18"/>
  <c r="S297" i="18"/>
  <c r="S298" i="18"/>
  <c r="S299" i="18"/>
  <c r="S300" i="18"/>
  <c r="S301" i="18"/>
  <c r="S302" i="18"/>
  <c r="S303" i="18"/>
  <c r="S304" i="18"/>
  <c r="S305" i="18"/>
  <c r="S306" i="18"/>
  <c r="S307" i="18"/>
  <c r="S308" i="18"/>
  <c r="S309" i="18"/>
  <c r="S310" i="18"/>
  <c r="S311" i="18"/>
  <c r="S312" i="18"/>
  <c r="S313" i="18"/>
  <c r="S314" i="18"/>
  <c r="S315" i="18"/>
  <c r="S316" i="18"/>
  <c r="S317" i="18"/>
  <c r="S318" i="18"/>
  <c r="S319" i="18"/>
  <c r="S320" i="18"/>
  <c r="S248" i="18" l="1"/>
  <c r="T248" i="18" s="1" a="1"/>
  <c r="T248" i="18" s="1"/>
  <c r="Z248" i="18" s="1"/>
  <c r="AA248" i="18" s="1"/>
  <c r="AO324" i="18" l="1"/>
  <c r="S324" i="18"/>
  <c r="A3" i="18"/>
  <c r="A4" i="18" s="1"/>
  <c r="A5" i="18" s="1"/>
  <c r="A6" i="18" s="1"/>
  <c r="A7" i="18" s="1"/>
  <c r="A8" i="18" s="1"/>
  <c r="A9" i="18" s="1"/>
  <c r="A10" i="18" s="1"/>
  <c r="A11" i="18" s="1"/>
  <c r="A12" i="18" s="1"/>
  <c r="A13" i="18" s="1"/>
  <c r="A14" i="18" s="1"/>
  <c r="A15" i="18" s="1"/>
  <c r="A16" i="18" s="1"/>
  <c r="A17" i="18" s="1"/>
  <c r="A18" i="18" s="1"/>
  <c r="A19" i="18" s="1"/>
  <c r="A20" i="18" s="1"/>
  <c r="A21" i="18" s="1"/>
  <c r="A22" i="18" s="1"/>
  <c r="A23" i="18" s="1"/>
  <c r="A24" i="18" s="1"/>
  <c r="A25" i="18" s="1"/>
  <c r="A26" i="18" s="1"/>
  <c r="A27" i="18" s="1"/>
  <c r="A28" i="18" s="1"/>
  <c r="A29" i="18" s="1"/>
  <c r="A30" i="18" s="1"/>
  <c r="A31" i="18" s="1"/>
  <c r="A32" i="18" s="1"/>
  <c r="A33" i="18" s="1"/>
  <c r="A34" i="18" s="1"/>
  <c r="A35" i="18" s="1"/>
  <c r="A36" i="18" s="1"/>
  <c r="A37" i="18" s="1"/>
  <c r="A38" i="18" s="1"/>
  <c r="A39" i="18" s="1"/>
  <c r="A40" i="18" s="1"/>
  <c r="A41" i="18" s="1"/>
  <c r="A42" i="18" s="1"/>
  <c r="A43" i="18" s="1"/>
  <c r="A44" i="18" s="1"/>
  <c r="A45" i="18" s="1"/>
  <c r="A46" i="18" s="1"/>
  <c r="A47" i="18" s="1"/>
  <c r="A48" i="18" s="1"/>
  <c r="A49" i="18" s="1"/>
  <c r="A50" i="18" s="1"/>
  <c r="A51" i="18" s="1"/>
  <c r="A52" i="18" s="1"/>
  <c r="A53" i="18" s="1"/>
  <c r="A54" i="18" s="1"/>
  <c r="A55" i="18" s="1"/>
  <c r="A56" i="18" s="1"/>
  <c r="A57" i="18" s="1"/>
  <c r="A58" i="18" s="1"/>
  <c r="AT36" i="18"/>
  <c r="AO36" i="18"/>
  <c r="S36" i="18"/>
  <c r="H36" i="18"/>
  <c r="AT35" i="18"/>
  <c r="AO35" i="18"/>
  <c r="S35" i="18"/>
  <c r="H35" i="18"/>
  <c r="AT34" i="18"/>
  <c r="AO34" i="18"/>
  <c r="S34" i="18"/>
  <c r="H34" i="18"/>
  <c r="AT33" i="18"/>
  <c r="AO33" i="18"/>
  <c r="S33" i="18"/>
  <c r="H33" i="18"/>
  <c r="AT32" i="18"/>
  <c r="AO32" i="18"/>
  <c r="S32" i="18"/>
  <c r="H32" i="18"/>
  <c r="AT31" i="18"/>
  <c r="AO31" i="18"/>
  <c r="S31" i="18"/>
  <c r="H31" i="18"/>
  <c r="Z30" i="18"/>
  <c r="AA30" i="18" s="1"/>
  <c r="H30" i="18"/>
  <c r="AT29" i="18"/>
  <c r="AO29" i="18"/>
  <c r="S29" i="18"/>
  <c r="H29" i="18"/>
  <c r="AT28" i="18"/>
  <c r="AO28" i="18"/>
  <c r="S28" i="18"/>
  <c r="H28" i="18"/>
  <c r="AO27" i="18"/>
  <c r="P27" i="18" s="1"/>
  <c r="S27" i="18"/>
  <c r="K27" i="18"/>
  <c r="H27" i="18"/>
  <c r="AO26" i="18"/>
  <c r="P26" i="18" s="1"/>
  <c r="S26" i="18"/>
  <c r="K26" i="18"/>
  <c r="H26" i="18"/>
  <c r="AO25" i="18"/>
  <c r="P25" i="18" s="1"/>
  <c r="S25" i="18"/>
  <c r="K25" i="18"/>
  <c r="H25" i="18"/>
  <c r="AO24" i="18"/>
  <c r="P24" i="18" s="1"/>
  <c r="S24" i="18"/>
  <c r="K24" i="18"/>
  <c r="H24" i="18"/>
  <c r="AO23" i="18"/>
  <c r="P23" i="18" s="1"/>
  <c r="S23" i="18"/>
  <c r="K23" i="18"/>
  <c r="H23" i="18"/>
  <c r="AT22" i="18"/>
  <c r="AO22" i="18"/>
  <c r="S22" i="18"/>
  <c r="K22" i="18"/>
  <c r="H22" i="18"/>
  <c r="AT21" i="18"/>
  <c r="AO21" i="18"/>
  <c r="S21" i="18"/>
  <c r="K21" i="18"/>
  <c r="H21" i="18"/>
  <c r="AT20" i="18"/>
  <c r="AO20" i="18"/>
  <c r="P20" i="18" s="1"/>
  <c r="S20" i="18"/>
  <c r="K20" i="18"/>
  <c r="H20" i="18"/>
  <c r="AT19" i="18"/>
  <c r="AO19" i="18"/>
  <c r="S19" i="18"/>
  <c r="K19" i="18"/>
  <c r="H19" i="18"/>
  <c r="AT18" i="18"/>
  <c r="AO18" i="18"/>
  <c r="S18" i="18"/>
  <c r="K18" i="18"/>
  <c r="H18" i="18"/>
  <c r="AT17" i="18"/>
  <c r="AO17" i="18"/>
  <c r="S17" i="18"/>
  <c r="K17" i="18"/>
  <c r="H17" i="18"/>
  <c r="AT16" i="18"/>
  <c r="AO16" i="18"/>
  <c r="S16" i="18"/>
  <c r="K16" i="18"/>
  <c r="H16" i="18"/>
  <c r="AO15" i="18"/>
  <c r="K15" i="18"/>
  <c r="H15" i="18"/>
  <c r="AT14" i="18"/>
  <c r="AO14" i="18"/>
  <c r="S14" i="18"/>
  <c r="K14" i="18"/>
  <c r="H14" i="18"/>
  <c r="AO13" i="18"/>
  <c r="P13" i="18" s="1"/>
  <c r="S13" i="18"/>
  <c r="AO12" i="18"/>
  <c r="P12" i="18" s="1"/>
  <c r="S12" i="18"/>
  <c r="AO11" i="18"/>
  <c r="P11" i="18" s="1"/>
  <c r="S11" i="18"/>
  <c r="AO10" i="18"/>
  <c r="P10" i="18" s="1"/>
  <c r="S10" i="18"/>
  <c r="AO9" i="18"/>
  <c r="P9" i="18" s="1"/>
  <c r="S9" i="18"/>
  <c r="AO8" i="18"/>
  <c r="P8" i="18" s="1"/>
  <c r="S8" i="18"/>
  <c r="AO7" i="18"/>
  <c r="P7" i="18" s="1"/>
  <c r="S7" i="18"/>
  <c r="AO6" i="18"/>
  <c r="P6" i="18" s="1"/>
  <c r="S6" i="18"/>
  <c r="AO5" i="18"/>
  <c r="P5" i="18" s="1"/>
  <c r="S5" i="18"/>
  <c r="AO4" i="18"/>
  <c r="P4" i="18" s="1"/>
  <c r="S4" i="18"/>
  <c r="AO3" i="18"/>
  <c r="P3" i="18" s="1"/>
  <c r="S3" i="18"/>
  <c r="AO2" i="18"/>
  <c r="P2" i="18" s="1"/>
  <c r="S2" i="18"/>
  <c r="P22" i="18" l="1"/>
  <c r="T22" i="18" s="1" a="1"/>
  <c r="T22" i="18" s="1"/>
  <c r="Z22" i="18" s="1"/>
  <c r="AA22" i="18" s="1"/>
  <c r="P14" i="18"/>
  <c r="T14" i="18" s="1" a="1"/>
  <c r="T14" i="18" s="1"/>
  <c r="Z14" i="18" s="1"/>
  <c r="AA14" i="18" s="1"/>
  <c r="P16" i="18"/>
  <c r="P18" i="18"/>
  <c r="T18" i="18" s="1" a="1"/>
  <c r="T18" i="18" s="1"/>
  <c r="Z18" i="18" s="1"/>
  <c r="AA18" i="18" s="1"/>
  <c r="P17" i="18"/>
  <c r="P19" i="18"/>
  <c r="T19" i="18" s="1" a="1"/>
  <c r="T19" i="18" s="1"/>
  <c r="Z19" i="18" s="1"/>
  <c r="AA19" i="18" s="1"/>
  <c r="P21" i="18"/>
  <c r="T21" i="18" s="1" a="1"/>
  <c r="T21" i="18" s="1"/>
  <c r="Z21" i="18" s="1"/>
  <c r="AA21" i="18" s="1"/>
  <c r="P15" i="18"/>
  <c r="T15" i="18" s="1" a="1"/>
  <c r="T15" i="18" s="1"/>
  <c r="Z15" i="18" s="1"/>
  <c r="P28" i="18"/>
  <c r="T28" i="18" s="1" a="1"/>
  <c r="T28" i="18" s="1"/>
  <c r="Z28" i="18" s="1"/>
  <c r="AA28" i="18" s="1"/>
  <c r="P324" i="18"/>
  <c r="T324" i="18" s="1" a="1"/>
  <c r="T324" i="18" s="1"/>
  <c r="Z324" i="18" s="1"/>
  <c r="P31" i="18"/>
  <c r="T31" i="18" s="1" a="1"/>
  <c r="T31" i="18" s="1"/>
  <c r="Z31" i="18" s="1"/>
  <c r="AA31" i="18" s="1"/>
  <c r="P33" i="18"/>
  <c r="T33" i="18" s="1" a="1"/>
  <c r="T33" i="18" s="1"/>
  <c r="Z33" i="18" s="1"/>
  <c r="AA33" i="18" s="1"/>
  <c r="P34" i="18"/>
  <c r="T34" i="18" s="1" a="1"/>
  <c r="T34" i="18" s="1"/>
  <c r="Z34" i="18" s="1"/>
  <c r="AA34" i="18" s="1"/>
  <c r="P36" i="18"/>
  <c r="T36" i="18" s="1" a="1"/>
  <c r="T36" i="18" s="1"/>
  <c r="Z36" i="18" s="1"/>
  <c r="AA36" i="18" s="1"/>
  <c r="T7" i="18" a="1"/>
  <c r="T7" i="18" s="1"/>
  <c r="Z7" i="18" s="1"/>
  <c r="AA7" i="18" s="1"/>
  <c r="T11" i="18" a="1"/>
  <c r="T11" i="18" s="1"/>
  <c r="Z11" i="18" s="1"/>
  <c r="AA11" i="18" s="1"/>
  <c r="T27" i="18" a="1"/>
  <c r="T27" i="18" s="1"/>
  <c r="Z27" i="18" s="1"/>
  <c r="AA27" i="18" s="1"/>
  <c r="T17" i="18" a="1"/>
  <c r="T17" i="18" s="1"/>
  <c r="Z17" i="18" s="1"/>
  <c r="AA17" i="18" s="1"/>
  <c r="T5" i="18" a="1"/>
  <c r="T5" i="18" s="1"/>
  <c r="Z5" i="18" s="1"/>
  <c r="AA5" i="18" s="1"/>
  <c r="T23" i="18" a="1"/>
  <c r="T23" i="18" s="1"/>
  <c r="Z23" i="18" s="1"/>
  <c r="AA23" i="18" s="1"/>
  <c r="P35" i="18"/>
  <c r="T35" i="18" s="1" a="1"/>
  <c r="T35" i="18" s="1"/>
  <c r="Z35" i="18" s="1"/>
  <c r="AA35" i="18" s="1"/>
  <c r="T10" i="18" a="1"/>
  <c r="T10" i="18" s="1"/>
  <c r="Z10" i="18" s="1"/>
  <c r="AA10" i="18" s="1"/>
  <c r="P32" i="18"/>
  <c r="T32" i="18" s="1" a="1"/>
  <c r="T32" i="18" s="1"/>
  <c r="Z32" i="18" s="1"/>
  <c r="AA32" i="18" s="1"/>
  <c r="T6" i="18" a="1"/>
  <c r="T6" i="18" s="1"/>
  <c r="Z6" i="18" s="1"/>
  <c r="AA6" i="18" s="1"/>
  <c r="T12" i="18" a="1"/>
  <c r="T12" i="18" s="1"/>
  <c r="Z12" i="18" s="1"/>
  <c r="AA12" i="18" s="1"/>
  <c r="T9" i="18" a="1"/>
  <c r="T9" i="18" s="1"/>
  <c r="Z9" i="18" s="1"/>
  <c r="AA9" i="18" s="1"/>
  <c r="T3" i="18" a="1"/>
  <c r="T3" i="18" s="1"/>
  <c r="Z3" i="18" s="1"/>
  <c r="AA3" i="18" s="1"/>
  <c r="T24" i="18" a="1"/>
  <c r="T24" i="18" s="1"/>
  <c r="Z24" i="18" s="1"/>
  <c r="AA24" i="18" s="1"/>
  <c r="T2" i="18" a="1"/>
  <c r="T2" i="18" s="1"/>
  <c r="Z2" i="18" s="1"/>
  <c r="AA2" i="18" s="1"/>
  <c r="T26" i="18" a="1"/>
  <c r="T26" i="18" s="1"/>
  <c r="Z26" i="18" s="1"/>
  <c r="AA26" i="18" s="1"/>
  <c r="T4" i="18" a="1"/>
  <c r="T4" i="18" s="1"/>
  <c r="Z4" i="18" s="1"/>
  <c r="AA4" i="18" s="1"/>
  <c r="T20" i="18" a="1"/>
  <c r="T20" i="18" s="1"/>
  <c r="Z20" i="18" s="1"/>
  <c r="AA20" i="18" s="1"/>
  <c r="P29" i="18"/>
  <c r="T29" i="18" s="1" a="1"/>
  <c r="T29" i="18" s="1"/>
  <c r="Z29" i="18" s="1"/>
  <c r="AA29" i="18" s="1"/>
  <c r="T8" i="18" a="1"/>
  <c r="T8" i="18" s="1"/>
  <c r="Z8" i="18" s="1"/>
  <c r="AA8" i="18" s="1"/>
  <c r="T13" i="18" a="1"/>
  <c r="T13" i="18" s="1"/>
  <c r="Z13" i="18" s="1"/>
  <c r="AA13" i="18" s="1"/>
  <c r="T16" i="18" a="1"/>
  <c r="T16" i="18" s="1"/>
  <c r="Z16" i="18" s="1"/>
  <c r="AA16" i="18" s="1"/>
  <c r="T25" i="18" a="1"/>
  <c r="T25" i="18" s="1"/>
  <c r="Z25" i="18" s="1"/>
  <c r="AA25" i="18" s="1"/>
  <c r="T320" i="18" l="1" a="1"/>
  <c r="T320" i="18" s="1"/>
  <c r="Z320" i="18" s="1"/>
  <c r="T315" i="18" l="1" a="1"/>
  <c r="T315" i="18" s="1"/>
  <c r="Z315" i="18" s="1"/>
  <c r="AA315" i="18" s="1"/>
  <c r="T319" i="18" a="1"/>
  <c r="T319" i="18" s="1"/>
  <c r="T313" i="18" a="1"/>
  <c r="T313" i="18" s="1"/>
  <c r="Z313" i="18" s="1"/>
  <c r="AA313" i="18" s="1"/>
  <c r="T317" i="18" a="1"/>
  <c r="T317" i="18" s="1"/>
  <c r="Z317" i="18" s="1"/>
  <c r="AA317" i="18" s="1"/>
  <c r="T314" i="18" a="1"/>
  <c r="T314" i="18" s="1"/>
  <c r="Z314" i="18" s="1"/>
  <c r="AA314" i="18" s="1"/>
  <c r="T318" i="18" a="1"/>
  <c r="T318" i="18" s="1"/>
  <c r="Z318" i="18" s="1"/>
  <c r="AA318" i="18" s="1"/>
  <c r="T316" i="18" a="1"/>
  <c r="T316" i="18" s="1"/>
  <c r="Z316" i="18" s="1"/>
  <c r="AA316" i="18" s="1"/>
  <c r="Z319" i="18" l="1"/>
  <c r="AA319" i="18" s="1"/>
  <c r="AO325" i="18" l="1"/>
  <c r="S325" i="18"/>
  <c r="AO323" i="18"/>
  <c r="S323" i="18"/>
  <c r="AO322" i="18"/>
  <c r="S322" i="18"/>
  <c r="AO321" i="18"/>
  <c r="S321" i="18"/>
  <c r="P312" i="18"/>
  <c r="P311" i="18"/>
  <c r="P310" i="18"/>
  <c r="AO309" i="18"/>
  <c r="P309" i="18" s="1"/>
  <c r="AO308" i="18"/>
  <c r="P308" i="18" s="1"/>
  <c r="AO307" i="18"/>
  <c r="P307" i="18" s="1"/>
  <c r="AO306" i="18"/>
  <c r="P306" i="18" s="1"/>
  <c r="AO305" i="18"/>
  <c r="P305" i="18" s="1"/>
  <c r="AO304" i="18"/>
  <c r="P304" i="18" s="1"/>
  <c r="AO303" i="18"/>
  <c r="P303" i="18" s="1"/>
  <c r="AO302" i="18"/>
  <c r="P302" i="18" s="1"/>
  <c r="AO301" i="18"/>
  <c r="T301" i="18" a="1"/>
  <c r="T301" i="18" s="1"/>
  <c r="Z301" i="18" s="1"/>
  <c r="AA301" i="18" s="1"/>
  <c r="AO300" i="18"/>
  <c r="T300" i="18" a="1"/>
  <c r="T300" i="18" s="1"/>
  <c r="Z300" i="18" s="1"/>
  <c r="AA300" i="18" s="1"/>
  <c r="AO299" i="18"/>
  <c r="T299" i="18" a="1"/>
  <c r="T299" i="18" s="1"/>
  <c r="Z299" i="18" s="1"/>
  <c r="AA299" i="18" s="1"/>
  <c r="AO298" i="18"/>
  <c r="T298" i="18" a="1"/>
  <c r="T298" i="18" s="1"/>
  <c r="Z298" i="18" s="1"/>
  <c r="AA298" i="18" s="1"/>
  <c r="AO297" i="18"/>
  <c r="T297" i="18" a="1"/>
  <c r="T297" i="18" s="1"/>
  <c r="Z297" i="18" s="1"/>
  <c r="AA297" i="18" s="1"/>
  <c r="AO296" i="18"/>
  <c r="T296" i="18" a="1"/>
  <c r="T296" i="18" s="1"/>
  <c r="Z296" i="18" s="1"/>
  <c r="AA296" i="18" s="1"/>
  <c r="AO295" i="18"/>
  <c r="T295" i="18" a="1"/>
  <c r="T295" i="18" s="1"/>
  <c r="Z295" i="18" s="1"/>
  <c r="AO294" i="18"/>
  <c r="T294" i="18" a="1"/>
  <c r="T294" i="18" s="1"/>
  <c r="Z294" i="18" s="1"/>
  <c r="AA294" i="18" s="1"/>
  <c r="AO293" i="18"/>
  <c r="T293" i="18" a="1"/>
  <c r="T293" i="18" s="1"/>
  <c r="Z293" i="18" s="1"/>
  <c r="AA293" i="18" s="1"/>
  <c r="AO292" i="18"/>
  <c r="P292" i="18" s="1"/>
  <c r="AO291" i="18"/>
  <c r="P291" i="18" s="1"/>
  <c r="AO290" i="18"/>
  <c r="P290" i="18" s="1"/>
  <c r="AO289" i="18"/>
  <c r="P289" i="18" s="1"/>
  <c r="AO288" i="18"/>
  <c r="P288" i="18" s="1"/>
  <c r="AO287" i="18"/>
  <c r="P287" i="18" s="1"/>
  <c r="AO286" i="18"/>
  <c r="P286" i="18" s="1"/>
  <c r="AO285" i="18"/>
  <c r="P285" i="18" s="1"/>
  <c r="AO284" i="18"/>
  <c r="P284" i="18" s="1"/>
  <c r="AO283" i="18"/>
  <c r="P283" i="18" s="1"/>
  <c r="AO282" i="18"/>
  <c r="P282" i="18" s="1"/>
  <c r="AO281" i="18"/>
  <c r="P281" i="18" s="1"/>
  <c r="AO280" i="18"/>
  <c r="P280" i="18" s="1"/>
  <c r="AO279" i="18"/>
  <c r="P279" i="18" s="1"/>
  <c r="AO278" i="18"/>
  <c r="P278" i="18" s="1"/>
  <c r="AO277" i="18"/>
  <c r="P277" i="18" s="1"/>
  <c r="AO276" i="18"/>
  <c r="P276" i="18" s="1"/>
  <c r="T276" i="18" s="1" a="1"/>
  <c r="T276" i="18" s="1"/>
  <c r="AO275" i="18"/>
  <c r="P275" i="18" s="1"/>
  <c r="AO274" i="18"/>
  <c r="P274" i="18" s="1"/>
  <c r="AO273" i="18"/>
  <c r="P273" i="18" s="1"/>
  <c r="AO272" i="18"/>
  <c r="P272" i="18" s="1"/>
  <c r="AO271" i="18"/>
  <c r="P271" i="18" s="1"/>
  <c r="AO270" i="18"/>
  <c r="P270" i="18" s="1"/>
  <c r="AO269" i="18"/>
  <c r="P269" i="18" s="1"/>
  <c r="AO268" i="18"/>
  <c r="P268" i="18" s="1"/>
  <c r="AO267" i="18"/>
  <c r="P267" i="18" s="1"/>
  <c r="AO266" i="18"/>
  <c r="P266" i="18" s="1"/>
  <c r="AO265" i="18"/>
  <c r="T265" i="18" a="1"/>
  <c r="T265" i="18" s="1"/>
  <c r="Z265" i="18" s="1"/>
  <c r="AA265" i="18" s="1"/>
  <c r="AO264" i="18"/>
  <c r="P264" i="18" s="1"/>
  <c r="AO263" i="18"/>
  <c r="P263" i="18" s="1"/>
  <c r="AO262" i="18"/>
  <c r="P262" i="18" s="1"/>
  <c r="AO261" i="18"/>
  <c r="P261" i="18" s="1"/>
  <c r="AO260" i="18"/>
  <c r="P260" i="18" s="1"/>
  <c r="AO259" i="18"/>
  <c r="P259" i="18" s="1"/>
  <c r="AO258" i="18"/>
  <c r="P258" i="18" s="1"/>
  <c r="AO257" i="18"/>
  <c r="P257" i="18" s="1"/>
  <c r="AO256" i="18"/>
  <c r="P256" i="18" s="1"/>
  <c r="AO255" i="18"/>
  <c r="P255" i="18" s="1"/>
  <c r="AO254" i="18"/>
  <c r="P254" i="18" s="1"/>
  <c r="AO253" i="18"/>
  <c r="P253" i="18" s="1"/>
  <c r="AO252" i="18"/>
  <c r="P252" i="18" s="1"/>
  <c r="AO251" i="18"/>
  <c r="P251" i="18" s="1"/>
  <c r="AO250" i="18"/>
  <c r="P250" i="18" s="1"/>
  <c r="AO247" i="18"/>
  <c r="S247" i="18"/>
  <c r="AO246" i="18"/>
  <c r="S246" i="18"/>
  <c r="AO245" i="18"/>
  <c r="S245" i="18"/>
  <c r="AO244" i="18"/>
  <c r="S244" i="18"/>
  <c r="AR336" i="1"/>
  <c r="AO243" i="18"/>
  <c r="S243" i="18"/>
  <c r="AR335" i="1"/>
  <c r="AO242" i="18"/>
  <c r="S242" i="18"/>
  <c r="AO241" i="18"/>
  <c r="S241" i="18"/>
  <c r="AO240" i="18"/>
  <c r="S240" i="18"/>
  <c r="AO239" i="18"/>
  <c r="S239" i="18"/>
  <c r="AO238" i="18"/>
  <c r="S238" i="18"/>
  <c r="AO237" i="18"/>
  <c r="S237" i="18"/>
  <c r="AO236" i="18"/>
  <c r="S236" i="18"/>
  <c r="AO235" i="18"/>
  <c r="S235" i="18"/>
  <c r="AT234" i="18"/>
  <c r="AO234" i="18"/>
  <c r="S234" i="18"/>
  <c r="AT233" i="18"/>
  <c r="AR326" i="1" s="1"/>
  <c r="AO233" i="18"/>
  <c r="S233" i="18"/>
  <c r="AT232" i="18"/>
  <c r="AO232" i="18"/>
  <c r="S232" i="18"/>
  <c r="S231" i="18"/>
  <c r="T231" i="18" s="1" a="1"/>
  <c r="T231" i="18" s="1"/>
  <c r="S230" i="18"/>
  <c r="T230" i="18" s="1" a="1"/>
  <c r="T230" i="18" s="1"/>
  <c r="S229" i="18"/>
  <c r="T229" i="18" s="1" a="1"/>
  <c r="T229" i="18" s="1"/>
  <c r="S228" i="18"/>
  <c r="T228" i="18" s="1" a="1"/>
  <c r="T228" i="18" s="1"/>
  <c r="S227" i="18"/>
  <c r="T227" i="18" s="1" a="1"/>
  <c r="T227" i="18" s="1"/>
  <c r="S226" i="18"/>
  <c r="T226" i="18" s="1" a="1"/>
  <c r="T226" i="18" s="1"/>
  <c r="S225" i="18"/>
  <c r="T225" i="18" s="1" a="1"/>
  <c r="T225" i="18" s="1"/>
  <c r="S224" i="18"/>
  <c r="T224" i="18" s="1" a="1"/>
  <c r="T224" i="18" s="1"/>
  <c r="S223" i="18"/>
  <c r="T223" i="18" s="1" a="1"/>
  <c r="T223" i="18" s="1"/>
  <c r="S222" i="18"/>
  <c r="T222" i="18" s="1" a="1"/>
  <c r="T222" i="18" s="1"/>
  <c r="S221" i="18"/>
  <c r="T221" i="18" s="1" a="1"/>
  <c r="T221" i="18" s="1"/>
  <c r="S220" i="18"/>
  <c r="T220" i="18" s="1" a="1"/>
  <c r="T220" i="18" s="1"/>
  <c r="S219" i="18"/>
  <c r="T219" i="18" s="1" a="1"/>
  <c r="T219" i="18" s="1"/>
  <c r="S218" i="18"/>
  <c r="T218" i="18" s="1" a="1"/>
  <c r="T218" i="18" s="1"/>
  <c r="S217" i="18"/>
  <c r="T217" i="18" s="1" a="1"/>
  <c r="T217" i="18" s="1"/>
  <c r="S216" i="18"/>
  <c r="T216" i="18" s="1" a="1"/>
  <c r="T216" i="18" s="1"/>
  <c r="S215" i="18"/>
  <c r="T215" i="18" s="1" a="1"/>
  <c r="T215" i="18" s="1"/>
  <c r="S214" i="18"/>
  <c r="T214" i="18" s="1" a="1"/>
  <c r="T214" i="18" s="1"/>
  <c r="S213" i="18"/>
  <c r="T213" i="18" s="1" a="1"/>
  <c r="T213" i="18" s="1"/>
  <c r="S212" i="18"/>
  <c r="T212" i="18" s="1" a="1"/>
  <c r="T212" i="18" s="1"/>
  <c r="S211" i="18"/>
  <c r="T211" i="18" s="1" a="1"/>
  <c r="T211" i="18" s="1"/>
  <c r="S210" i="18"/>
  <c r="T210" i="18" s="1" a="1"/>
  <c r="T210" i="18" s="1"/>
  <c r="S209" i="18"/>
  <c r="T209" i="18" s="1" a="1"/>
  <c r="T209" i="18" s="1"/>
  <c r="S208" i="18"/>
  <c r="T208" i="18" s="1" a="1"/>
  <c r="T208" i="18" s="1"/>
  <c r="S207" i="18"/>
  <c r="T207" i="18" s="1" a="1"/>
  <c r="T207" i="18" s="1"/>
  <c r="S206" i="18"/>
  <c r="T206" i="18" s="1" a="1"/>
  <c r="T206" i="18" s="1"/>
  <c r="S205" i="18"/>
  <c r="T205" i="18" s="1" a="1"/>
  <c r="T205" i="18" s="1"/>
  <c r="S204" i="18"/>
  <c r="T204" i="18" s="1" a="1"/>
  <c r="T204" i="18" s="1"/>
  <c r="S203" i="18"/>
  <c r="T203" i="18" s="1" a="1"/>
  <c r="T203" i="18" s="1"/>
  <c r="S202" i="18"/>
  <c r="T202" i="18" s="1" a="1"/>
  <c r="T202" i="18" s="1"/>
  <c r="S201" i="18"/>
  <c r="T201" i="18" s="1" a="1"/>
  <c r="T201" i="18" s="1"/>
  <c r="S200" i="18"/>
  <c r="T200" i="18" s="1" a="1"/>
  <c r="T200" i="18" s="1"/>
  <c r="S199" i="18"/>
  <c r="T199" i="18" s="1" a="1"/>
  <c r="T199" i="18" s="1"/>
  <c r="S198" i="18"/>
  <c r="T198" i="18" s="1" a="1"/>
  <c r="T198" i="18" s="1"/>
  <c r="S197" i="18"/>
  <c r="T197" i="18" s="1" a="1"/>
  <c r="T197" i="18" s="1"/>
  <c r="S196" i="18"/>
  <c r="T196" i="18" s="1" a="1"/>
  <c r="T196" i="18" s="1"/>
  <c r="S195" i="18"/>
  <c r="T195" i="18" s="1" a="1"/>
  <c r="T195" i="18" s="1"/>
  <c r="S194" i="18"/>
  <c r="T194" i="18" s="1" a="1"/>
  <c r="T194" i="18" s="1"/>
  <c r="S193" i="18"/>
  <c r="T193" i="18" s="1" a="1"/>
  <c r="T193" i="18" s="1"/>
  <c r="S192" i="18"/>
  <c r="T192" i="18" s="1" a="1"/>
  <c r="T192" i="18" s="1"/>
  <c r="S191" i="18"/>
  <c r="T191" i="18" s="1" a="1"/>
  <c r="T191" i="18" s="1"/>
  <c r="S190" i="18"/>
  <c r="T190" i="18" s="1" a="1"/>
  <c r="T190" i="18" s="1"/>
  <c r="S189" i="18"/>
  <c r="T189" i="18" s="1" a="1"/>
  <c r="T189" i="18" s="1"/>
  <c r="S188" i="18"/>
  <c r="T188" i="18" s="1" a="1"/>
  <c r="T188" i="18" s="1"/>
  <c r="S187" i="18"/>
  <c r="T187" i="18" s="1" a="1"/>
  <c r="T187" i="18" s="1"/>
  <c r="S186" i="18"/>
  <c r="T186" i="18" s="1" a="1"/>
  <c r="T186" i="18" s="1"/>
  <c r="S185" i="18"/>
  <c r="T185" i="18" s="1" a="1"/>
  <c r="T185" i="18" s="1"/>
  <c r="AT184" i="18"/>
  <c r="AO184" i="18"/>
  <c r="S184" i="18"/>
  <c r="AT183" i="18"/>
  <c r="AO183" i="18"/>
  <c r="S183" i="18"/>
  <c r="S182" i="18"/>
  <c r="T182" i="18" s="1" a="1"/>
  <c r="T182" i="18" s="1"/>
  <c r="AT181" i="18"/>
  <c r="AO181" i="18"/>
  <c r="S181" i="18"/>
  <c r="AT180" i="18"/>
  <c r="AO180" i="18"/>
  <c r="S180" i="18"/>
  <c r="AT179" i="18"/>
  <c r="AO179" i="18"/>
  <c r="S179" i="18"/>
  <c r="AT178" i="18"/>
  <c r="AO178" i="18"/>
  <c r="S178" i="18"/>
  <c r="AT177" i="18"/>
  <c r="AO177" i="18"/>
  <c r="S177" i="18"/>
  <c r="AT176" i="18"/>
  <c r="AO176" i="18"/>
  <c r="S176" i="18"/>
  <c r="AT175" i="18"/>
  <c r="AO175" i="18"/>
  <c r="S175" i="18"/>
  <c r="AT174" i="18"/>
  <c r="AO174" i="18"/>
  <c r="S174" i="18"/>
  <c r="AT173" i="18"/>
  <c r="AO173" i="18"/>
  <c r="S173" i="18"/>
  <c r="AT172" i="18"/>
  <c r="AO172" i="18"/>
  <c r="S172" i="18"/>
  <c r="AT171" i="18"/>
  <c r="AO171" i="18"/>
  <c r="S171" i="18"/>
  <c r="AT170" i="18"/>
  <c r="AO170" i="18"/>
  <c r="S170" i="18"/>
  <c r="AT169" i="18"/>
  <c r="AO169" i="18"/>
  <c r="S169" i="18"/>
  <c r="AT168" i="18"/>
  <c r="AO168" i="18"/>
  <c r="S168" i="18"/>
  <c r="AT167" i="18"/>
  <c r="AO167" i="18"/>
  <c r="S167" i="18"/>
  <c r="AT166" i="18"/>
  <c r="AO166" i="18"/>
  <c r="S166" i="18"/>
  <c r="AT165" i="18"/>
  <c r="AO165" i="18"/>
  <c r="S165" i="18"/>
  <c r="AT164" i="18"/>
  <c r="AO164" i="18"/>
  <c r="S164" i="18"/>
  <c r="AT163" i="18"/>
  <c r="AO163" i="18"/>
  <c r="S163" i="18"/>
  <c r="AT162" i="18"/>
  <c r="AO162" i="18"/>
  <c r="S162" i="18"/>
  <c r="AT161" i="18"/>
  <c r="AO161" i="18"/>
  <c r="S161" i="18"/>
  <c r="AT160" i="18"/>
  <c r="AO160" i="18"/>
  <c r="S160" i="18"/>
  <c r="AO159" i="18"/>
  <c r="P159" i="18" s="1"/>
  <c r="S159" i="18"/>
  <c r="AT158" i="18"/>
  <c r="AO158" i="18"/>
  <c r="S158" i="18"/>
  <c r="AT157" i="18"/>
  <c r="AO157" i="18"/>
  <c r="S157" i="18"/>
  <c r="AT156" i="18"/>
  <c r="AO156" i="18"/>
  <c r="S156" i="18"/>
  <c r="AT155" i="18"/>
  <c r="AO155" i="18"/>
  <c r="S155" i="18"/>
  <c r="AT154" i="18"/>
  <c r="AO154" i="18"/>
  <c r="S154" i="18"/>
  <c r="AT153" i="18"/>
  <c r="AO153" i="18"/>
  <c r="S153" i="18"/>
  <c r="T153" i="18" s="1" a="1"/>
  <c r="T153" i="18" s="1"/>
  <c r="Z153" i="18" s="1"/>
  <c r="AA153" i="18" s="1"/>
  <c r="AT152" i="18"/>
  <c r="AO152" i="18"/>
  <c r="S152" i="18"/>
  <c r="T152" i="18" s="1" a="1"/>
  <c r="T152" i="18" s="1"/>
  <c r="Z152" i="18" s="1"/>
  <c r="AA152" i="18" s="1"/>
  <c r="AT151" i="18"/>
  <c r="AO151" i="18"/>
  <c r="S151" i="18"/>
  <c r="T151" i="18" s="1" a="1"/>
  <c r="T151" i="18" s="1"/>
  <c r="Z151" i="18" s="1"/>
  <c r="AA151" i="18" s="1"/>
  <c r="AO150" i="18"/>
  <c r="S150" i="18"/>
  <c r="T150" i="18" s="1" a="1"/>
  <c r="T150" i="18" s="1"/>
  <c r="Z150" i="18" s="1"/>
  <c r="AA150" i="18" s="1"/>
  <c r="AO149" i="18"/>
  <c r="S149" i="18"/>
  <c r="T149" i="18" s="1" a="1"/>
  <c r="T149" i="18" s="1"/>
  <c r="AO148" i="18"/>
  <c r="S148" i="18"/>
  <c r="T148" i="18" s="1" a="1"/>
  <c r="T148" i="18" s="1"/>
  <c r="AO147" i="18"/>
  <c r="S147" i="18"/>
  <c r="T147" i="18" s="1" a="1"/>
  <c r="T147" i="18" s="1"/>
  <c r="AO146" i="18"/>
  <c r="S146" i="18"/>
  <c r="T146" i="18" s="1" a="1"/>
  <c r="T146" i="18" s="1"/>
  <c r="AO145" i="18"/>
  <c r="S145" i="18"/>
  <c r="T145" i="18" s="1" a="1"/>
  <c r="T145" i="18" s="1"/>
  <c r="AT144" i="18"/>
  <c r="AO144" i="18"/>
  <c r="S144" i="18"/>
  <c r="AT143" i="18"/>
  <c r="AO143" i="18"/>
  <c r="S143" i="18"/>
  <c r="AT142" i="18"/>
  <c r="AO142" i="18"/>
  <c r="S142" i="18"/>
  <c r="AT141" i="18"/>
  <c r="AO141" i="18"/>
  <c r="S141" i="18"/>
  <c r="AT140" i="18"/>
  <c r="AO140" i="18"/>
  <c r="S140" i="18"/>
  <c r="AT139" i="18"/>
  <c r="AO139" i="18"/>
  <c r="S139" i="18"/>
  <c r="AO138" i="18"/>
  <c r="S138" i="18"/>
  <c r="T138" i="18" s="1" a="1"/>
  <c r="T138" i="18" s="1"/>
  <c r="AO137" i="18"/>
  <c r="S137" i="18"/>
  <c r="T137" i="18" s="1" a="1"/>
  <c r="T137" i="18" s="1"/>
  <c r="AT136" i="18"/>
  <c r="AO136" i="18"/>
  <c r="S136" i="18"/>
  <c r="T136" i="18" s="1" a="1"/>
  <c r="T136" i="18" s="1"/>
  <c r="Z136" i="18" s="1"/>
  <c r="AA136" i="18" s="1"/>
  <c r="AT135" i="18"/>
  <c r="AO135" i="18"/>
  <c r="S135" i="18"/>
  <c r="T135" i="18" s="1" a="1"/>
  <c r="T135" i="18" s="1"/>
  <c r="Z135" i="18" s="1"/>
  <c r="AA135" i="18" s="1"/>
  <c r="AT134" i="18"/>
  <c r="AO134" i="18"/>
  <c r="S134" i="18"/>
  <c r="T134" i="18" s="1" a="1"/>
  <c r="T134" i="18" s="1"/>
  <c r="Z134" i="18" s="1"/>
  <c r="AA134" i="18" s="1"/>
  <c r="AT133" i="18"/>
  <c r="AO133" i="18"/>
  <c r="S133" i="18"/>
  <c r="T133" i="18" s="1" a="1"/>
  <c r="T133" i="18" s="1"/>
  <c r="Z133" i="18" s="1"/>
  <c r="AA133" i="18" s="1"/>
  <c r="AT132" i="18"/>
  <c r="AO132" i="18"/>
  <c r="S132" i="18"/>
  <c r="T132" i="18" s="1" a="1"/>
  <c r="T132" i="18" s="1"/>
  <c r="Z132" i="18" s="1"/>
  <c r="AA132" i="18" s="1"/>
  <c r="AT131" i="18"/>
  <c r="AO131" i="18"/>
  <c r="S131" i="18"/>
  <c r="T131" i="18" s="1" a="1"/>
  <c r="T131" i="18" s="1"/>
  <c r="Z131" i="18" s="1"/>
  <c r="AA131" i="18" s="1"/>
  <c r="AT130" i="18"/>
  <c r="AO130" i="18"/>
  <c r="S130" i="18"/>
  <c r="T130" i="18" s="1" a="1"/>
  <c r="T130" i="18" s="1"/>
  <c r="Z130" i="18" s="1"/>
  <c r="AA130" i="18" s="1"/>
  <c r="AT129" i="18"/>
  <c r="AO129" i="18"/>
  <c r="S129" i="18"/>
  <c r="T129" i="18" s="1" a="1"/>
  <c r="T129" i="18" s="1"/>
  <c r="Z129" i="18" s="1"/>
  <c r="AA129" i="18" s="1"/>
  <c r="AT128" i="18"/>
  <c r="AO128" i="18"/>
  <c r="S128" i="18"/>
  <c r="T128" i="18" s="1" a="1"/>
  <c r="T128" i="18" s="1"/>
  <c r="Z128" i="18" s="1"/>
  <c r="AA128" i="18" s="1"/>
  <c r="AT127" i="18"/>
  <c r="AO127" i="18"/>
  <c r="S127" i="18"/>
  <c r="T127" i="18" s="1" a="1"/>
  <c r="T127" i="18" s="1"/>
  <c r="Z127" i="18" s="1"/>
  <c r="AA127" i="18" s="1"/>
  <c r="AT126" i="18"/>
  <c r="AO126" i="18"/>
  <c r="S126" i="18"/>
  <c r="P126" i="18"/>
  <c r="AT125" i="18"/>
  <c r="AO125" i="18"/>
  <c r="S125" i="18"/>
  <c r="T125" i="18" s="1" a="1"/>
  <c r="T125" i="18" s="1"/>
  <c r="Z125" i="18" s="1"/>
  <c r="AA125" i="18" s="1"/>
  <c r="AT124" i="18"/>
  <c r="AO124" i="18"/>
  <c r="S124" i="18"/>
  <c r="T124" i="18" s="1" a="1"/>
  <c r="T124" i="18" s="1"/>
  <c r="Z124" i="18" s="1"/>
  <c r="AA124" i="18" s="1"/>
  <c r="AT123" i="18"/>
  <c r="AO123" i="18"/>
  <c r="S123" i="18"/>
  <c r="T123" i="18" s="1" a="1"/>
  <c r="T123" i="18" s="1"/>
  <c r="Z123" i="18" s="1"/>
  <c r="AA123" i="18" s="1"/>
  <c r="AT122" i="18"/>
  <c r="AO122" i="18"/>
  <c r="S122" i="18"/>
  <c r="T122" i="18" s="1" a="1"/>
  <c r="T122" i="18" s="1"/>
  <c r="Z122" i="18" s="1"/>
  <c r="AA122" i="18" s="1"/>
  <c r="AT121" i="18"/>
  <c r="AO121" i="18"/>
  <c r="S121" i="18"/>
  <c r="T121" i="18" s="1" a="1"/>
  <c r="T121" i="18" s="1"/>
  <c r="Z121" i="18" s="1"/>
  <c r="AA121" i="18" s="1"/>
  <c r="AT120" i="18"/>
  <c r="AO120" i="18"/>
  <c r="S120" i="18"/>
  <c r="T120" i="18" s="1" a="1"/>
  <c r="T120" i="18" s="1"/>
  <c r="Z120" i="18" s="1"/>
  <c r="AA120" i="18" s="1"/>
  <c r="AT119" i="18"/>
  <c r="AO119" i="18"/>
  <c r="S119" i="18"/>
  <c r="T119" i="18" s="1" a="1"/>
  <c r="T119" i="18" s="1"/>
  <c r="Z119" i="18" s="1"/>
  <c r="AA119" i="18" s="1"/>
  <c r="AT118" i="18"/>
  <c r="AO118" i="18"/>
  <c r="S118" i="18"/>
  <c r="T118" i="18" s="1" a="1"/>
  <c r="T118" i="18" s="1"/>
  <c r="Z118" i="18" s="1"/>
  <c r="AA118" i="18" s="1"/>
  <c r="AT117" i="18"/>
  <c r="AO117" i="18"/>
  <c r="S117" i="18"/>
  <c r="T117" i="18" s="1" a="1"/>
  <c r="T117" i="18" s="1"/>
  <c r="Z117" i="18" s="1"/>
  <c r="AA117" i="18" s="1"/>
  <c r="AT116" i="18"/>
  <c r="AO116" i="18"/>
  <c r="S116" i="18"/>
  <c r="T116" i="18" s="1" a="1"/>
  <c r="T116" i="18" s="1"/>
  <c r="Z116" i="18" s="1"/>
  <c r="AA116" i="18" s="1"/>
  <c r="S115" i="18"/>
  <c r="T115" i="18" s="1" a="1"/>
  <c r="T115" i="18" s="1"/>
  <c r="Z115" i="18" s="1"/>
  <c r="AA115" i="18" s="1"/>
  <c r="S114" i="18"/>
  <c r="T114" i="18" s="1" a="1"/>
  <c r="T114" i="18" s="1"/>
  <c r="Z114" i="18" s="1"/>
  <c r="AA114" i="18" s="1"/>
  <c r="S113" i="18"/>
  <c r="T113" i="18" s="1" a="1"/>
  <c r="T113" i="18" s="1"/>
  <c r="Z113" i="18" s="1"/>
  <c r="AA113" i="18" s="1"/>
  <c r="AT108" i="18"/>
  <c r="AO108" i="18"/>
  <c r="S108" i="18"/>
  <c r="T108" i="18" s="1" a="1"/>
  <c r="T108" i="18" s="1"/>
  <c r="Z108" i="18" s="1"/>
  <c r="AA108" i="18" s="1"/>
  <c r="AT107" i="18"/>
  <c r="AO107" i="18"/>
  <c r="S107" i="18"/>
  <c r="T107" i="18" s="1" a="1"/>
  <c r="T107" i="18" s="1"/>
  <c r="Z107" i="18" s="1"/>
  <c r="AA107" i="18" s="1"/>
  <c r="AT106" i="18"/>
  <c r="AO106" i="18"/>
  <c r="S106" i="18"/>
  <c r="T106" i="18" s="1" a="1"/>
  <c r="T106" i="18" s="1"/>
  <c r="Z106" i="18" s="1"/>
  <c r="AA106" i="18" s="1"/>
  <c r="AT105" i="18"/>
  <c r="AO105" i="18"/>
  <c r="S105" i="18"/>
  <c r="T105" i="18" s="1" a="1"/>
  <c r="T105" i="18" s="1"/>
  <c r="Z105" i="18" s="1"/>
  <c r="AA105" i="18" s="1"/>
  <c r="AT104" i="18"/>
  <c r="AO104" i="18"/>
  <c r="S104" i="18"/>
  <c r="T104" i="18" s="1" a="1"/>
  <c r="T104" i="18" s="1"/>
  <c r="Z104" i="18" s="1"/>
  <c r="AA104" i="18" s="1"/>
  <c r="AT103" i="18"/>
  <c r="AO103" i="18"/>
  <c r="S103" i="18"/>
  <c r="T103" i="18" s="1" a="1"/>
  <c r="T103" i="18" s="1"/>
  <c r="Z103" i="18" s="1"/>
  <c r="AA103" i="18" s="1"/>
  <c r="AT102" i="18"/>
  <c r="AO102" i="18"/>
  <c r="S102" i="18"/>
  <c r="T102" i="18" s="1" a="1"/>
  <c r="T102" i="18" s="1"/>
  <c r="Z102" i="18" s="1"/>
  <c r="AA102" i="18" s="1"/>
  <c r="AT101" i="18"/>
  <c r="AO101" i="18"/>
  <c r="S101" i="18"/>
  <c r="T101" i="18" s="1" a="1"/>
  <c r="T101" i="18" s="1"/>
  <c r="Z101" i="18" s="1"/>
  <c r="AA101" i="18" s="1"/>
  <c r="AT100" i="18"/>
  <c r="AO100" i="18"/>
  <c r="S100" i="18"/>
  <c r="T100" i="18" s="1" a="1"/>
  <c r="T100" i="18" s="1"/>
  <c r="Z100" i="18" s="1"/>
  <c r="AA100" i="18" s="1"/>
  <c r="AT99" i="18"/>
  <c r="AO99" i="18"/>
  <c r="S99" i="18"/>
  <c r="T99" i="18" s="1" a="1"/>
  <c r="T99" i="18" s="1"/>
  <c r="Z99" i="18" s="1"/>
  <c r="AA99" i="18" s="1"/>
  <c r="AT98" i="18"/>
  <c r="AO98" i="18"/>
  <c r="S98" i="18"/>
  <c r="T98" i="18" s="1" a="1"/>
  <c r="T98" i="18" s="1"/>
  <c r="Z98" i="18" s="1"/>
  <c r="AA98" i="18" s="1"/>
  <c r="AT97" i="18"/>
  <c r="AO97" i="18"/>
  <c r="S97" i="18"/>
  <c r="T97" i="18" s="1" a="1"/>
  <c r="T97" i="18" s="1"/>
  <c r="Z97" i="18" s="1"/>
  <c r="AA97" i="18" s="1"/>
  <c r="AT96" i="18"/>
  <c r="AO96" i="18"/>
  <c r="S96" i="18"/>
  <c r="T96" i="18" s="1" a="1"/>
  <c r="T96" i="18" s="1"/>
  <c r="Z96" i="18" s="1"/>
  <c r="AA96" i="18" s="1"/>
  <c r="AT95" i="18"/>
  <c r="AO95" i="18"/>
  <c r="S95" i="18"/>
  <c r="T95" i="18" s="1" a="1"/>
  <c r="T95" i="18" s="1"/>
  <c r="Z95" i="18" s="1"/>
  <c r="AA95" i="18" s="1"/>
  <c r="AO94" i="18"/>
  <c r="S94" i="18"/>
  <c r="T94" i="18" s="1" a="1"/>
  <c r="T94" i="18" s="1"/>
  <c r="Z94" i="18" s="1"/>
  <c r="AA94" i="18" s="1"/>
  <c r="AO93" i="18"/>
  <c r="S93" i="18"/>
  <c r="T93" i="18" s="1" a="1"/>
  <c r="T93" i="18" s="1"/>
  <c r="Z93" i="18" s="1"/>
  <c r="AA93" i="18" s="1"/>
  <c r="AO92" i="18"/>
  <c r="S92" i="18"/>
  <c r="T92" i="18" s="1" a="1"/>
  <c r="T92" i="18" s="1"/>
  <c r="Z92" i="18" s="1"/>
  <c r="AA92" i="18" s="1"/>
  <c r="AO91" i="18"/>
  <c r="S91" i="18"/>
  <c r="T91" i="18" s="1" a="1"/>
  <c r="T91" i="18" s="1"/>
  <c r="Z91" i="18" s="1"/>
  <c r="AA91" i="18" s="1"/>
  <c r="AO90" i="18"/>
  <c r="S90" i="18"/>
  <c r="T90" i="18" s="1" a="1"/>
  <c r="T90" i="18" s="1"/>
  <c r="Z90" i="18" s="1"/>
  <c r="AA90" i="18" s="1"/>
  <c r="AO89" i="18"/>
  <c r="S89" i="18"/>
  <c r="T89" i="18" s="1" a="1"/>
  <c r="T89" i="18" s="1"/>
  <c r="Z89" i="18" s="1"/>
  <c r="AA89" i="18" s="1"/>
  <c r="AO88" i="18"/>
  <c r="S88" i="18"/>
  <c r="T88" i="18" s="1" a="1"/>
  <c r="T88" i="18" s="1"/>
  <c r="Z88" i="18" s="1"/>
  <c r="AA88" i="18" s="1"/>
  <c r="AT87" i="18"/>
  <c r="AO87" i="18"/>
  <c r="S87" i="18"/>
  <c r="T87" i="18" s="1" a="1"/>
  <c r="T87" i="18" s="1"/>
  <c r="Z87" i="18" s="1"/>
  <c r="AA87" i="18" s="1"/>
  <c r="AT86" i="18"/>
  <c r="AO86" i="18"/>
  <c r="S86" i="18"/>
  <c r="T86" i="18" s="1" a="1"/>
  <c r="T86" i="18" s="1"/>
  <c r="Z86" i="18" s="1"/>
  <c r="AA86" i="18" s="1"/>
  <c r="AT85" i="18"/>
  <c r="AO85" i="18"/>
  <c r="S85" i="18"/>
  <c r="T85" i="18" s="1" a="1"/>
  <c r="T85" i="18" s="1"/>
  <c r="Z85" i="18" s="1"/>
  <c r="AA85" i="18" s="1"/>
  <c r="AT84" i="18"/>
  <c r="AO84" i="18"/>
  <c r="S84" i="18"/>
  <c r="T84" i="18" s="1" a="1"/>
  <c r="T84" i="18" s="1"/>
  <c r="Z84" i="18" s="1"/>
  <c r="AA84" i="18" s="1"/>
  <c r="AT83" i="18"/>
  <c r="AO83" i="18"/>
  <c r="S83" i="18"/>
  <c r="T83" i="18" s="1" a="1"/>
  <c r="T83" i="18" s="1"/>
  <c r="Z83" i="18" s="1"/>
  <c r="AA83" i="18" s="1"/>
  <c r="AT82" i="18"/>
  <c r="AO82" i="18"/>
  <c r="S82" i="18"/>
  <c r="T82" i="18" s="1" a="1"/>
  <c r="T82" i="18" s="1"/>
  <c r="Z82" i="18" s="1"/>
  <c r="AA82" i="18" s="1"/>
  <c r="AT81" i="18"/>
  <c r="AO81" i="18"/>
  <c r="S81" i="18"/>
  <c r="T81" i="18" s="1" a="1"/>
  <c r="T81" i="18" s="1"/>
  <c r="Z81" i="18" s="1"/>
  <c r="AA81" i="18" s="1"/>
  <c r="AT80" i="18"/>
  <c r="AO80" i="18"/>
  <c r="S80" i="18"/>
  <c r="T80" i="18" s="1" a="1"/>
  <c r="T80" i="18" s="1"/>
  <c r="Z80" i="18" s="1"/>
  <c r="AA80" i="18" s="1"/>
  <c r="AT79" i="18"/>
  <c r="AO79" i="18"/>
  <c r="S79" i="18"/>
  <c r="T79" i="18" s="1" a="1"/>
  <c r="T79" i="18" s="1"/>
  <c r="Z79" i="18" s="1"/>
  <c r="AA79" i="18" s="1"/>
  <c r="AT78" i="18"/>
  <c r="AO78" i="18"/>
  <c r="S78" i="18"/>
  <c r="T78" i="18" s="1" a="1"/>
  <c r="T78" i="18" s="1"/>
  <c r="Z78" i="18" s="1"/>
  <c r="AA78" i="18" s="1"/>
  <c r="AT77" i="18"/>
  <c r="AO77" i="18"/>
  <c r="S77" i="18"/>
  <c r="T77" i="18" s="1" a="1"/>
  <c r="T77" i="18" s="1"/>
  <c r="Z77" i="18" s="1"/>
  <c r="AA77" i="18" s="1"/>
  <c r="AT76" i="18"/>
  <c r="AO76" i="18"/>
  <c r="S76" i="18"/>
  <c r="T76" i="18" s="1" a="1"/>
  <c r="T76" i="18" s="1"/>
  <c r="Z76" i="18" s="1"/>
  <c r="AA76" i="18" s="1"/>
  <c r="AT75" i="18"/>
  <c r="AO75" i="18"/>
  <c r="S75" i="18"/>
  <c r="T75" i="18" s="1" a="1"/>
  <c r="T75" i="18" s="1"/>
  <c r="Z75" i="18" s="1"/>
  <c r="AA75" i="18" s="1"/>
  <c r="AT74" i="18"/>
  <c r="AO74" i="18"/>
  <c r="S74" i="18"/>
  <c r="T74" i="18" s="1" a="1"/>
  <c r="T74" i="18" s="1"/>
  <c r="Z74" i="18" s="1"/>
  <c r="AA74" i="18" s="1"/>
  <c r="AT73" i="18"/>
  <c r="AO73" i="18"/>
  <c r="S73" i="18"/>
  <c r="T73" i="18" s="1" a="1"/>
  <c r="T73" i="18" s="1"/>
  <c r="Z73" i="18" s="1"/>
  <c r="AA73" i="18" s="1"/>
  <c r="AT72" i="18"/>
  <c r="AO72" i="18"/>
  <c r="S72" i="18"/>
  <c r="T72" i="18" s="1" a="1"/>
  <c r="T72" i="18" s="1"/>
  <c r="Z72" i="18" s="1"/>
  <c r="AA72" i="18" s="1"/>
  <c r="AT71" i="18"/>
  <c r="AO71" i="18"/>
  <c r="S71" i="18"/>
  <c r="T71" i="18" s="1" a="1"/>
  <c r="T71" i="18" s="1"/>
  <c r="Z71" i="18" s="1"/>
  <c r="AA71" i="18" s="1"/>
  <c r="AT70" i="18"/>
  <c r="AO70" i="18"/>
  <c r="S70" i="18"/>
  <c r="T70" i="18" s="1" a="1"/>
  <c r="T70" i="18" s="1"/>
  <c r="Z70" i="18" s="1"/>
  <c r="AA70" i="18" s="1"/>
  <c r="AT69" i="18"/>
  <c r="AO69" i="18"/>
  <c r="S69" i="18"/>
  <c r="T69" i="18" s="1" a="1"/>
  <c r="T69" i="18" s="1"/>
  <c r="Z69" i="18" s="1"/>
  <c r="AA69" i="18" s="1"/>
  <c r="AT68" i="18"/>
  <c r="AO68" i="18"/>
  <c r="S68" i="18"/>
  <c r="T68" i="18" s="1" a="1"/>
  <c r="T68" i="18" s="1"/>
  <c r="Z68" i="18" s="1"/>
  <c r="AA68" i="18" s="1"/>
  <c r="AT67" i="18"/>
  <c r="AO67" i="18"/>
  <c r="S67" i="18"/>
  <c r="T67" i="18" s="1" a="1"/>
  <c r="T67" i="18" s="1"/>
  <c r="Z67" i="18" s="1"/>
  <c r="AA67" i="18" s="1"/>
  <c r="AT66" i="18"/>
  <c r="AO66" i="18"/>
  <c r="S66" i="18"/>
  <c r="T66" i="18" s="1" a="1"/>
  <c r="T66" i="18" s="1"/>
  <c r="Z66" i="18" s="1"/>
  <c r="AA66" i="18" s="1"/>
  <c r="AT65" i="18"/>
  <c r="AO65" i="18"/>
  <c r="S65" i="18"/>
  <c r="T65" i="18" s="1" a="1"/>
  <c r="T65" i="18" s="1"/>
  <c r="Z65" i="18" s="1"/>
  <c r="AA65" i="18" s="1"/>
  <c r="AT64" i="18"/>
  <c r="AO64" i="18"/>
  <c r="S64" i="18"/>
  <c r="T64" i="18" s="1" a="1"/>
  <c r="T64" i="18" s="1"/>
  <c r="Z64" i="18" s="1"/>
  <c r="AA64" i="18" s="1"/>
  <c r="AT63" i="18"/>
  <c r="AO63" i="18"/>
  <c r="S63" i="18"/>
  <c r="T63" i="18" s="1" a="1"/>
  <c r="T63" i="18" s="1"/>
  <c r="Z63" i="18" s="1"/>
  <c r="AA63" i="18" s="1"/>
  <c r="AT62" i="18"/>
  <c r="AO62" i="18"/>
  <c r="S62" i="18"/>
  <c r="T62" i="18" s="1" a="1"/>
  <c r="T62" i="18" s="1"/>
  <c r="Z62" i="18" s="1"/>
  <c r="AA62" i="18" s="1"/>
  <c r="AT61" i="18"/>
  <c r="AO61" i="18"/>
  <c r="S61" i="18"/>
  <c r="T61" i="18" s="1" a="1"/>
  <c r="T61" i="18" s="1"/>
  <c r="Z61" i="18" s="1"/>
  <c r="AA61" i="18" s="1"/>
  <c r="AT60" i="18"/>
  <c r="AO60" i="18"/>
  <c r="S60" i="18"/>
  <c r="T60" i="18" s="1" a="1"/>
  <c r="T60" i="18" s="1"/>
  <c r="Z60" i="18" s="1"/>
  <c r="AA60" i="18" s="1"/>
  <c r="AT59" i="18"/>
  <c r="AO59" i="18"/>
  <c r="S59" i="18"/>
  <c r="T59" i="18" s="1" a="1"/>
  <c r="T59" i="18" s="1"/>
  <c r="Z59" i="18" s="1"/>
  <c r="AA59" i="18" s="1"/>
  <c r="AT58" i="18"/>
  <c r="AO58" i="18"/>
  <c r="S58" i="18"/>
  <c r="T58" i="18" s="1" a="1"/>
  <c r="T58" i="18" s="1"/>
  <c r="Z58" i="18" s="1"/>
  <c r="AA58" i="18" s="1"/>
  <c r="AT57" i="18"/>
  <c r="AO57" i="18"/>
  <c r="S57" i="18"/>
  <c r="T57" i="18" s="1" a="1"/>
  <c r="T57" i="18" s="1"/>
  <c r="Z57" i="18" s="1"/>
  <c r="AA57" i="18" s="1"/>
  <c r="AT56" i="18"/>
  <c r="AO56" i="18"/>
  <c r="S56" i="18"/>
  <c r="T56" i="18" s="1" a="1"/>
  <c r="T56" i="18" s="1"/>
  <c r="Z56" i="18" s="1"/>
  <c r="AA56" i="18" s="1"/>
  <c r="AT55" i="18"/>
  <c r="AO55" i="18"/>
  <c r="S55" i="18"/>
  <c r="T55" i="18" s="1" a="1"/>
  <c r="T55" i="18" s="1"/>
  <c r="Z55" i="18" s="1"/>
  <c r="AA55" i="18" s="1"/>
  <c r="AT54" i="18"/>
  <c r="AO54" i="18"/>
  <c r="S54" i="18"/>
  <c r="T54" i="18" s="1" a="1"/>
  <c r="T54" i="18" s="1"/>
  <c r="Z54" i="18" s="1"/>
  <c r="AA54" i="18" s="1"/>
  <c r="AT53" i="18"/>
  <c r="AO53" i="18"/>
  <c r="S53" i="18"/>
  <c r="AT52" i="18"/>
  <c r="AO52" i="18"/>
  <c r="S52" i="18"/>
  <c r="AT51" i="18"/>
  <c r="AO51" i="18"/>
  <c r="S51" i="18"/>
  <c r="AT50" i="18"/>
  <c r="AO50" i="18"/>
  <c r="S50" i="18"/>
  <c r="AT49" i="18"/>
  <c r="AO49" i="18"/>
  <c r="S49" i="18"/>
  <c r="A59" i="18"/>
  <c r="A60" i="18" s="1"/>
  <c r="A61" i="18" s="1"/>
  <c r="A62" i="18" s="1"/>
  <c r="A63" i="18" s="1"/>
  <c r="A64" i="18" s="1"/>
  <c r="A65" i="18" s="1"/>
  <c r="A66" i="18" s="1"/>
  <c r="A67" i="18" s="1"/>
  <c r="A68" i="18" s="1"/>
  <c r="A69" i="18" s="1"/>
  <c r="A70" i="18" s="1"/>
  <c r="A71" i="18" s="1"/>
  <c r="A72" i="18" s="1"/>
  <c r="A73" i="18" s="1"/>
  <c r="A74" i="18" s="1"/>
  <c r="A75" i="18" s="1"/>
  <c r="A76" i="18" s="1"/>
  <c r="A77" i="18" s="1"/>
  <c r="A78" i="18" s="1"/>
  <c r="A79" i="18" s="1"/>
  <c r="A80" i="18" s="1"/>
  <c r="A81" i="18" s="1"/>
  <c r="A82" i="18" s="1"/>
  <c r="A83" i="18" s="1"/>
  <c r="A84" i="18" s="1"/>
  <c r="A85" i="18" s="1"/>
  <c r="A86" i="18" s="1"/>
  <c r="A87" i="18" s="1"/>
  <c r="A88" i="18" s="1"/>
  <c r="A89" i="18" s="1"/>
  <c r="A90" i="18" s="1"/>
  <c r="A91" i="18" s="1"/>
  <c r="A92" i="18" s="1"/>
  <c r="A93" i="18" s="1"/>
  <c r="A94" i="18" s="1"/>
  <c r="A95" i="18" s="1"/>
  <c r="A96" i="18" s="1"/>
  <c r="A97" i="18" s="1"/>
  <c r="A98" i="18" s="1"/>
  <c r="A99" i="18" s="1"/>
  <c r="A100" i="18" s="1"/>
  <c r="A101" i="18" s="1"/>
  <c r="A102" i="18" s="1"/>
  <c r="A103" i="18" s="1"/>
  <c r="A104" i="18" s="1"/>
  <c r="A105" i="18" s="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G296" i="1"/>
  <c r="AG297" i="1"/>
  <c r="AG298" i="1"/>
  <c r="AG299" i="1"/>
  <c r="AG300" i="1"/>
  <c r="AG301" i="1"/>
  <c r="AG302" i="1"/>
  <c r="AG303" i="1"/>
  <c r="AG304" i="1"/>
  <c r="AG305" i="1"/>
  <c r="AG306" i="1"/>
  <c r="AG307" i="1"/>
  <c r="AG308" i="1"/>
  <c r="AG309" i="1"/>
  <c r="AG310" i="1"/>
  <c r="AG311" i="1"/>
  <c r="AG312" i="1"/>
  <c r="AG313" i="1"/>
  <c r="AG314" i="1"/>
  <c r="AG315" i="1"/>
  <c r="AG316" i="1"/>
  <c r="AG317" i="1"/>
  <c r="AG318" i="1"/>
  <c r="AG319" i="1"/>
  <c r="AG320" i="1"/>
  <c r="AG321" i="1"/>
  <c r="AG322" i="1"/>
  <c r="AG323" i="1"/>
  <c r="AG324" i="1"/>
  <c r="AG325" i="1"/>
  <c r="AG326" i="1"/>
  <c r="AG327" i="1"/>
  <c r="AG328" i="1"/>
  <c r="AG329" i="1"/>
  <c r="AG330" i="1"/>
  <c r="AG331" i="1"/>
  <c r="AG332" i="1"/>
  <c r="AG333" i="1"/>
  <c r="AG334" i="1"/>
  <c r="AG335" i="1"/>
  <c r="AG336" i="1"/>
  <c r="AG337" i="1"/>
  <c r="AG338" i="1"/>
  <c r="AG339" i="1"/>
  <c r="AG340" i="1"/>
  <c r="AG341" i="1"/>
  <c r="AG342" i="1"/>
  <c r="AG343" i="1"/>
  <c r="AG344"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O296" i="1"/>
  <c r="AO297" i="1"/>
  <c r="AO298" i="1"/>
  <c r="AO299" i="1"/>
  <c r="AO300" i="1"/>
  <c r="AO301" i="1"/>
  <c r="AO302" i="1"/>
  <c r="AO303" i="1"/>
  <c r="AO304" i="1"/>
  <c r="AO305" i="1"/>
  <c r="AO306" i="1"/>
  <c r="AO307" i="1"/>
  <c r="AO308" i="1"/>
  <c r="AO309" i="1"/>
  <c r="AO310" i="1"/>
  <c r="AO311" i="1"/>
  <c r="AO312" i="1"/>
  <c r="AO313" i="1"/>
  <c r="AO314" i="1"/>
  <c r="AO315" i="1"/>
  <c r="AO316" i="1"/>
  <c r="AO317" i="1"/>
  <c r="AO318" i="1"/>
  <c r="AO319" i="1"/>
  <c r="AO320" i="1"/>
  <c r="AO321" i="1"/>
  <c r="AO322" i="1"/>
  <c r="AO323" i="1"/>
  <c r="AO324" i="1"/>
  <c r="AO325" i="1"/>
  <c r="AO326" i="1"/>
  <c r="AO327" i="1"/>
  <c r="AO328" i="1"/>
  <c r="AO329" i="1"/>
  <c r="AO330" i="1"/>
  <c r="AO331" i="1"/>
  <c r="AO332" i="1"/>
  <c r="AO333" i="1"/>
  <c r="AO334" i="1"/>
  <c r="AO335" i="1"/>
  <c r="AO336" i="1"/>
  <c r="AO337" i="1"/>
  <c r="AO338" i="1"/>
  <c r="AO339" i="1"/>
  <c r="AO340" i="1"/>
  <c r="AO341" i="1"/>
  <c r="AO342" i="1"/>
  <c r="AO343" i="1"/>
  <c r="AO344" i="1"/>
  <c r="AP296" i="1"/>
  <c r="AP297" i="1"/>
  <c r="AP298" i="1"/>
  <c r="AP299" i="1"/>
  <c r="AP300" i="1"/>
  <c r="AP301" i="1"/>
  <c r="AP302" i="1"/>
  <c r="AP303" i="1"/>
  <c r="AP304" i="1"/>
  <c r="AP305" i="1"/>
  <c r="AP306" i="1"/>
  <c r="AP307" i="1"/>
  <c r="AP308" i="1"/>
  <c r="AP309" i="1"/>
  <c r="AP310" i="1"/>
  <c r="AP311" i="1"/>
  <c r="AP312" i="1"/>
  <c r="AP313" i="1"/>
  <c r="AP314" i="1"/>
  <c r="AP315" i="1"/>
  <c r="AP316" i="1"/>
  <c r="AP317" i="1"/>
  <c r="AP318" i="1"/>
  <c r="AP319" i="1"/>
  <c r="AP320" i="1"/>
  <c r="AP321" i="1"/>
  <c r="AP322" i="1"/>
  <c r="AP323" i="1"/>
  <c r="AP324" i="1"/>
  <c r="AP325" i="1"/>
  <c r="AP326" i="1"/>
  <c r="AP327" i="1"/>
  <c r="AP328" i="1"/>
  <c r="AP329" i="1"/>
  <c r="AP330" i="1"/>
  <c r="AP331" i="1"/>
  <c r="AP332" i="1"/>
  <c r="AP333" i="1"/>
  <c r="AP334" i="1"/>
  <c r="AP335" i="1"/>
  <c r="AP336" i="1"/>
  <c r="AP337" i="1"/>
  <c r="AP338" i="1"/>
  <c r="AP339" i="1"/>
  <c r="AP340" i="1"/>
  <c r="AP341" i="1"/>
  <c r="AP342" i="1"/>
  <c r="AP343" i="1"/>
  <c r="AP344" i="1"/>
  <c r="AQ296" i="1"/>
  <c r="AQ297" i="1"/>
  <c r="AQ298" i="1"/>
  <c r="AQ299" i="1"/>
  <c r="AQ300" i="1"/>
  <c r="AQ301" i="1"/>
  <c r="AQ302" i="1"/>
  <c r="AQ303" i="1"/>
  <c r="AQ304" i="1"/>
  <c r="AQ305" i="1"/>
  <c r="AQ306" i="1"/>
  <c r="AQ307" i="1"/>
  <c r="AQ308" i="1"/>
  <c r="AQ309" i="1"/>
  <c r="AQ310" i="1"/>
  <c r="AQ311" i="1"/>
  <c r="AQ312" i="1"/>
  <c r="AQ313" i="1"/>
  <c r="AQ314" i="1"/>
  <c r="AQ315" i="1"/>
  <c r="AQ316" i="1"/>
  <c r="AQ317" i="1"/>
  <c r="AQ318" i="1"/>
  <c r="AQ319" i="1"/>
  <c r="AQ320" i="1"/>
  <c r="AQ321" i="1"/>
  <c r="AQ322" i="1"/>
  <c r="AQ323" i="1"/>
  <c r="AQ324" i="1"/>
  <c r="AQ325" i="1"/>
  <c r="AQ326" i="1"/>
  <c r="AQ327" i="1"/>
  <c r="AQ328" i="1"/>
  <c r="AQ329" i="1"/>
  <c r="AQ330" i="1"/>
  <c r="AQ331" i="1"/>
  <c r="AQ332" i="1"/>
  <c r="AQ333" i="1"/>
  <c r="AQ334" i="1"/>
  <c r="AQ335" i="1"/>
  <c r="AQ336" i="1"/>
  <c r="AQ337" i="1"/>
  <c r="AQ338" i="1"/>
  <c r="AQ339" i="1"/>
  <c r="AQ340" i="1"/>
  <c r="AQ341" i="1"/>
  <c r="AQ342" i="1"/>
  <c r="AQ343" i="1"/>
  <c r="AQ344" i="1"/>
  <c r="AS296" i="1"/>
  <c r="AS297" i="1"/>
  <c r="AS298" i="1"/>
  <c r="AS299" i="1"/>
  <c r="AS300" i="1"/>
  <c r="AS301" i="1"/>
  <c r="AS302" i="1"/>
  <c r="AS303" i="1"/>
  <c r="AS304" i="1"/>
  <c r="AS305" i="1"/>
  <c r="AS306" i="1"/>
  <c r="AS307" i="1"/>
  <c r="AS308" i="1"/>
  <c r="AS309" i="1"/>
  <c r="AS310" i="1"/>
  <c r="AS311" i="1"/>
  <c r="AS312" i="1"/>
  <c r="AS313" i="1"/>
  <c r="AS314" i="1"/>
  <c r="AS315" i="1"/>
  <c r="AS316" i="1"/>
  <c r="AS317" i="1"/>
  <c r="AS318" i="1"/>
  <c r="AS319" i="1"/>
  <c r="AS320" i="1"/>
  <c r="AS321" i="1"/>
  <c r="AS322" i="1"/>
  <c r="AS323" i="1"/>
  <c r="AS324" i="1"/>
  <c r="AS325" i="1"/>
  <c r="AS326" i="1"/>
  <c r="AS327" i="1"/>
  <c r="AS328" i="1"/>
  <c r="AS329" i="1"/>
  <c r="AS330" i="1"/>
  <c r="AS331" i="1"/>
  <c r="AS332" i="1"/>
  <c r="AS333" i="1"/>
  <c r="AS334" i="1"/>
  <c r="AS335" i="1"/>
  <c r="AS336" i="1"/>
  <c r="AS337" i="1"/>
  <c r="AS338" i="1"/>
  <c r="AS339" i="1"/>
  <c r="AS340" i="1"/>
  <c r="AS341" i="1"/>
  <c r="AS342" i="1"/>
  <c r="AS343" i="1"/>
  <c r="AS344"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W296" i="1"/>
  <c r="AW297" i="1"/>
  <c r="AW298" i="1"/>
  <c r="AW299" i="1"/>
  <c r="AW300" i="1"/>
  <c r="AW301" i="1"/>
  <c r="AW302" i="1"/>
  <c r="AW303" i="1"/>
  <c r="AW304" i="1"/>
  <c r="AW305" i="1"/>
  <c r="AW306" i="1"/>
  <c r="AW307" i="1"/>
  <c r="AW308" i="1"/>
  <c r="AW309" i="1"/>
  <c r="AW310" i="1"/>
  <c r="AW311" i="1"/>
  <c r="AW312" i="1"/>
  <c r="AW313" i="1"/>
  <c r="AW314" i="1"/>
  <c r="AW315" i="1"/>
  <c r="AW316" i="1"/>
  <c r="AW317" i="1"/>
  <c r="AW318" i="1"/>
  <c r="AW319" i="1"/>
  <c r="AW320" i="1"/>
  <c r="AW321" i="1"/>
  <c r="AW322" i="1"/>
  <c r="AW323" i="1"/>
  <c r="AW324" i="1"/>
  <c r="AW325" i="1"/>
  <c r="AW326" i="1"/>
  <c r="AW327" i="1"/>
  <c r="AW328" i="1"/>
  <c r="AW329" i="1"/>
  <c r="AW330" i="1"/>
  <c r="AW331" i="1"/>
  <c r="AW332" i="1"/>
  <c r="AW333" i="1"/>
  <c r="AW334" i="1"/>
  <c r="AW335" i="1"/>
  <c r="AW336" i="1"/>
  <c r="AW337" i="1"/>
  <c r="AW338" i="1"/>
  <c r="AW339" i="1"/>
  <c r="AW340" i="1"/>
  <c r="AW341" i="1"/>
  <c r="AW342" i="1"/>
  <c r="AW343" i="1"/>
  <c r="AW344" i="1"/>
  <c r="AX296" i="1"/>
  <c r="AX297" i="1"/>
  <c r="AX298" i="1"/>
  <c r="AX299" i="1"/>
  <c r="AX300" i="1"/>
  <c r="AX301" i="1"/>
  <c r="AX302" i="1"/>
  <c r="AX303" i="1"/>
  <c r="AX304" i="1"/>
  <c r="AX305" i="1"/>
  <c r="AX306" i="1"/>
  <c r="AX307" i="1"/>
  <c r="AX308" i="1"/>
  <c r="AX309" i="1"/>
  <c r="AX310" i="1"/>
  <c r="AX311" i="1"/>
  <c r="AX312" i="1"/>
  <c r="AX313" i="1"/>
  <c r="AX314" i="1"/>
  <c r="AX315" i="1"/>
  <c r="AX316" i="1"/>
  <c r="AX317" i="1"/>
  <c r="AX318" i="1"/>
  <c r="AX319" i="1"/>
  <c r="AX320" i="1"/>
  <c r="AX321" i="1"/>
  <c r="AX322" i="1"/>
  <c r="AX323" i="1"/>
  <c r="AX324" i="1"/>
  <c r="AX325" i="1"/>
  <c r="AX326" i="1"/>
  <c r="AX327" i="1"/>
  <c r="AX328" i="1"/>
  <c r="AX329" i="1"/>
  <c r="AX330" i="1"/>
  <c r="AX331" i="1"/>
  <c r="AX332" i="1"/>
  <c r="AX333" i="1"/>
  <c r="AX334" i="1"/>
  <c r="AX335" i="1"/>
  <c r="AX336" i="1"/>
  <c r="AX337" i="1"/>
  <c r="AX338" i="1"/>
  <c r="AX339" i="1"/>
  <c r="AX340" i="1"/>
  <c r="AX341" i="1"/>
  <c r="AX342" i="1"/>
  <c r="AX343" i="1"/>
  <c r="AX344" i="1"/>
  <c r="AY296" i="1"/>
  <c r="AY297" i="1"/>
  <c r="AY298" i="1"/>
  <c r="AY299" i="1"/>
  <c r="AY300" i="1"/>
  <c r="AY301" i="1"/>
  <c r="AY302" i="1"/>
  <c r="AY303" i="1"/>
  <c r="AY304" i="1"/>
  <c r="AY305" i="1"/>
  <c r="AY306" i="1"/>
  <c r="AY307" i="1"/>
  <c r="AY308" i="1"/>
  <c r="AY309" i="1"/>
  <c r="AY310" i="1"/>
  <c r="AY311" i="1"/>
  <c r="AY312" i="1"/>
  <c r="AY313" i="1"/>
  <c r="AY314" i="1"/>
  <c r="AY315" i="1"/>
  <c r="AY316" i="1"/>
  <c r="AY317" i="1"/>
  <c r="AY318" i="1"/>
  <c r="AY319" i="1"/>
  <c r="AY320" i="1"/>
  <c r="AY321" i="1"/>
  <c r="AY322" i="1"/>
  <c r="AY323" i="1"/>
  <c r="AY324" i="1"/>
  <c r="AY325" i="1"/>
  <c r="AY326" i="1"/>
  <c r="AY327" i="1"/>
  <c r="AY328" i="1"/>
  <c r="AY329" i="1"/>
  <c r="AY330" i="1"/>
  <c r="AY331" i="1"/>
  <c r="AY332" i="1"/>
  <c r="AY333" i="1"/>
  <c r="AY334" i="1"/>
  <c r="AY335" i="1"/>
  <c r="AY336" i="1"/>
  <c r="AY337" i="1"/>
  <c r="AY338" i="1"/>
  <c r="AY339" i="1"/>
  <c r="AY340" i="1"/>
  <c r="AY341" i="1"/>
  <c r="AY342" i="1"/>
  <c r="AY343" i="1"/>
  <c r="AY344" i="1"/>
  <c r="AZ296" i="1"/>
  <c r="AZ297" i="1"/>
  <c r="AZ298" i="1"/>
  <c r="AZ299" i="1"/>
  <c r="AZ300" i="1"/>
  <c r="AZ301" i="1"/>
  <c r="AZ302" i="1"/>
  <c r="AZ303" i="1"/>
  <c r="AZ304" i="1"/>
  <c r="AZ305" i="1"/>
  <c r="AZ306" i="1"/>
  <c r="AZ307" i="1"/>
  <c r="AZ308" i="1"/>
  <c r="AZ309" i="1"/>
  <c r="AZ310" i="1"/>
  <c r="AZ311" i="1"/>
  <c r="AZ312" i="1"/>
  <c r="AZ313" i="1"/>
  <c r="AZ314" i="1"/>
  <c r="AZ315" i="1"/>
  <c r="AZ316" i="1"/>
  <c r="AZ317" i="1"/>
  <c r="AZ318" i="1"/>
  <c r="AZ319" i="1"/>
  <c r="AZ320" i="1"/>
  <c r="AZ321" i="1"/>
  <c r="AZ322" i="1"/>
  <c r="AZ323" i="1"/>
  <c r="AZ324" i="1"/>
  <c r="AZ325" i="1"/>
  <c r="AZ326" i="1"/>
  <c r="AZ327" i="1"/>
  <c r="AZ328" i="1"/>
  <c r="AZ329" i="1"/>
  <c r="AZ330" i="1"/>
  <c r="AZ331" i="1"/>
  <c r="AZ332" i="1"/>
  <c r="AZ333" i="1"/>
  <c r="AZ334" i="1"/>
  <c r="AZ335" i="1"/>
  <c r="AZ336" i="1"/>
  <c r="AZ337" i="1"/>
  <c r="AZ338" i="1"/>
  <c r="AZ339" i="1"/>
  <c r="AZ340" i="1"/>
  <c r="AZ341" i="1"/>
  <c r="AZ342" i="1"/>
  <c r="AZ343" i="1"/>
  <c r="AZ344" i="1"/>
  <c r="BA296" i="1"/>
  <c r="BA297" i="1"/>
  <c r="BA298" i="1"/>
  <c r="BA299" i="1"/>
  <c r="BA300" i="1"/>
  <c r="BA301" i="1"/>
  <c r="BA302" i="1"/>
  <c r="BA303" i="1"/>
  <c r="BA304" i="1"/>
  <c r="BA305" i="1"/>
  <c r="BA306" i="1"/>
  <c r="BA307" i="1"/>
  <c r="BA308" i="1"/>
  <c r="BA309" i="1"/>
  <c r="BA310" i="1"/>
  <c r="BA311" i="1"/>
  <c r="BA312" i="1"/>
  <c r="BA313" i="1"/>
  <c r="BA314" i="1"/>
  <c r="BA315"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39" i="1"/>
  <c r="BA340" i="1"/>
  <c r="BA341" i="1"/>
  <c r="BA342" i="1"/>
  <c r="BA343" i="1"/>
  <c r="BA344" i="1"/>
  <c r="B276" i="1"/>
  <c r="B277" i="1"/>
  <c r="B278" i="1"/>
  <c r="B279" i="1"/>
  <c r="B280" i="1"/>
  <c r="B281" i="1"/>
  <c r="B282" i="1"/>
  <c r="B283" i="1"/>
  <c r="B284" i="1"/>
  <c r="B285" i="1"/>
  <c r="B286" i="1"/>
  <c r="B287" i="1"/>
  <c r="B288" i="1"/>
  <c r="B289" i="1"/>
  <c r="B290" i="1"/>
  <c r="B291" i="1"/>
  <c r="B292" i="1"/>
  <c r="B293" i="1"/>
  <c r="B294" i="1"/>
  <c r="B295" i="1"/>
  <c r="C276" i="1"/>
  <c r="C277" i="1"/>
  <c r="C278" i="1"/>
  <c r="C279" i="1"/>
  <c r="C280" i="1"/>
  <c r="C281" i="1"/>
  <c r="C282" i="1"/>
  <c r="C283" i="1"/>
  <c r="C284" i="1"/>
  <c r="C285" i="1"/>
  <c r="C286" i="1"/>
  <c r="C287" i="1"/>
  <c r="C288" i="1"/>
  <c r="C289" i="1"/>
  <c r="C290" i="1"/>
  <c r="C291" i="1"/>
  <c r="C292" i="1"/>
  <c r="C293" i="1"/>
  <c r="C294" i="1"/>
  <c r="C295" i="1"/>
  <c r="D276" i="1"/>
  <c r="D277" i="1"/>
  <c r="D278" i="1"/>
  <c r="D279" i="1"/>
  <c r="D280" i="1"/>
  <c r="D281" i="1"/>
  <c r="D282" i="1"/>
  <c r="D283" i="1"/>
  <c r="D284" i="1"/>
  <c r="D285" i="1"/>
  <c r="D286" i="1"/>
  <c r="D287" i="1"/>
  <c r="D288" i="1"/>
  <c r="D289" i="1"/>
  <c r="D290" i="1"/>
  <c r="D291" i="1"/>
  <c r="D292" i="1"/>
  <c r="D293" i="1"/>
  <c r="D294" i="1"/>
  <c r="D295" i="1"/>
  <c r="E276" i="1"/>
  <c r="E277" i="1"/>
  <c r="E278" i="1"/>
  <c r="E279" i="1"/>
  <c r="E280" i="1"/>
  <c r="E281" i="1"/>
  <c r="E282" i="1"/>
  <c r="E283" i="1"/>
  <c r="E284" i="1"/>
  <c r="E285" i="1"/>
  <c r="E286" i="1"/>
  <c r="E287" i="1"/>
  <c r="E288" i="1"/>
  <c r="E289" i="1"/>
  <c r="E290" i="1"/>
  <c r="E291" i="1"/>
  <c r="E292" i="1"/>
  <c r="E293" i="1"/>
  <c r="E294" i="1"/>
  <c r="E295" i="1"/>
  <c r="F276" i="1"/>
  <c r="F277" i="1"/>
  <c r="F278" i="1"/>
  <c r="F279" i="1"/>
  <c r="F280" i="1"/>
  <c r="F281" i="1"/>
  <c r="F282" i="1"/>
  <c r="F283" i="1"/>
  <c r="F284" i="1"/>
  <c r="F285" i="1"/>
  <c r="F286" i="1"/>
  <c r="F287" i="1"/>
  <c r="F288" i="1"/>
  <c r="F289" i="1"/>
  <c r="F290" i="1"/>
  <c r="F291" i="1"/>
  <c r="F292" i="1"/>
  <c r="F293" i="1"/>
  <c r="F294" i="1"/>
  <c r="F295" i="1"/>
  <c r="G276" i="1"/>
  <c r="G277" i="1"/>
  <c r="G278" i="1"/>
  <c r="G279" i="1"/>
  <c r="G280" i="1"/>
  <c r="G281" i="1"/>
  <c r="G282" i="1"/>
  <c r="G283" i="1"/>
  <c r="G284" i="1"/>
  <c r="G285" i="1"/>
  <c r="G286" i="1"/>
  <c r="G287" i="1"/>
  <c r="G288" i="1"/>
  <c r="G289" i="1"/>
  <c r="G290" i="1"/>
  <c r="G291" i="1"/>
  <c r="G292" i="1"/>
  <c r="G293" i="1"/>
  <c r="G294" i="1"/>
  <c r="G295" i="1"/>
  <c r="H276" i="1"/>
  <c r="H277" i="1"/>
  <c r="H278" i="1"/>
  <c r="H279" i="1"/>
  <c r="H280" i="1"/>
  <c r="H281" i="1"/>
  <c r="H282" i="1"/>
  <c r="H283" i="1"/>
  <c r="H284" i="1"/>
  <c r="H285" i="1"/>
  <c r="H286" i="1"/>
  <c r="H287" i="1"/>
  <c r="H288" i="1"/>
  <c r="H289" i="1"/>
  <c r="H290" i="1"/>
  <c r="H291" i="1"/>
  <c r="H292" i="1"/>
  <c r="H293" i="1"/>
  <c r="H294" i="1"/>
  <c r="H295" i="1"/>
  <c r="I276" i="1"/>
  <c r="I277" i="1"/>
  <c r="I278" i="1"/>
  <c r="I279" i="1"/>
  <c r="I280" i="1"/>
  <c r="I281" i="1"/>
  <c r="I282" i="1"/>
  <c r="I283" i="1"/>
  <c r="I284" i="1"/>
  <c r="I285" i="1"/>
  <c r="I286" i="1"/>
  <c r="I287" i="1"/>
  <c r="I288" i="1"/>
  <c r="I289" i="1"/>
  <c r="I290" i="1"/>
  <c r="I291" i="1"/>
  <c r="I292" i="1"/>
  <c r="I293" i="1"/>
  <c r="I294" i="1"/>
  <c r="I295" i="1"/>
  <c r="J276" i="1"/>
  <c r="J277" i="1"/>
  <c r="J278" i="1"/>
  <c r="J279" i="1"/>
  <c r="J280" i="1"/>
  <c r="J281" i="1"/>
  <c r="J282" i="1"/>
  <c r="J283" i="1"/>
  <c r="J284" i="1"/>
  <c r="J285" i="1"/>
  <c r="J286" i="1"/>
  <c r="J287" i="1"/>
  <c r="J288" i="1"/>
  <c r="J289" i="1"/>
  <c r="J290" i="1"/>
  <c r="J291" i="1"/>
  <c r="J292" i="1"/>
  <c r="J293" i="1"/>
  <c r="J294" i="1"/>
  <c r="J295" i="1"/>
  <c r="K276" i="1"/>
  <c r="K277" i="1"/>
  <c r="K278" i="1"/>
  <c r="K279" i="1"/>
  <c r="K280" i="1"/>
  <c r="K281" i="1"/>
  <c r="K282" i="1"/>
  <c r="K283" i="1"/>
  <c r="K284" i="1"/>
  <c r="K285" i="1"/>
  <c r="K286" i="1"/>
  <c r="K287" i="1"/>
  <c r="K288" i="1"/>
  <c r="K289" i="1"/>
  <c r="K290" i="1"/>
  <c r="K291" i="1"/>
  <c r="K292" i="1"/>
  <c r="K293" i="1"/>
  <c r="K294" i="1"/>
  <c r="K295" i="1"/>
  <c r="L276" i="1"/>
  <c r="L277" i="1"/>
  <c r="L278" i="1"/>
  <c r="L279" i="1"/>
  <c r="L280" i="1"/>
  <c r="L281" i="1"/>
  <c r="L282" i="1"/>
  <c r="L283" i="1"/>
  <c r="L284" i="1"/>
  <c r="L285" i="1"/>
  <c r="L286" i="1"/>
  <c r="L287" i="1"/>
  <c r="L288" i="1"/>
  <c r="L289" i="1"/>
  <c r="L290" i="1"/>
  <c r="L291" i="1"/>
  <c r="L292" i="1"/>
  <c r="L293" i="1"/>
  <c r="L294" i="1"/>
  <c r="L295" i="1"/>
  <c r="M276" i="1"/>
  <c r="M277" i="1"/>
  <c r="M278" i="1"/>
  <c r="M279" i="1"/>
  <c r="M280" i="1"/>
  <c r="M281" i="1"/>
  <c r="M282" i="1"/>
  <c r="M283" i="1"/>
  <c r="M284" i="1"/>
  <c r="M285" i="1"/>
  <c r="M286" i="1"/>
  <c r="M287" i="1"/>
  <c r="M288" i="1"/>
  <c r="M289" i="1"/>
  <c r="M290" i="1"/>
  <c r="M291" i="1"/>
  <c r="M292" i="1"/>
  <c r="M293" i="1"/>
  <c r="M294" i="1"/>
  <c r="M295" i="1"/>
  <c r="N276" i="1"/>
  <c r="N277" i="1"/>
  <c r="N278" i="1"/>
  <c r="N279" i="1"/>
  <c r="N280" i="1"/>
  <c r="N281" i="1"/>
  <c r="N282" i="1"/>
  <c r="N283" i="1"/>
  <c r="N284" i="1"/>
  <c r="N285" i="1"/>
  <c r="N286" i="1"/>
  <c r="N287" i="1"/>
  <c r="N288" i="1"/>
  <c r="N289" i="1"/>
  <c r="N290" i="1"/>
  <c r="N291" i="1"/>
  <c r="N292" i="1"/>
  <c r="N293" i="1"/>
  <c r="N294" i="1"/>
  <c r="N295" i="1"/>
  <c r="O276" i="1"/>
  <c r="O277" i="1"/>
  <c r="O278" i="1"/>
  <c r="O279" i="1"/>
  <c r="O280" i="1"/>
  <c r="O281" i="1"/>
  <c r="O282" i="1"/>
  <c r="O283" i="1"/>
  <c r="O284" i="1"/>
  <c r="O285" i="1"/>
  <c r="O286" i="1"/>
  <c r="O287" i="1"/>
  <c r="O288" i="1"/>
  <c r="O289" i="1"/>
  <c r="O290" i="1"/>
  <c r="O291" i="1"/>
  <c r="O292" i="1"/>
  <c r="O293" i="1"/>
  <c r="O294" i="1"/>
  <c r="O295" i="1"/>
  <c r="Q276" i="1"/>
  <c r="Q277" i="1"/>
  <c r="Q278" i="1"/>
  <c r="Q279" i="1"/>
  <c r="Q280" i="1"/>
  <c r="Q281" i="1"/>
  <c r="Q282" i="1"/>
  <c r="Q283" i="1"/>
  <c r="Q284" i="1"/>
  <c r="Q285" i="1"/>
  <c r="Q286" i="1"/>
  <c r="Q287" i="1"/>
  <c r="Q288" i="1"/>
  <c r="Q289" i="1"/>
  <c r="Q290" i="1"/>
  <c r="Q291" i="1"/>
  <c r="Q292" i="1"/>
  <c r="Q293" i="1"/>
  <c r="Q294" i="1"/>
  <c r="Q295" i="1"/>
  <c r="R276" i="1"/>
  <c r="R277" i="1"/>
  <c r="R278" i="1"/>
  <c r="R279" i="1"/>
  <c r="R280" i="1"/>
  <c r="R281" i="1"/>
  <c r="R282" i="1"/>
  <c r="R283" i="1"/>
  <c r="R284" i="1"/>
  <c r="R285" i="1"/>
  <c r="R286" i="1"/>
  <c r="R287" i="1"/>
  <c r="R288" i="1"/>
  <c r="R289" i="1"/>
  <c r="R290" i="1"/>
  <c r="R291" i="1"/>
  <c r="R292" i="1"/>
  <c r="R293" i="1"/>
  <c r="R294" i="1"/>
  <c r="R295" i="1"/>
  <c r="U276" i="1"/>
  <c r="U277" i="1"/>
  <c r="U278" i="1"/>
  <c r="U279" i="1"/>
  <c r="U280" i="1"/>
  <c r="U281" i="1"/>
  <c r="U282" i="1"/>
  <c r="U283" i="1"/>
  <c r="U284" i="1"/>
  <c r="U285" i="1"/>
  <c r="U286" i="1"/>
  <c r="U287" i="1"/>
  <c r="U288" i="1"/>
  <c r="U289" i="1"/>
  <c r="U290" i="1"/>
  <c r="U291" i="1"/>
  <c r="U292" i="1"/>
  <c r="U293" i="1"/>
  <c r="U294" i="1"/>
  <c r="U295" i="1"/>
  <c r="V276" i="1"/>
  <c r="V277" i="1"/>
  <c r="V278" i="1"/>
  <c r="V279" i="1"/>
  <c r="V280" i="1"/>
  <c r="V281" i="1"/>
  <c r="V282" i="1"/>
  <c r="V283" i="1"/>
  <c r="V284" i="1"/>
  <c r="V285" i="1"/>
  <c r="V286" i="1"/>
  <c r="V287" i="1"/>
  <c r="V288" i="1"/>
  <c r="V289" i="1"/>
  <c r="V290" i="1"/>
  <c r="V291" i="1"/>
  <c r="V292" i="1"/>
  <c r="V293" i="1"/>
  <c r="V294" i="1"/>
  <c r="V295" i="1"/>
  <c r="W276" i="1"/>
  <c r="W277" i="1"/>
  <c r="W278" i="1"/>
  <c r="W279" i="1"/>
  <c r="W280" i="1"/>
  <c r="W281" i="1"/>
  <c r="W282" i="1"/>
  <c r="W283" i="1"/>
  <c r="W284" i="1"/>
  <c r="W285" i="1"/>
  <c r="W286" i="1"/>
  <c r="W287" i="1"/>
  <c r="W288" i="1"/>
  <c r="W289" i="1"/>
  <c r="W290" i="1"/>
  <c r="W291" i="1"/>
  <c r="W292" i="1"/>
  <c r="W293" i="1"/>
  <c r="W294" i="1"/>
  <c r="W295" i="1"/>
  <c r="X276" i="1"/>
  <c r="X277" i="1"/>
  <c r="X278" i="1"/>
  <c r="X279" i="1"/>
  <c r="X280" i="1"/>
  <c r="X281" i="1"/>
  <c r="X282" i="1"/>
  <c r="X283" i="1"/>
  <c r="X284" i="1"/>
  <c r="X285" i="1"/>
  <c r="X286" i="1"/>
  <c r="X287" i="1"/>
  <c r="X288" i="1"/>
  <c r="X289" i="1"/>
  <c r="X290" i="1"/>
  <c r="X291" i="1"/>
  <c r="X292" i="1"/>
  <c r="X293" i="1"/>
  <c r="X294" i="1"/>
  <c r="X295" i="1"/>
  <c r="Y276" i="1"/>
  <c r="Y277" i="1"/>
  <c r="Y278" i="1"/>
  <c r="Y279" i="1"/>
  <c r="Y280" i="1"/>
  <c r="Y281" i="1"/>
  <c r="Y282" i="1"/>
  <c r="Y283" i="1"/>
  <c r="Y284" i="1"/>
  <c r="Y285" i="1"/>
  <c r="Y286" i="1"/>
  <c r="Y287" i="1"/>
  <c r="Y288" i="1"/>
  <c r="Y289" i="1"/>
  <c r="Y290" i="1"/>
  <c r="Y291" i="1"/>
  <c r="Y292" i="1"/>
  <c r="Y293" i="1"/>
  <c r="Y294" i="1"/>
  <c r="Y295" i="1"/>
  <c r="AB276" i="1"/>
  <c r="AB277" i="1"/>
  <c r="AB278" i="1"/>
  <c r="AB279" i="1"/>
  <c r="AB280" i="1"/>
  <c r="AB281" i="1"/>
  <c r="AB282" i="1"/>
  <c r="AB283" i="1"/>
  <c r="AB284" i="1"/>
  <c r="AB285" i="1"/>
  <c r="AB286" i="1"/>
  <c r="AB287" i="1"/>
  <c r="AB288" i="1"/>
  <c r="AB289" i="1"/>
  <c r="AB290" i="1"/>
  <c r="AB291" i="1"/>
  <c r="AB292" i="1"/>
  <c r="AB293" i="1"/>
  <c r="AB294" i="1"/>
  <c r="AB295" i="1"/>
  <c r="AC276" i="1"/>
  <c r="AC277" i="1"/>
  <c r="AC278" i="1"/>
  <c r="AC279" i="1"/>
  <c r="AC280" i="1"/>
  <c r="AC281" i="1"/>
  <c r="AC282" i="1"/>
  <c r="AC283" i="1"/>
  <c r="AC284" i="1"/>
  <c r="AC285" i="1"/>
  <c r="AC286" i="1"/>
  <c r="AC287" i="1"/>
  <c r="AC288" i="1"/>
  <c r="AC289" i="1"/>
  <c r="AC290" i="1"/>
  <c r="AC291" i="1"/>
  <c r="AC292" i="1"/>
  <c r="AC293" i="1"/>
  <c r="AC294" i="1"/>
  <c r="AC295" i="1"/>
  <c r="AD276" i="1"/>
  <c r="AD277" i="1"/>
  <c r="AD278" i="1"/>
  <c r="AD279" i="1"/>
  <c r="AD280" i="1"/>
  <c r="AD281" i="1"/>
  <c r="AD282" i="1"/>
  <c r="AD283" i="1"/>
  <c r="AD284" i="1"/>
  <c r="AD285" i="1"/>
  <c r="AD286" i="1"/>
  <c r="AD287" i="1"/>
  <c r="AD288" i="1"/>
  <c r="AD289" i="1"/>
  <c r="AD290" i="1"/>
  <c r="AD291" i="1"/>
  <c r="AD292" i="1"/>
  <c r="AD293" i="1"/>
  <c r="AD294" i="1"/>
  <c r="AD295" i="1"/>
  <c r="AE276" i="1"/>
  <c r="AE277" i="1"/>
  <c r="AE278" i="1"/>
  <c r="AE279" i="1"/>
  <c r="AE280" i="1"/>
  <c r="AE281" i="1"/>
  <c r="AE282" i="1"/>
  <c r="AE283" i="1"/>
  <c r="AE284" i="1"/>
  <c r="AE285" i="1"/>
  <c r="AE286" i="1"/>
  <c r="AE287" i="1"/>
  <c r="AE288" i="1"/>
  <c r="AE289" i="1"/>
  <c r="AE290" i="1"/>
  <c r="AE291" i="1"/>
  <c r="AE292" i="1"/>
  <c r="AE293" i="1"/>
  <c r="AE294" i="1"/>
  <c r="AE295" i="1"/>
  <c r="AF276" i="1"/>
  <c r="AF277" i="1"/>
  <c r="AF278" i="1"/>
  <c r="AF279" i="1"/>
  <c r="AF280" i="1"/>
  <c r="AF281" i="1"/>
  <c r="AF282" i="1"/>
  <c r="AF283" i="1"/>
  <c r="AF284" i="1"/>
  <c r="AF285" i="1"/>
  <c r="AF286" i="1"/>
  <c r="AF287" i="1"/>
  <c r="AF288" i="1"/>
  <c r="AF289" i="1"/>
  <c r="AF290" i="1"/>
  <c r="AF291" i="1"/>
  <c r="AF292" i="1"/>
  <c r="AF293" i="1"/>
  <c r="AF294" i="1"/>
  <c r="AF295" i="1"/>
  <c r="AG276" i="1"/>
  <c r="AG277" i="1"/>
  <c r="AG278" i="1"/>
  <c r="AG279" i="1"/>
  <c r="AG280" i="1"/>
  <c r="AG281" i="1"/>
  <c r="AG282" i="1"/>
  <c r="AG283" i="1"/>
  <c r="AG284" i="1"/>
  <c r="AG285" i="1"/>
  <c r="AG286" i="1"/>
  <c r="AG287" i="1"/>
  <c r="AG288" i="1"/>
  <c r="AG289" i="1"/>
  <c r="AG290" i="1"/>
  <c r="AG291" i="1"/>
  <c r="AG292" i="1"/>
  <c r="AG293" i="1"/>
  <c r="AG294" i="1"/>
  <c r="AG295" i="1"/>
  <c r="AH276" i="1"/>
  <c r="AH277" i="1"/>
  <c r="AH278" i="1"/>
  <c r="AH279" i="1"/>
  <c r="AH280" i="1"/>
  <c r="AH281" i="1"/>
  <c r="AH282" i="1"/>
  <c r="AH283" i="1"/>
  <c r="AH284" i="1"/>
  <c r="AH285" i="1"/>
  <c r="AH286" i="1"/>
  <c r="AH287" i="1"/>
  <c r="AH288" i="1"/>
  <c r="AH289" i="1"/>
  <c r="AH290" i="1"/>
  <c r="AH291" i="1"/>
  <c r="AH292" i="1"/>
  <c r="AH293" i="1"/>
  <c r="AH294" i="1"/>
  <c r="AH295" i="1"/>
  <c r="AI276" i="1"/>
  <c r="AI277" i="1"/>
  <c r="AI278" i="1"/>
  <c r="AI279" i="1"/>
  <c r="AI280" i="1"/>
  <c r="AI281" i="1"/>
  <c r="AI282" i="1"/>
  <c r="AI283" i="1"/>
  <c r="AI284" i="1"/>
  <c r="AI285" i="1"/>
  <c r="AI286" i="1"/>
  <c r="AI287" i="1"/>
  <c r="AI288" i="1"/>
  <c r="AI289" i="1"/>
  <c r="AI290" i="1"/>
  <c r="AI291" i="1"/>
  <c r="AI292" i="1"/>
  <c r="AI293" i="1"/>
  <c r="AI294" i="1"/>
  <c r="AI295" i="1"/>
  <c r="AJ276" i="1"/>
  <c r="AJ277" i="1"/>
  <c r="AJ278" i="1"/>
  <c r="AJ279" i="1"/>
  <c r="AJ280" i="1"/>
  <c r="AJ281" i="1"/>
  <c r="AJ282" i="1"/>
  <c r="AJ283" i="1"/>
  <c r="AJ284" i="1"/>
  <c r="AJ285" i="1"/>
  <c r="AJ286" i="1"/>
  <c r="AJ287" i="1"/>
  <c r="AJ288" i="1"/>
  <c r="AJ289" i="1"/>
  <c r="AJ290" i="1"/>
  <c r="AJ291" i="1"/>
  <c r="AJ292" i="1"/>
  <c r="AJ293" i="1"/>
  <c r="AJ294" i="1"/>
  <c r="AJ295" i="1"/>
  <c r="AK276" i="1"/>
  <c r="AK277" i="1"/>
  <c r="AK278" i="1"/>
  <c r="AK279" i="1"/>
  <c r="AK280" i="1"/>
  <c r="AK281" i="1"/>
  <c r="AK282" i="1"/>
  <c r="AK283" i="1"/>
  <c r="AK284" i="1"/>
  <c r="AK285" i="1"/>
  <c r="AK286" i="1"/>
  <c r="AK287" i="1"/>
  <c r="AK288" i="1"/>
  <c r="AK289" i="1"/>
  <c r="AK290" i="1"/>
  <c r="AK291" i="1"/>
  <c r="AK292" i="1"/>
  <c r="AK293" i="1"/>
  <c r="AK294" i="1"/>
  <c r="AK295" i="1"/>
  <c r="AL276" i="1"/>
  <c r="AL277" i="1"/>
  <c r="AL278" i="1"/>
  <c r="AL279" i="1"/>
  <c r="AL280" i="1"/>
  <c r="AL281" i="1"/>
  <c r="AL282" i="1"/>
  <c r="AL283" i="1"/>
  <c r="AL284" i="1"/>
  <c r="AL285" i="1"/>
  <c r="AL286" i="1"/>
  <c r="AL287" i="1"/>
  <c r="AL288" i="1"/>
  <c r="AL289" i="1"/>
  <c r="AL290" i="1"/>
  <c r="AL291" i="1"/>
  <c r="AL292" i="1"/>
  <c r="AL293" i="1"/>
  <c r="AL294" i="1"/>
  <c r="AL295" i="1"/>
  <c r="AN276" i="1"/>
  <c r="AN277" i="1"/>
  <c r="AN278" i="1"/>
  <c r="AN279" i="1"/>
  <c r="AN280" i="1"/>
  <c r="AN281" i="1"/>
  <c r="AN282" i="1"/>
  <c r="AN283" i="1"/>
  <c r="AN284" i="1"/>
  <c r="AN285" i="1"/>
  <c r="AN286" i="1"/>
  <c r="AN287" i="1"/>
  <c r="AN288" i="1"/>
  <c r="AN289" i="1"/>
  <c r="AN290" i="1"/>
  <c r="AN291" i="1"/>
  <c r="AN292" i="1"/>
  <c r="AN293" i="1"/>
  <c r="AN294" i="1"/>
  <c r="AN295" i="1"/>
  <c r="AO276" i="1"/>
  <c r="AO277" i="1"/>
  <c r="AO278" i="1"/>
  <c r="AO279" i="1"/>
  <c r="AO280" i="1"/>
  <c r="AO281" i="1"/>
  <c r="AO282" i="1"/>
  <c r="AO283" i="1"/>
  <c r="AO284" i="1"/>
  <c r="AO285" i="1"/>
  <c r="AO286" i="1"/>
  <c r="AO287" i="1"/>
  <c r="AO288" i="1"/>
  <c r="AO289" i="1"/>
  <c r="AO290" i="1"/>
  <c r="AO291" i="1"/>
  <c r="AO292" i="1"/>
  <c r="AO293" i="1"/>
  <c r="AO294" i="1"/>
  <c r="AO295" i="1"/>
  <c r="AP276" i="1"/>
  <c r="AP277" i="1"/>
  <c r="AP278" i="1"/>
  <c r="AP279" i="1"/>
  <c r="AP280" i="1"/>
  <c r="AP281" i="1"/>
  <c r="AP282" i="1"/>
  <c r="AP283" i="1"/>
  <c r="AP284" i="1"/>
  <c r="AP285" i="1"/>
  <c r="AP286" i="1"/>
  <c r="AP287" i="1"/>
  <c r="AP288" i="1"/>
  <c r="AP289" i="1"/>
  <c r="AP290" i="1"/>
  <c r="AP291" i="1"/>
  <c r="AP292" i="1"/>
  <c r="AP293" i="1"/>
  <c r="AP294" i="1"/>
  <c r="AP295" i="1"/>
  <c r="AQ276" i="1"/>
  <c r="AQ277" i="1"/>
  <c r="AQ278" i="1"/>
  <c r="AQ279" i="1"/>
  <c r="AQ280" i="1"/>
  <c r="AQ281" i="1"/>
  <c r="AQ282" i="1"/>
  <c r="AQ283" i="1"/>
  <c r="AQ284" i="1"/>
  <c r="AQ285" i="1"/>
  <c r="AQ286" i="1"/>
  <c r="AQ287" i="1"/>
  <c r="AQ288" i="1"/>
  <c r="AQ289" i="1"/>
  <c r="AQ290" i="1"/>
  <c r="AQ291" i="1"/>
  <c r="AQ292" i="1"/>
  <c r="AQ293" i="1"/>
  <c r="AQ294" i="1"/>
  <c r="AQ295" i="1"/>
  <c r="AS276" i="1"/>
  <c r="AS277" i="1"/>
  <c r="AS278" i="1"/>
  <c r="AS279" i="1"/>
  <c r="AS280" i="1"/>
  <c r="AS281" i="1"/>
  <c r="AS282" i="1"/>
  <c r="AS283" i="1"/>
  <c r="AS284" i="1"/>
  <c r="AS285" i="1"/>
  <c r="AS286" i="1"/>
  <c r="AS287" i="1"/>
  <c r="AS288" i="1"/>
  <c r="AS289" i="1"/>
  <c r="AS290" i="1"/>
  <c r="AS291" i="1"/>
  <c r="AS292" i="1"/>
  <c r="AS293" i="1"/>
  <c r="AS294" i="1"/>
  <c r="AS295" i="1"/>
  <c r="AT276" i="1"/>
  <c r="AT277" i="1"/>
  <c r="AT278" i="1"/>
  <c r="AT279" i="1"/>
  <c r="AT280" i="1"/>
  <c r="AT281" i="1"/>
  <c r="AT282" i="1"/>
  <c r="AT283" i="1"/>
  <c r="AT284" i="1"/>
  <c r="AT285" i="1"/>
  <c r="AT286" i="1"/>
  <c r="AT287" i="1"/>
  <c r="AT288" i="1"/>
  <c r="AT289" i="1"/>
  <c r="AT290" i="1"/>
  <c r="AT291" i="1"/>
  <c r="AT292" i="1"/>
  <c r="AT293" i="1"/>
  <c r="AT294" i="1"/>
  <c r="AT295" i="1"/>
  <c r="AU276" i="1"/>
  <c r="AU277" i="1"/>
  <c r="AU278" i="1"/>
  <c r="AU279" i="1"/>
  <c r="AU280" i="1"/>
  <c r="AU281" i="1"/>
  <c r="AU282" i="1"/>
  <c r="AU283" i="1"/>
  <c r="AU284" i="1"/>
  <c r="AU285" i="1"/>
  <c r="AU286" i="1"/>
  <c r="AU287" i="1"/>
  <c r="AU288" i="1"/>
  <c r="AU289" i="1"/>
  <c r="AU290" i="1"/>
  <c r="AU291" i="1"/>
  <c r="AU292" i="1"/>
  <c r="AU293" i="1"/>
  <c r="AU294" i="1"/>
  <c r="AU295" i="1"/>
  <c r="AV276" i="1"/>
  <c r="AV277" i="1"/>
  <c r="AV278" i="1"/>
  <c r="AV279" i="1"/>
  <c r="AV280" i="1"/>
  <c r="AV281" i="1"/>
  <c r="AV282" i="1"/>
  <c r="AV283" i="1"/>
  <c r="AV284" i="1"/>
  <c r="AV285" i="1"/>
  <c r="AV286" i="1"/>
  <c r="AV287" i="1"/>
  <c r="AV288" i="1"/>
  <c r="AV289" i="1"/>
  <c r="AV290" i="1"/>
  <c r="AV291" i="1"/>
  <c r="AV292" i="1"/>
  <c r="AV293" i="1"/>
  <c r="AV294" i="1"/>
  <c r="AV295" i="1"/>
  <c r="AW276" i="1"/>
  <c r="AW277" i="1"/>
  <c r="AW278" i="1"/>
  <c r="AW279" i="1"/>
  <c r="AW280" i="1"/>
  <c r="AW281" i="1"/>
  <c r="AW282" i="1"/>
  <c r="AW283" i="1"/>
  <c r="AW284" i="1"/>
  <c r="AW285" i="1"/>
  <c r="AW286" i="1"/>
  <c r="AW287" i="1"/>
  <c r="AW288" i="1"/>
  <c r="AW289" i="1"/>
  <c r="AW290" i="1"/>
  <c r="AW291" i="1"/>
  <c r="AW292" i="1"/>
  <c r="AW293" i="1"/>
  <c r="AW294" i="1"/>
  <c r="AW295" i="1"/>
  <c r="AX276" i="1"/>
  <c r="AX277" i="1"/>
  <c r="AX278" i="1"/>
  <c r="AX279" i="1"/>
  <c r="AX280" i="1"/>
  <c r="AX281" i="1"/>
  <c r="AX282" i="1"/>
  <c r="AX283" i="1"/>
  <c r="AX284" i="1"/>
  <c r="AX285" i="1"/>
  <c r="AX286" i="1"/>
  <c r="AX287" i="1"/>
  <c r="AX288" i="1"/>
  <c r="AX289" i="1"/>
  <c r="AX290" i="1"/>
  <c r="AX291" i="1"/>
  <c r="AX292" i="1"/>
  <c r="AX293" i="1"/>
  <c r="AX294" i="1"/>
  <c r="AX295" i="1"/>
  <c r="AY276" i="1"/>
  <c r="AY277" i="1"/>
  <c r="AY278" i="1"/>
  <c r="AY279" i="1"/>
  <c r="AY280" i="1"/>
  <c r="AY281" i="1"/>
  <c r="AY282" i="1"/>
  <c r="AY283" i="1"/>
  <c r="AY284" i="1"/>
  <c r="AY285" i="1"/>
  <c r="AY286" i="1"/>
  <c r="AY287" i="1"/>
  <c r="AY288" i="1"/>
  <c r="AY289" i="1"/>
  <c r="AY290" i="1"/>
  <c r="AY291" i="1"/>
  <c r="AY292" i="1"/>
  <c r="AY293" i="1"/>
  <c r="AY294" i="1"/>
  <c r="AY295" i="1"/>
  <c r="AZ276" i="1"/>
  <c r="AZ277" i="1"/>
  <c r="AZ278" i="1"/>
  <c r="AZ279" i="1"/>
  <c r="AZ280" i="1"/>
  <c r="AZ281" i="1"/>
  <c r="AZ282" i="1"/>
  <c r="AZ283" i="1"/>
  <c r="AZ284" i="1"/>
  <c r="AZ285" i="1"/>
  <c r="AZ286" i="1"/>
  <c r="AZ287" i="1"/>
  <c r="AZ288" i="1"/>
  <c r="AZ289" i="1"/>
  <c r="AZ290" i="1"/>
  <c r="AZ291" i="1"/>
  <c r="AZ292" i="1"/>
  <c r="AZ293" i="1"/>
  <c r="AZ294" i="1"/>
  <c r="AZ295" i="1"/>
  <c r="BA276" i="1"/>
  <c r="BA277" i="1"/>
  <c r="BA278" i="1"/>
  <c r="BA279" i="1"/>
  <c r="BA280" i="1"/>
  <c r="BA281" i="1"/>
  <c r="BA282" i="1"/>
  <c r="BA283" i="1"/>
  <c r="BA284" i="1"/>
  <c r="BA285" i="1"/>
  <c r="BA286" i="1"/>
  <c r="BA287" i="1"/>
  <c r="BA288" i="1"/>
  <c r="BA289" i="1"/>
  <c r="BA290" i="1"/>
  <c r="BA291" i="1"/>
  <c r="BA292" i="1"/>
  <c r="BA293" i="1"/>
  <c r="BA294" i="1"/>
  <c r="BA295" i="1"/>
  <c r="P51" i="18" l="1"/>
  <c r="T51" i="18" s="1" a="1"/>
  <c r="T51" i="18" s="1"/>
  <c r="Z51" i="18" s="1"/>
  <c r="AA51" i="18" s="1"/>
  <c r="P53" i="18"/>
  <c r="T53" i="18" s="1" a="1"/>
  <c r="T53" i="18" s="1"/>
  <c r="Z53" i="18" s="1"/>
  <c r="AA53" i="18" s="1"/>
  <c r="P50" i="18"/>
  <c r="T50" i="18" s="1" a="1"/>
  <c r="T50" i="18" s="1"/>
  <c r="Z50" i="18" s="1"/>
  <c r="AA50" i="18" s="1"/>
  <c r="P52" i="18"/>
  <c r="T52" i="18" s="1" a="1"/>
  <c r="T52" i="18" s="1"/>
  <c r="Z52" i="18" s="1"/>
  <c r="AA52" i="18" s="1"/>
  <c r="A106" i="18"/>
  <c r="A107" i="18" s="1"/>
  <c r="A108" i="18" s="1"/>
  <c r="A109" i="18" s="1"/>
  <c r="A110" i="18" s="1"/>
  <c r="A111" i="18" s="1"/>
  <c r="A112" i="18" s="1"/>
  <c r="A113" i="18" s="1"/>
  <c r="A114" i="18" s="1"/>
  <c r="A115" i="18" s="1"/>
  <c r="A116" i="18" s="1"/>
  <c r="A117" i="18" s="1"/>
  <c r="A118" i="18" s="1"/>
  <c r="A119" i="18" s="1"/>
  <c r="A120" i="18" s="1"/>
  <c r="A121" i="18" s="1"/>
  <c r="A122" i="18" s="1"/>
  <c r="A123" i="18" s="1"/>
  <c r="A124" i="18" s="1"/>
  <c r="A125" i="18" s="1"/>
  <c r="A126" i="18" s="1"/>
  <c r="A127" i="18" s="1"/>
  <c r="A128" i="18" s="1"/>
  <c r="A129" i="18" s="1"/>
  <c r="A130" i="18" s="1"/>
  <c r="A131" i="18" s="1"/>
  <c r="A132" i="18" s="1"/>
  <c r="A133" i="18" s="1"/>
  <c r="A134" i="18" s="1"/>
  <c r="A135" i="18" s="1"/>
  <c r="A136" i="18" s="1"/>
  <c r="A137" i="18" s="1"/>
  <c r="A138" i="18" s="1"/>
  <c r="A139" i="18" s="1"/>
  <c r="A140" i="18" s="1"/>
  <c r="A141" i="18" s="1"/>
  <c r="A142" i="18" s="1"/>
  <c r="A143" i="18" s="1"/>
  <c r="A144" i="18" s="1"/>
  <c r="A145" i="18" s="1"/>
  <c r="A146" i="18" s="1"/>
  <c r="A147" i="18" s="1"/>
  <c r="A148" i="18" s="1"/>
  <c r="A149" i="18" s="1"/>
  <c r="A150" i="18" s="1"/>
  <c r="A151" i="18" s="1"/>
  <c r="A152" i="18" s="1"/>
  <c r="A153" i="18" s="1"/>
  <c r="A154" i="18" s="1"/>
  <c r="A155" i="18" s="1"/>
  <c r="A156" i="18" s="1"/>
  <c r="A157" i="18" s="1"/>
  <c r="A158" i="18" s="1"/>
  <c r="A159" i="18" s="1"/>
  <c r="A160" i="18" s="1"/>
  <c r="A161" i="18" s="1"/>
  <c r="A162" i="18" s="1"/>
  <c r="A163" i="18" s="1"/>
  <c r="A164" i="18" s="1"/>
  <c r="A165" i="18" s="1"/>
  <c r="A166" i="18" s="1"/>
  <c r="A167" i="18" s="1"/>
  <c r="A168" i="18" s="1"/>
  <c r="A169" i="18" s="1"/>
  <c r="A170" i="18" s="1"/>
  <c r="A171" i="18" s="1"/>
  <c r="A172" i="18" s="1"/>
  <c r="A173" i="18" s="1"/>
  <c r="A174" i="18" s="1"/>
  <c r="A175" i="18" s="1"/>
  <c r="A176" i="18" s="1"/>
  <c r="A177" i="18" s="1"/>
  <c r="A178" i="18" s="1"/>
  <c r="A179" i="18" s="1"/>
  <c r="A180" i="18" s="1"/>
  <c r="A181" i="18" s="1"/>
  <c r="A182" i="18" s="1"/>
  <c r="A183" i="18" s="1"/>
  <c r="A184" i="18" s="1"/>
  <c r="A185" i="18" s="1"/>
  <c r="A186" i="18" s="1"/>
  <c r="A187" i="18" s="1"/>
  <c r="A188" i="18" s="1"/>
  <c r="A189" i="18" s="1"/>
  <c r="A190" i="18" s="1"/>
  <c r="A191" i="18" s="1"/>
  <c r="A192" i="18" s="1"/>
  <c r="A193" i="18" s="1"/>
  <c r="A194" i="18" s="1"/>
  <c r="A195" i="18" s="1"/>
  <c r="A196" i="18" s="1"/>
  <c r="A197" i="18" s="1"/>
  <c r="A198" i="18" s="1"/>
  <c r="A199" i="18" s="1"/>
  <c r="A200" i="18" s="1"/>
  <c r="A201" i="18" s="1"/>
  <c r="A202" i="18" s="1"/>
  <c r="A203" i="18" s="1"/>
  <c r="A204" i="18" s="1"/>
  <c r="A205" i="18" s="1"/>
  <c r="A206" i="18" s="1"/>
  <c r="A207" i="18" s="1"/>
  <c r="A208" i="18" s="1"/>
  <c r="A209" i="18" s="1"/>
  <c r="A210" i="18" s="1"/>
  <c r="A211" i="18" s="1"/>
  <c r="A212" i="18" s="1"/>
  <c r="A213" i="18" s="1"/>
  <c r="A214" i="18" s="1"/>
  <c r="A215" i="18" s="1"/>
  <c r="A216" i="18" s="1"/>
  <c r="A217" i="18" s="1"/>
  <c r="A218" i="18" s="1"/>
  <c r="A219" i="18" s="1"/>
  <c r="A220" i="18" s="1"/>
  <c r="A221" i="18" s="1"/>
  <c r="A222" i="18" s="1"/>
  <c r="A223" i="18" s="1"/>
  <c r="A224" i="18" s="1"/>
  <c r="A225" i="18" s="1"/>
  <c r="A226" i="18" s="1"/>
  <c r="A227" i="18" s="1"/>
  <c r="A228" i="18" s="1"/>
  <c r="A229" i="18" s="1"/>
  <c r="A230" i="18" s="1"/>
  <c r="A231" i="18" s="1"/>
  <c r="A232" i="18" s="1"/>
  <c r="A233" i="18" s="1"/>
  <c r="A234" i="18" s="1"/>
  <c r="A235" i="18" s="1"/>
  <c r="A236" i="18" s="1"/>
  <c r="A237" i="18" s="1"/>
  <c r="A238" i="18" s="1"/>
  <c r="A239" i="18" s="1"/>
  <c r="A240" i="18" s="1"/>
  <c r="A241" i="18" s="1"/>
  <c r="A242" i="18" s="1"/>
  <c r="A243" i="18" s="1"/>
  <c r="A244" i="18" s="1"/>
  <c r="A245" i="18" s="1"/>
  <c r="A246" i="18" s="1"/>
  <c r="A247" i="18" s="1"/>
  <c r="Z145" i="18"/>
  <c r="AA145" i="18" s="1"/>
  <c r="Z149" i="18"/>
  <c r="AA149" i="18" s="1"/>
  <c r="Z146" i="18"/>
  <c r="AA146" i="18" s="1"/>
  <c r="Z147" i="18"/>
  <c r="AA147" i="18" s="1"/>
  <c r="Z148" i="18"/>
  <c r="AA148" i="18" s="1"/>
  <c r="P325" i="18"/>
  <c r="T325" i="18" s="1" a="1"/>
  <c r="T325" i="18" s="1"/>
  <c r="P323" i="18"/>
  <c r="T323" i="18" s="1" a="1"/>
  <c r="T323" i="18" s="1"/>
  <c r="P170" i="18"/>
  <c r="T170" i="18" s="1" a="1"/>
  <c r="T170" i="18" s="1"/>
  <c r="Z170" i="18" s="1"/>
  <c r="AA170" i="18" s="1"/>
  <c r="T250" i="18" a="1"/>
  <c r="T250" i="18" s="1"/>
  <c r="Z250" i="18" s="1"/>
  <c r="AA250" i="18" s="1"/>
  <c r="T253" i="18" a="1"/>
  <c r="T253" i="18" s="1"/>
  <c r="Z253" i="18" s="1"/>
  <c r="AA253" i="18" s="1"/>
  <c r="P235" i="18"/>
  <c r="T235" i="18" s="1" a="1"/>
  <c r="T235" i="18" s="1"/>
  <c r="Z235" i="18" s="1"/>
  <c r="AA235" i="18" s="1"/>
  <c r="P161" i="18"/>
  <c r="T161" i="18" s="1" a="1"/>
  <c r="T161" i="18" s="1"/>
  <c r="Z161" i="18" s="1"/>
  <c r="AA161" i="18" s="1"/>
  <c r="P177" i="18"/>
  <c r="T177" i="18" s="1" a="1"/>
  <c r="T177" i="18" s="1"/>
  <c r="Z177" i="18" s="1"/>
  <c r="AA177" i="18" s="1"/>
  <c r="T305" i="18" a="1"/>
  <c r="T305" i="18" s="1"/>
  <c r="Z305" i="18" s="1"/>
  <c r="AA305" i="18" s="1"/>
  <c r="T290" i="18" a="1"/>
  <c r="T290" i="18" s="1"/>
  <c r="Z290" i="18" s="1"/>
  <c r="AA290" i="18" s="1"/>
  <c r="P166" i="18"/>
  <c r="T166" i="18" s="1" a="1"/>
  <c r="T166" i="18" s="1"/>
  <c r="Z166" i="18" s="1"/>
  <c r="AA166" i="18" s="1"/>
  <c r="P167" i="18"/>
  <c r="T167" i="18" s="1" a="1"/>
  <c r="T167" i="18" s="1"/>
  <c r="Z167" i="18" s="1"/>
  <c r="AA167" i="18" s="1"/>
  <c r="P238" i="18"/>
  <c r="T238" i="18" s="1" a="1"/>
  <c r="T238" i="18" s="1"/>
  <c r="Z238" i="18" s="1"/>
  <c r="AA238" i="18" s="1"/>
  <c r="T270" i="18" a="1"/>
  <c r="T270" i="18" s="1"/>
  <c r="Z270" i="18" s="1"/>
  <c r="AA270" i="18" s="1"/>
  <c r="T251" i="18" a="1"/>
  <c r="T251" i="18" s="1"/>
  <c r="Z251" i="18" s="1"/>
  <c r="AA251" i="18" s="1"/>
  <c r="P158" i="18"/>
  <c r="T158" i="18" s="1" a="1"/>
  <c r="T158" i="18" s="1"/>
  <c r="Z276" i="18"/>
  <c r="AA276" i="18" s="1"/>
  <c r="P173" i="18"/>
  <c r="T173" i="18" s="1" a="1"/>
  <c r="T173" i="18" s="1"/>
  <c r="Z173" i="18" s="1"/>
  <c r="AA173" i="18" s="1"/>
  <c r="P322" i="18"/>
  <c r="T322" i="18" s="1" a="1"/>
  <c r="T322" i="18" s="1"/>
  <c r="T268" i="18" a="1"/>
  <c r="T268" i="18" s="1"/>
  <c r="Z268" i="18" s="1"/>
  <c r="AA268" i="18" s="1"/>
  <c r="P143" i="18"/>
  <c r="T143" i="18" s="1" a="1"/>
  <c r="T143" i="18" s="1"/>
  <c r="P180" i="18"/>
  <c r="T180" i="18" s="1" a="1"/>
  <c r="T180" i="18" s="1"/>
  <c r="Z180" i="18" s="1"/>
  <c r="AA180" i="18" s="1"/>
  <c r="P239" i="18"/>
  <c r="T239" i="18" s="1" a="1"/>
  <c r="T239" i="18" s="1"/>
  <c r="Z239" i="18" s="1"/>
  <c r="AA239" i="18" s="1"/>
  <c r="T256" i="18" a="1"/>
  <c r="T256" i="18" s="1"/>
  <c r="Z256" i="18" s="1"/>
  <c r="AA256" i="18" s="1"/>
  <c r="T252" i="18" a="1"/>
  <c r="T252" i="18" s="1"/>
  <c r="Z252" i="18" s="1"/>
  <c r="AA252" i="18" s="1"/>
  <c r="T266" i="18" a="1"/>
  <c r="T266" i="18" s="1"/>
  <c r="Z266" i="18" s="1"/>
  <c r="AA266" i="18" s="1"/>
  <c r="P240" i="18"/>
  <c r="T240" i="18" s="1" a="1"/>
  <c r="T240" i="18" s="1"/>
  <c r="Z240" i="18" s="1"/>
  <c r="AA240" i="18" s="1"/>
  <c r="T257" i="18" a="1"/>
  <c r="T257" i="18" s="1"/>
  <c r="Z257" i="18" s="1"/>
  <c r="AA257" i="18" s="1"/>
  <c r="P179" i="18"/>
  <c r="T179" i="18" s="1" a="1"/>
  <c r="T179" i="18" s="1"/>
  <c r="Z179" i="18" s="1"/>
  <c r="AA179" i="18" s="1"/>
  <c r="P183" i="18"/>
  <c r="T183" i="18" s="1" a="1"/>
  <c r="T183" i="18" s="1"/>
  <c r="Z183" i="18" s="1"/>
  <c r="AA183" i="18" s="1"/>
  <c r="P246" i="18"/>
  <c r="T246" i="18" s="1" a="1"/>
  <c r="T246" i="18" s="1"/>
  <c r="Z246" i="18" s="1"/>
  <c r="AA246" i="18" s="1"/>
  <c r="T282" i="18" a="1"/>
  <c r="T282" i="18" s="1"/>
  <c r="Z282" i="18" s="1"/>
  <c r="AA282" i="18" s="1"/>
  <c r="T278" i="18" a="1"/>
  <c r="T278" i="18" s="1"/>
  <c r="Z278" i="18" s="1"/>
  <c r="AA278" i="18" s="1"/>
  <c r="T283" i="18" a="1"/>
  <c r="T283" i="18" s="1"/>
  <c r="Z283" i="18" s="1"/>
  <c r="AA283" i="18" s="1"/>
  <c r="P172" i="18"/>
  <c r="T172" i="18" s="1" a="1"/>
  <c r="T172" i="18" s="1"/>
  <c r="Z172" i="18" s="1"/>
  <c r="AA172" i="18" s="1"/>
  <c r="T261" i="18" a="1"/>
  <c r="T261" i="18" s="1"/>
  <c r="Z261" i="18" s="1"/>
  <c r="AA261" i="18" s="1"/>
  <c r="P236" i="18"/>
  <c r="T236" i="18" s="1" a="1"/>
  <c r="T236" i="18" s="1"/>
  <c r="Z236" i="18" s="1"/>
  <c r="AA236" i="18" s="1"/>
  <c r="P171" i="18"/>
  <c r="T171" i="18" s="1" a="1"/>
  <c r="T171" i="18" s="1"/>
  <c r="Z171" i="18" s="1"/>
  <c r="AA171" i="18" s="1"/>
  <c r="T277" i="18" a="1"/>
  <c r="T277" i="18" s="1"/>
  <c r="Z277" i="18" s="1"/>
  <c r="AA277" i="18" s="1"/>
  <c r="P181" i="18"/>
  <c r="T181" i="18" s="1" a="1"/>
  <c r="T181" i="18" s="1"/>
  <c r="Z181" i="18" s="1"/>
  <c r="AA181" i="18" s="1"/>
  <c r="P241" i="18"/>
  <c r="T241" i="18" s="1" a="1"/>
  <c r="T241" i="18" s="1"/>
  <c r="Z241" i="18" s="1"/>
  <c r="AA241" i="18" s="1"/>
  <c r="T274" i="18" a="1"/>
  <c r="T274" i="18" s="1"/>
  <c r="Z274" i="18" s="1"/>
  <c r="AA274" i="18" s="1"/>
  <c r="T306" i="18" a="1"/>
  <c r="T306" i="18" s="1"/>
  <c r="Z306" i="18" s="1"/>
  <c r="AA306" i="18" s="1"/>
  <c r="T310" i="18" a="1"/>
  <c r="T310" i="18" s="1"/>
  <c r="Z310" i="18" s="1"/>
  <c r="AA310" i="18" s="1"/>
  <c r="P140" i="18"/>
  <c r="T140" i="18" s="1" a="1"/>
  <c r="T140" i="18" s="1"/>
  <c r="Z140" i="18" s="1"/>
  <c r="AA140" i="18" s="1"/>
  <c r="P154" i="18"/>
  <c r="T154" i="18" s="1" a="1"/>
  <c r="T154" i="18" s="1"/>
  <c r="P176" i="18"/>
  <c r="T176" i="18" s="1" a="1"/>
  <c r="T176" i="18" s="1"/>
  <c r="Z176" i="18" s="1"/>
  <c r="AA176" i="18" s="1"/>
  <c r="P242" i="18"/>
  <c r="T242" i="18" s="1" a="1"/>
  <c r="T242" i="18" s="1"/>
  <c r="Z242" i="18" s="1"/>
  <c r="AA242" i="18" s="1"/>
  <c r="T254" i="18" a="1"/>
  <c r="T254" i="18" s="1"/>
  <c r="Z254" i="18" s="1"/>
  <c r="AA254" i="18" s="1"/>
  <c r="T262" i="18" a="1"/>
  <c r="T262" i="18" s="1"/>
  <c r="Z262" i="18" s="1"/>
  <c r="AA262" i="18" s="1"/>
  <c r="T311" i="18" a="1"/>
  <c r="T311" i="18" s="1"/>
  <c r="Z311" i="18" s="1"/>
  <c r="AA311" i="18" s="1"/>
  <c r="T126" i="18" a="1"/>
  <c r="T126" i="18" s="1"/>
  <c r="Z126" i="18" s="1"/>
  <c r="AA126" i="18" s="1"/>
  <c r="P155" i="18"/>
  <c r="T155" i="18" s="1" a="1"/>
  <c r="T155" i="18" s="1"/>
  <c r="Z155" i="18" s="1"/>
  <c r="AA155" i="18" s="1"/>
  <c r="T275" i="18" a="1"/>
  <c r="T275" i="18" s="1"/>
  <c r="Z275" i="18" s="1"/>
  <c r="AA275" i="18" s="1"/>
  <c r="T284" i="18" a="1"/>
  <c r="T284" i="18" s="1"/>
  <c r="Z284" i="18" s="1"/>
  <c r="AA284" i="18" s="1"/>
  <c r="T312" i="18" a="1"/>
  <c r="T312" i="18" s="1"/>
  <c r="Z312" i="18" s="1"/>
  <c r="AA312" i="18" s="1"/>
  <c r="P162" i="18"/>
  <c r="T162" i="18" s="1" a="1"/>
  <c r="T162" i="18" s="1"/>
  <c r="Z162" i="18" s="1"/>
  <c r="AA162" i="18" s="1"/>
  <c r="P168" i="18"/>
  <c r="T168" i="18" s="1" a="1"/>
  <c r="T168" i="18" s="1"/>
  <c r="Z168" i="18" s="1"/>
  <c r="AA168" i="18" s="1"/>
  <c r="T255" i="18" a="1"/>
  <c r="T255" i="18" s="1"/>
  <c r="Z255" i="18" s="1"/>
  <c r="AA255" i="18" s="1"/>
  <c r="T303" i="18" a="1"/>
  <c r="T303" i="18" s="1"/>
  <c r="Z303" i="18" s="1"/>
  <c r="AA303" i="18" s="1"/>
  <c r="T263" i="18" a="1"/>
  <c r="T263" i="18" s="1"/>
  <c r="Z263" i="18" s="1"/>
  <c r="AA263" i="18" s="1"/>
  <c r="T272" i="18" a="1"/>
  <c r="T272" i="18" s="1"/>
  <c r="Z272" i="18" s="1"/>
  <c r="AA272" i="18" s="1"/>
  <c r="P142" i="18"/>
  <c r="T142" i="18" s="1" a="1"/>
  <c r="T142" i="18" s="1"/>
  <c r="Z142" i="18" s="1"/>
  <c r="AA142" i="18" s="1"/>
  <c r="P160" i="18"/>
  <c r="T160" i="18" s="1" a="1"/>
  <c r="T160" i="18" s="1"/>
  <c r="Z160" i="18" s="1"/>
  <c r="AA160" i="18" s="1"/>
  <c r="P163" i="18"/>
  <c r="T163" i="18" s="1" a="1"/>
  <c r="T163" i="18" s="1"/>
  <c r="Z163" i="18" s="1"/>
  <c r="AA163" i="18" s="1"/>
  <c r="P184" i="18"/>
  <c r="T184" i="18" s="1" a="1"/>
  <c r="T184" i="18" s="1"/>
  <c r="Z184" i="18" s="1"/>
  <c r="AA184" i="18" s="1"/>
  <c r="P232" i="18"/>
  <c r="T232" i="18" s="1" a="1"/>
  <c r="T232" i="18" s="1"/>
  <c r="Z232" i="18" s="1"/>
  <c r="AA232" i="18" s="1"/>
  <c r="T260" i="18" a="1"/>
  <c r="T260" i="18" s="1"/>
  <c r="Z260" i="18" s="1"/>
  <c r="AA260" i="18" s="1"/>
  <c r="T285" i="18" a="1"/>
  <c r="T285" i="18" s="1"/>
  <c r="Z285" i="18" s="1"/>
  <c r="AA285" i="18" s="1"/>
  <c r="P139" i="18"/>
  <c r="T139" i="18" s="1" a="1"/>
  <c r="T139" i="18" s="1"/>
  <c r="P178" i="18"/>
  <c r="T178" i="18" s="1" a="1"/>
  <c r="T178" i="18" s="1"/>
  <c r="Z178" i="18" s="1"/>
  <c r="AA178" i="18" s="1"/>
  <c r="T309" i="18" a="1"/>
  <c r="T309" i="18" s="1"/>
  <c r="Z309" i="18" s="1"/>
  <c r="AA309" i="18" s="1"/>
  <c r="T307" i="18" a="1"/>
  <c r="T307" i="18" s="1"/>
  <c r="Z307" i="18" s="1"/>
  <c r="AA307" i="18" s="1"/>
  <c r="T279" i="18" a="1"/>
  <c r="T279" i="18" s="1"/>
  <c r="Z279" i="18" s="1"/>
  <c r="AA279" i="18" s="1"/>
  <c r="T286" i="18" a="1"/>
  <c r="T286" i="18" s="1"/>
  <c r="Z286" i="18" s="1"/>
  <c r="AA286" i="18" s="1"/>
  <c r="P169" i="18"/>
  <c r="T169" i="18" s="1" a="1"/>
  <c r="T169" i="18" s="1"/>
  <c r="Z169" i="18" s="1"/>
  <c r="AA169" i="18" s="1"/>
  <c r="P244" i="18"/>
  <c r="T244" i="18" s="1" a="1"/>
  <c r="T244" i="18" s="1"/>
  <c r="Z244" i="18" s="1"/>
  <c r="AA244" i="18" s="1"/>
  <c r="T258" i="18" a="1"/>
  <c r="T258" i="18" s="1"/>
  <c r="Z258" i="18" s="1"/>
  <c r="AA258" i="18" s="1"/>
  <c r="T267" i="18" a="1"/>
  <c r="T267" i="18" s="1"/>
  <c r="Z267" i="18" s="1"/>
  <c r="AA267" i="18" s="1"/>
  <c r="T273" i="18" a="1"/>
  <c r="T273" i="18" s="1"/>
  <c r="Z273" i="18" s="1"/>
  <c r="AA273" i="18" s="1"/>
  <c r="T280" i="18" a="1"/>
  <c r="T280" i="18" s="1"/>
  <c r="Z280" i="18" s="1"/>
  <c r="AA280" i="18" s="1"/>
  <c r="T287" i="18" a="1"/>
  <c r="T287" i="18" s="1"/>
  <c r="Z287" i="18" s="1"/>
  <c r="AA287" i="18" s="1"/>
  <c r="T291" i="18" a="1"/>
  <c r="T291" i="18" s="1"/>
  <c r="Z291" i="18" s="1"/>
  <c r="AA291" i="18" s="1"/>
  <c r="T304" i="18" a="1"/>
  <c r="T304" i="18" s="1"/>
  <c r="Z304" i="18" s="1"/>
  <c r="AA304" i="18" s="1"/>
  <c r="T308" i="18" a="1"/>
  <c r="T308" i="18" s="1"/>
  <c r="Z308" i="18" s="1"/>
  <c r="AA308" i="18" s="1"/>
  <c r="P144" i="18"/>
  <c r="T144" i="18" s="1" a="1"/>
  <c r="T144" i="18" s="1"/>
  <c r="P247" i="18"/>
  <c r="T247" i="18" s="1" a="1"/>
  <c r="T247" i="18" s="1"/>
  <c r="Z247" i="18" s="1"/>
  <c r="AA247" i="18" s="1"/>
  <c r="T264" i="18" a="1"/>
  <c r="T264" i="18" s="1"/>
  <c r="Z264" i="18" s="1"/>
  <c r="AA264" i="18" s="1"/>
  <c r="P49" i="18"/>
  <c r="T49" i="18" s="1" a="1"/>
  <c r="T49" i="18" s="1"/>
  <c r="Z49" i="18" s="1"/>
  <c r="P175" i="18"/>
  <c r="T175" i="18" s="1" a="1"/>
  <c r="T175" i="18" s="1"/>
  <c r="Z175" i="18" s="1"/>
  <c r="AA175" i="18" s="1"/>
  <c r="P245" i="18"/>
  <c r="T245" i="18" s="1" a="1"/>
  <c r="T245" i="18" s="1"/>
  <c r="Z245" i="18" s="1"/>
  <c r="AA245" i="18" s="1"/>
  <c r="T271" i="18" a="1"/>
  <c r="T271" i="18" s="1"/>
  <c r="Z271" i="18" s="1"/>
  <c r="AA271" i="18" s="1"/>
  <c r="T281" i="18" a="1"/>
  <c r="T281" i="18" s="1"/>
  <c r="Z281" i="18" s="1"/>
  <c r="AA281" i="18" s="1"/>
  <c r="T288" i="18" a="1"/>
  <c r="T288" i="18" s="1"/>
  <c r="Z288" i="18" s="1"/>
  <c r="AA288" i="18" s="1"/>
  <c r="T292" i="18" a="1"/>
  <c r="T292" i="18" s="1"/>
  <c r="Z292" i="18" s="1"/>
  <c r="AA292" i="18" s="1"/>
  <c r="T159" i="18" a="1"/>
  <c r="T159" i="18" s="1"/>
  <c r="Z159" i="18" s="1"/>
  <c r="AA159" i="18" s="1"/>
  <c r="T302" i="18" a="1"/>
  <c r="T302" i="18" s="1"/>
  <c r="Z302" i="18" s="1"/>
  <c r="AA302" i="18" s="1"/>
  <c r="P321" i="18"/>
  <c r="T321" i="18" s="1" a="1"/>
  <c r="T321" i="18" s="1"/>
  <c r="Z321" i="18" s="1"/>
  <c r="T289" i="18" a="1"/>
  <c r="T289" i="18" s="1"/>
  <c r="Z289" i="18" s="1"/>
  <c r="AA289" i="18" s="1"/>
  <c r="P156" i="18"/>
  <c r="T156" i="18" s="1" a="1"/>
  <c r="T156" i="18" s="1"/>
  <c r="P164" i="18"/>
  <c r="T164" i="18" s="1" a="1"/>
  <c r="T164" i="18" s="1"/>
  <c r="Z164" i="18" s="1"/>
  <c r="AA164" i="18" s="1"/>
  <c r="P237" i="18"/>
  <c r="T237" i="18" s="1" a="1"/>
  <c r="T237" i="18" s="1"/>
  <c r="Z237" i="18" s="1"/>
  <c r="AA237" i="18" s="1"/>
  <c r="P165" i="18"/>
  <c r="T165" i="18" s="1" a="1"/>
  <c r="T165" i="18" s="1"/>
  <c r="Z165" i="18" s="1"/>
  <c r="AA165" i="18" s="1"/>
  <c r="T269" i="18" a="1"/>
  <c r="T269" i="18" s="1"/>
  <c r="Z269" i="18" s="1"/>
  <c r="AA269" i="18" s="1"/>
  <c r="T259" i="18" a="1"/>
  <c r="T259" i="18" s="1"/>
  <c r="Z259" i="18" s="1"/>
  <c r="AA259" i="18" s="1"/>
  <c r="P174" i="18"/>
  <c r="T174" i="18" s="1" a="1"/>
  <c r="T174" i="18" s="1"/>
  <c r="Z174" i="18" s="1"/>
  <c r="AA174" i="18" s="1"/>
  <c r="P141" i="18"/>
  <c r="T141" i="18" s="1" a="1"/>
  <c r="T141" i="18" s="1"/>
  <c r="Z141" i="18" s="1"/>
  <c r="AA141" i="18" s="1"/>
  <c r="P157" i="18"/>
  <c r="T157" i="18" s="1" a="1"/>
  <c r="T157" i="18" s="1"/>
  <c r="P233" i="18"/>
  <c r="T233" i="18" s="1" a="1"/>
  <c r="T233" i="18" s="1"/>
  <c r="Z233" i="18" s="1"/>
  <c r="AA233" i="18" s="1"/>
  <c r="P234" i="18"/>
  <c r="T234" i="18" s="1" a="1"/>
  <c r="T234" i="18" s="1"/>
  <c r="Z234" i="18" s="1"/>
  <c r="AA234" i="18" s="1"/>
  <c r="P243" i="18"/>
  <c r="T243" i="18" s="1" a="1"/>
  <c r="T243" i="18" s="1"/>
  <c r="Z243" i="18" s="1"/>
  <c r="AA243" i="18" s="1"/>
  <c r="AM337" i="1"/>
  <c r="AM335" i="1"/>
  <c r="AM295" i="1"/>
  <c r="AM317" i="1"/>
  <c r="AM314" i="1"/>
  <c r="AM334" i="1"/>
  <c r="AM315" i="1"/>
  <c r="AM307" i="1"/>
  <c r="AM324" i="1"/>
  <c r="AM294" i="1"/>
  <c r="AM297" i="1"/>
  <c r="AM344" i="1"/>
  <c r="AM305" i="1"/>
  <c r="AM304" i="1"/>
  <c r="AM327" i="1"/>
  <c r="AM325" i="1"/>
  <c r="AM339" i="1"/>
  <c r="AM329" i="1"/>
  <c r="AM319" i="1"/>
  <c r="AM309" i="1"/>
  <c r="AM299" i="1"/>
  <c r="AR296" i="1"/>
  <c r="AR325" i="1"/>
  <c r="AR321" i="1"/>
  <c r="AR331" i="1"/>
  <c r="AR341" i="1"/>
  <c r="AM336" i="1"/>
  <c r="AM326" i="1"/>
  <c r="AM316" i="1"/>
  <c r="AM306" i="1"/>
  <c r="AM296" i="1"/>
  <c r="AR322" i="1"/>
  <c r="AR327" i="1"/>
  <c r="AM343" i="1"/>
  <c r="AM333" i="1"/>
  <c r="AM323" i="1"/>
  <c r="AM313" i="1"/>
  <c r="AM303" i="1"/>
  <c r="AR316" i="1"/>
  <c r="AM341" i="1"/>
  <c r="AM331" i="1"/>
  <c r="AM321" i="1"/>
  <c r="AM311" i="1"/>
  <c r="AM301" i="1"/>
  <c r="AR306" i="1"/>
  <c r="AR311" i="1"/>
  <c r="AR297" i="1"/>
  <c r="AR307" i="1"/>
  <c r="AR312" i="1"/>
  <c r="AM340" i="1"/>
  <c r="AM330" i="1"/>
  <c r="AM320" i="1"/>
  <c r="AM310" i="1"/>
  <c r="AM300" i="1"/>
  <c r="AM338" i="1"/>
  <c r="AM328" i="1"/>
  <c r="AM318" i="1"/>
  <c r="AM308" i="1"/>
  <c r="AM298" i="1"/>
  <c r="AR343" i="1"/>
  <c r="AR303" i="1"/>
  <c r="AR308" i="1"/>
  <c r="S294" i="1"/>
  <c r="AR304" i="1"/>
  <c r="AR314" i="1"/>
  <c r="AR319" i="1"/>
  <c r="AR295" i="1"/>
  <c r="AR300" i="1"/>
  <c r="AR330" i="1"/>
  <c r="AR338" i="1"/>
  <c r="S295" i="1"/>
  <c r="AM342" i="1"/>
  <c r="AM332" i="1"/>
  <c r="AM322" i="1"/>
  <c r="AM312" i="1"/>
  <c r="AM302" i="1"/>
  <c r="AR315" i="1"/>
  <c r="AR309" i="1"/>
  <c r="AR332" i="1"/>
  <c r="AR342" i="1"/>
  <c r="AR318" i="1"/>
  <c r="AR294" i="1"/>
  <c r="AR317" i="1"/>
  <c r="AR337" i="1"/>
  <c r="AR329" i="1"/>
  <c r="AR313" i="1"/>
  <c r="AR305" i="1"/>
  <c r="AR299" i="1"/>
  <c r="AR323" i="1"/>
  <c r="AR333" i="1"/>
  <c r="AR324" i="1"/>
  <c r="AR334" i="1"/>
  <c r="AR339" i="1"/>
  <c r="AR344" i="1"/>
  <c r="AR328" i="1"/>
  <c r="AR298" i="1"/>
  <c r="AR302" i="1"/>
  <c r="AR301" i="1"/>
  <c r="AR340" i="1"/>
  <c r="AR320" i="1"/>
  <c r="AR310" i="1"/>
  <c r="P282" i="1"/>
  <c r="P290" i="1"/>
  <c r="Z156" i="18" l="1"/>
  <c r="AA156" i="18" s="1"/>
  <c r="Z157" i="18"/>
  <c r="AA157" i="18" s="1"/>
  <c r="Z154" i="18"/>
  <c r="AA154" i="18" s="1"/>
  <c r="Z158" i="18"/>
  <c r="AA158" i="18" s="1"/>
  <c r="Z143" i="18"/>
  <c r="AA143" i="18" s="1"/>
  <c r="Z144" i="18"/>
  <c r="AA144" i="18" s="1"/>
  <c r="Z139" i="18"/>
  <c r="AA139" i="18" s="1"/>
  <c r="A248" i="18"/>
  <c r="A249" i="18" s="1"/>
  <c r="A250" i="18" s="1"/>
  <c r="A251" i="18" s="1"/>
  <c r="A252" i="18" s="1"/>
  <c r="A253" i="18" s="1"/>
  <c r="A254" i="18" s="1"/>
  <c r="A255" i="18" s="1"/>
  <c r="A256" i="18" s="1"/>
  <c r="A257" i="18" s="1"/>
  <c r="A258" i="18" s="1"/>
  <c r="A259" i="18" s="1"/>
  <c r="A260" i="18" s="1"/>
  <c r="A261" i="18" s="1"/>
  <c r="A262" i="18" s="1"/>
  <c r="A263" i="18" s="1"/>
  <c r="A264" i="18" s="1"/>
  <c r="A265" i="18" s="1"/>
  <c r="A266" i="18" s="1"/>
  <c r="A267" i="18" s="1"/>
  <c r="A268" i="18" s="1"/>
  <c r="A269" i="18" s="1"/>
  <c r="A270" i="18" s="1"/>
  <c r="A271" i="18" s="1"/>
  <c r="A272" i="18" s="1"/>
  <c r="A273" i="18" s="1"/>
  <c r="A274" i="18" s="1"/>
  <c r="A275" i="18" s="1"/>
  <c r="A276" i="18" s="1"/>
  <c r="A277" i="18" s="1"/>
  <c r="A278" i="18" s="1"/>
  <c r="A279" i="18" s="1"/>
  <c r="A280" i="18" s="1"/>
  <c r="A281" i="18" s="1"/>
  <c r="A282" i="18" s="1"/>
  <c r="A283" i="18" s="1"/>
  <c r="A284" i="18" s="1"/>
  <c r="A285" i="18" s="1"/>
  <c r="A286" i="18" s="1"/>
  <c r="A287" i="18" s="1"/>
  <c r="A288" i="18" s="1"/>
  <c r="A289" i="18" s="1"/>
  <c r="A290" i="18" s="1"/>
  <c r="A291" i="18" s="1"/>
  <c r="A292" i="18" s="1"/>
  <c r="A293" i="18" s="1"/>
  <c r="A294" i="18" s="1"/>
  <c r="A295" i="18" s="1"/>
  <c r="A296" i="18" s="1"/>
  <c r="A297" i="18" s="1"/>
  <c r="A298" i="18" s="1"/>
  <c r="A299" i="18" s="1"/>
  <c r="A300" i="18" s="1"/>
  <c r="A301" i="18" s="1"/>
  <c r="A302" i="18" s="1"/>
  <c r="A303" i="18" s="1"/>
  <c r="A304" i="18" s="1"/>
  <c r="A305" i="18" s="1"/>
  <c r="A306" i="18" s="1"/>
  <c r="A307" i="18" s="1"/>
  <c r="A308" i="18" s="1"/>
  <c r="A309" i="18" s="1"/>
  <c r="A310" i="18" s="1"/>
  <c r="A311" i="18" s="1"/>
  <c r="A312" i="18" s="1"/>
  <c r="A313" i="18" s="1"/>
  <c r="A314" i="18" s="1"/>
  <c r="A315" i="18" s="1"/>
  <c r="A316" i="18" s="1"/>
  <c r="A317" i="18" s="1"/>
  <c r="A318" i="18" s="1"/>
  <c r="A319" i="18" s="1"/>
  <c r="A320" i="18" s="1"/>
  <c r="A321" i="18" s="1"/>
  <c r="A322" i="18" s="1"/>
  <c r="A323" i="18" s="1"/>
  <c r="A324" i="18" s="1"/>
  <c r="A325" i="18" s="1"/>
  <c r="Z322" i="18"/>
  <c r="AA322" i="18" s="1"/>
  <c r="Z323" i="18"/>
  <c r="AA323" i="18" s="1"/>
  <c r="Z325" i="18"/>
  <c r="AA325" i="18" s="1"/>
  <c r="P277" i="1"/>
  <c r="P278" i="1"/>
  <c r="P284" i="1"/>
  <c r="P286" i="1"/>
  <c r="P285" i="1"/>
  <c r="P292" i="1"/>
  <c r="P291" i="1"/>
  <c r="P283" i="1"/>
  <c r="P294" i="1"/>
  <c r="Z294" i="1"/>
  <c r="AA294" i="1"/>
  <c r="T294" i="1"/>
  <c r="P287" i="1"/>
  <c r="P281" i="1"/>
  <c r="P276" i="1"/>
  <c r="P279" i="1"/>
  <c r="P295" i="1"/>
  <c r="P280" i="1"/>
  <c r="S293" i="1"/>
  <c r="AM293" i="1"/>
  <c r="AR293" i="1"/>
  <c r="AR289" i="1"/>
  <c r="T295" i="1" l="1"/>
  <c r="P289" i="1" l="1"/>
  <c r="P288" i="1"/>
  <c r="P293" i="1"/>
  <c r="Z295" i="1"/>
  <c r="AA295" i="1"/>
  <c r="AM291" i="1"/>
  <c r="AM290" i="1"/>
  <c r="AM292" i="1"/>
  <c r="AM282" i="1" l="1"/>
  <c r="AM283" i="1"/>
  <c r="AM284" i="1"/>
  <c r="AM276" i="1"/>
  <c r="AM281" i="1"/>
  <c r="AM279" i="1"/>
  <c r="AM280" i="1"/>
  <c r="AM287" i="1"/>
  <c r="AM289" i="1"/>
  <c r="AM286" i="1"/>
  <c r="AM288" i="1"/>
  <c r="AM278" i="1"/>
  <c r="AM285" i="1"/>
  <c r="AM277" i="1"/>
  <c r="T293" i="1"/>
  <c r="AA289" i="1" l="1"/>
  <c r="Z289" i="1"/>
  <c r="AA293" i="1"/>
  <c r="Z293" i="1"/>
  <c r="S289" i="1" l="1"/>
  <c r="T289" i="1" l="1"/>
  <c r="D1" i="19" l="1"/>
  <c r="C1" i="19"/>
  <c r="B1" i="19"/>
  <c r="B3" i="1" l="1"/>
  <c r="C3" i="1"/>
  <c r="D3" i="1"/>
  <c r="E3" i="1"/>
  <c r="F3" i="1"/>
  <c r="G3" i="1"/>
  <c r="H3" i="1"/>
  <c r="I3" i="1"/>
  <c r="J3" i="1"/>
  <c r="K3" i="1"/>
  <c r="L3" i="1"/>
  <c r="M3" i="1"/>
  <c r="N3" i="1"/>
  <c r="O3" i="1"/>
  <c r="Q3" i="1"/>
  <c r="R3" i="1"/>
  <c r="U3" i="1"/>
  <c r="V3" i="1"/>
  <c r="W3" i="1"/>
  <c r="X3" i="1"/>
  <c r="Y3" i="1"/>
  <c r="AC3" i="1"/>
  <c r="AD3" i="1"/>
  <c r="AE3" i="1"/>
  <c r="AF3" i="1"/>
  <c r="AG3" i="1"/>
  <c r="AH3" i="1"/>
  <c r="AI3" i="1"/>
  <c r="AJ3" i="1"/>
  <c r="AK3" i="1"/>
  <c r="AL3" i="1"/>
  <c r="AN3" i="1"/>
  <c r="AO3" i="1"/>
  <c r="AP3" i="1"/>
  <c r="AQ3" i="1"/>
  <c r="AS3" i="1"/>
  <c r="AT3" i="1"/>
  <c r="AU3" i="1"/>
  <c r="AV3" i="1"/>
  <c r="AW3" i="1"/>
  <c r="AX3" i="1"/>
  <c r="AY3" i="1"/>
  <c r="AZ3" i="1"/>
  <c r="BA3" i="1"/>
  <c r="B4" i="1"/>
  <c r="C4" i="1"/>
  <c r="D4" i="1"/>
  <c r="E4" i="1"/>
  <c r="F4" i="1"/>
  <c r="G4" i="1"/>
  <c r="H4" i="1"/>
  <c r="I4" i="1"/>
  <c r="J4" i="1"/>
  <c r="K4" i="1"/>
  <c r="L4" i="1"/>
  <c r="M4" i="1"/>
  <c r="N4" i="1"/>
  <c r="O4" i="1"/>
  <c r="Q4" i="1"/>
  <c r="R4" i="1"/>
  <c r="U4" i="1"/>
  <c r="V4" i="1"/>
  <c r="W4" i="1"/>
  <c r="X4" i="1"/>
  <c r="Y4" i="1"/>
  <c r="AB4" i="1"/>
  <c r="AC4" i="1"/>
  <c r="AD4" i="1"/>
  <c r="AE4" i="1"/>
  <c r="AF4" i="1"/>
  <c r="AG4" i="1"/>
  <c r="AH4" i="1"/>
  <c r="AI4" i="1"/>
  <c r="AJ4" i="1"/>
  <c r="AK4" i="1"/>
  <c r="AL4" i="1"/>
  <c r="AN4" i="1"/>
  <c r="AO4" i="1"/>
  <c r="AP4" i="1"/>
  <c r="AQ4" i="1"/>
  <c r="AS4" i="1"/>
  <c r="AT4" i="1"/>
  <c r="AU4" i="1"/>
  <c r="AV4" i="1"/>
  <c r="AW4" i="1"/>
  <c r="AX4" i="1"/>
  <c r="AY4" i="1"/>
  <c r="AZ4" i="1"/>
  <c r="BA4" i="1"/>
  <c r="B5" i="1"/>
  <c r="C5" i="1"/>
  <c r="D5" i="1"/>
  <c r="E5" i="1"/>
  <c r="F5" i="1"/>
  <c r="G5" i="1"/>
  <c r="H5" i="1"/>
  <c r="I5" i="1"/>
  <c r="J5" i="1"/>
  <c r="K5" i="1"/>
  <c r="L5" i="1"/>
  <c r="M5" i="1"/>
  <c r="N5" i="1"/>
  <c r="O5" i="1"/>
  <c r="Q5" i="1"/>
  <c r="R5" i="1"/>
  <c r="U5" i="1"/>
  <c r="V5" i="1"/>
  <c r="W5" i="1"/>
  <c r="X5" i="1"/>
  <c r="Y5" i="1"/>
  <c r="AB5" i="1"/>
  <c r="AC5" i="1"/>
  <c r="AD5" i="1"/>
  <c r="AE5" i="1"/>
  <c r="AF5" i="1"/>
  <c r="AG5" i="1"/>
  <c r="AH5" i="1"/>
  <c r="AI5" i="1"/>
  <c r="AJ5" i="1"/>
  <c r="AK5" i="1"/>
  <c r="AL5" i="1"/>
  <c r="AN5" i="1"/>
  <c r="AO5" i="1"/>
  <c r="AP5" i="1"/>
  <c r="AQ5" i="1"/>
  <c r="AS5" i="1"/>
  <c r="AT5" i="1"/>
  <c r="AU5" i="1"/>
  <c r="AV5" i="1"/>
  <c r="AW5" i="1"/>
  <c r="AX5" i="1"/>
  <c r="AY5" i="1"/>
  <c r="AZ5" i="1"/>
  <c r="BA5" i="1"/>
  <c r="B6" i="1"/>
  <c r="C6" i="1"/>
  <c r="D6" i="1"/>
  <c r="E6" i="1"/>
  <c r="F6" i="1"/>
  <c r="G6" i="1"/>
  <c r="H6" i="1"/>
  <c r="I6" i="1"/>
  <c r="J6" i="1"/>
  <c r="K6" i="1"/>
  <c r="L6" i="1"/>
  <c r="M6" i="1"/>
  <c r="N6" i="1"/>
  <c r="O6" i="1"/>
  <c r="Q6" i="1"/>
  <c r="R6" i="1"/>
  <c r="U6" i="1"/>
  <c r="V6" i="1"/>
  <c r="W6" i="1"/>
  <c r="X6" i="1"/>
  <c r="Y6" i="1"/>
  <c r="AB6" i="1"/>
  <c r="AC6" i="1"/>
  <c r="AD6" i="1"/>
  <c r="AE6" i="1"/>
  <c r="AF6" i="1"/>
  <c r="AG6" i="1"/>
  <c r="AH6" i="1"/>
  <c r="AI6" i="1"/>
  <c r="AJ6" i="1"/>
  <c r="AK6" i="1"/>
  <c r="AL6" i="1"/>
  <c r="AN6" i="1"/>
  <c r="AO6" i="1"/>
  <c r="AP6" i="1"/>
  <c r="AQ6" i="1"/>
  <c r="AS6" i="1"/>
  <c r="AT6" i="1"/>
  <c r="AU6" i="1"/>
  <c r="AV6" i="1"/>
  <c r="AW6" i="1"/>
  <c r="AX6" i="1"/>
  <c r="AY6" i="1"/>
  <c r="AZ6" i="1"/>
  <c r="BA6" i="1"/>
  <c r="B7" i="1"/>
  <c r="C7" i="1"/>
  <c r="D7" i="1"/>
  <c r="E7" i="1"/>
  <c r="F7" i="1"/>
  <c r="G7" i="1"/>
  <c r="H7" i="1"/>
  <c r="I7" i="1"/>
  <c r="J7" i="1"/>
  <c r="K7" i="1"/>
  <c r="L7" i="1"/>
  <c r="M7" i="1"/>
  <c r="N7" i="1"/>
  <c r="O7" i="1"/>
  <c r="Q7" i="1"/>
  <c r="R7" i="1"/>
  <c r="U7" i="1"/>
  <c r="V7" i="1"/>
  <c r="W7" i="1"/>
  <c r="X7" i="1"/>
  <c r="Y7" i="1"/>
  <c r="AB7" i="1"/>
  <c r="AC7" i="1"/>
  <c r="AD7" i="1"/>
  <c r="AE7" i="1"/>
  <c r="AF7" i="1"/>
  <c r="AG7" i="1"/>
  <c r="AH7" i="1"/>
  <c r="AI7" i="1"/>
  <c r="AJ7" i="1"/>
  <c r="AK7" i="1"/>
  <c r="AL7" i="1"/>
  <c r="AN7" i="1"/>
  <c r="AO7" i="1"/>
  <c r="AP7" i="1"/>
  <c r="AQ7" i="1"/>
  <c r="AS7" i="1"/>
  <c r="AT7" i="1"/>
  <c r="AU7" i="1"/>
  <c r="AV7" i="1"/>
  <c r="AW7" i="1"/>
  <c r="AX7" i="1"/>
  <c r="AY7" i="1"/>
  <c r="AZ7" i="1"/>
  <c r="BA7" i="1"/>
  <c r="B8" i="1"/>
  <c r="C8" i="1"/>
  <c r="D8" i="1"/>
  <c r="E8" i="1"/>
  <c r="F8" i="1"/>
  <c r="G8" i="1"/>
  <c r="H8" i="1"/>
  <c r="I8" i="1"/>
  <c r="J8" i="1"/>
  <c r="K8" i="1"/>
  <c r="L8" i="1"/>
  <c r="M8" i="1"/>
  <c r="N8" i="1"/>
  <c r="O8" i="1"/>
  <c r="Q8" i="1"/>
  <c r="R8" i="1"/>
  <c r="U8" i="1"/>
  <c r="V8" i="1"/>
  <c r="W8" i="1"/>
  <c r="X8" i="1"/>
  <c r="Y8" i="1"/>
  <c r="AB8" i="1"/>
  <c r="AC8" i="1"/>
  <c r="AD8" i="1"/>
  <c r="AE8" i="1"/>
  <c r="AF8" i="1"/>
  <c r="AG8" i="1"/>
  <c r="AH8" i="1"/>
  <c r="AI8" i="1"/>
  <c r="AJ8" i="1"/>
  <c r="AK8" i="1"/>
  <c r="AL8" i="1"/>
  <c r="AN8" i="1"/>
  <c r="AO8" i="1"/>
  <c r="AP8" i="1"/>
  <c r="AQ8" i="1"/>
  <c r="AS8" i="1"/>
  <c r="AT8" i="1"/>
  <c r="AU8" i="1"/>
  <c r="AV8" i="1"/>
  <c r="AW8" i="1"/>
  <c r="AX8" i="1"/>
  <c r="AY8" i="1"/>
  <c r="AZ8" i="1"/>
  <c r="BA8" i="1"/>
  <c r="B9" i="1"/>
  <c r="C9" i="1"/>
  <c r="D9" i="1"/>
  <c r="E9" i="1"/>
  <c r="F9" i="1"/>
  <c r="G9" i="1"/>
  <c r="H9" i="1"/>
  <c r="I9" i="1"/>
  <c r="J9" i="1"/>
  <c r="K9" i="1"/>
  <c r="L9" i="1"/>
  <c r="M9" i="1"/>
  <c r="N9" i="1"/>
  <c r="O9" i="1"/>
  <c r="Q9" i="1"/>
  <c r="R9" i="1"/>
  <c r="U9" i="1"/>
  <c r="V9" i="1"/>
  <c r="W9" i="1"/>
  <c r="X9" i="1"/>
  <c r="Y9" i="1"/>
  <c r="AB9" i="1"/>
  <c r="AC9" i="1"/>
  <c r="AD9" i="1"/>
  <c r="AE9" i="1"/>
  <c r="AF9" i="1"/>
  <c r="AG9" i="1"/>
  <c r="AH9" i="1"/>
  <c r="AI9" i="1"/>
  <c r="AJ9" i="1"/>
  <c r="AK9" i="1"/>
  <c r="AL9" i="1"/>
  <c r="AN9" i="1"/>
  <c r="AO9" i="1"/>
  <c r="AP9" i="1"/>
  <c r="AQ9" i="1"/>
  <c r="AS9" i="1"/>
  <c r="AT9" i="1"/>
  <c r="AU9" i="1"/>
  <c r="AV9" i="1"/>
  <c r="AW9" i="1"/>
  <c r="AX9" i="1"/>
  <c r="AY9" i="1"/>
  <c r="AZ9" i="1"/>
  <c r="BA9" i="1"/>
  <c r="B10" i="1"/>
  <c r="C10" i="1"/>
  <c r="D10" i="1"/>
  <c r="E10" i="1"/>
  <c r="F10" i="1"/>
  <c r="G10" i="1"/>
  <c r="H10" i="1"/>
  <c r="I10" i="1"/>
  <c r="J10" i="1"/>
  <c r="K10" i="1"/>
  <c r="L10" i="1"/>
  <c r="M10" i="1"/>
  <c r="N10" i="1"/>
  <c r="O10" i="1"/>
  <c r="Q10" i="1"/>
  <c r="R10" i="1"/>
  <c r="U10" i="1"/>
  <c r="V10" i="1"/>
  <c r="W10" i="1"/>
  <c r="X10" i="1"/>
  <c r="Y10" i="1"/>
  <c r="AB10" i="1"/>
  <c r="AC10" i="1"/>
  <c r="AD10" i="1"/>
  <c r="AE10" i="1"/>
  <c r="AF10" i="1"/>
  <c r="AG10" i="1"/>
  <c r="AH10" i="1"/>
  <c r="AI10" i="1"/>
  <c r="AJ10" i="1"/>
  <c r="AK10" i="1"/>
  <c r="AL10" i="1"/>
  <c r="AN10" i="1"/>
  <c r="AO10" i="1"/>
  <c r="AP10" i="1"/>
  <c r="AQ10" i="1"/>
  <c r="AS10" i="1"/>
  <c r="AT10" i="1"/>
  <c r="AU10" i="1"/>
  <c r="AV10" i="1"/>
  <c r="AW10" i="1"/>
  <c r="AX10" i="1"/>
  <c r="AY10" i="1"/>
  <c r="AZ10" i="1"/>
  <c r="BA10" i="1"/>
  <c r="B11" i="1"/>
  <c r="C11" i="1"/>
  <c r="D11" i="1"/>
  <c r="E11" i="1"/>
  <c r="F11" i="1"/>
  <c r="G11" i="1"/>
  <c r="H11" i="1"/>
  <c r="I11" i="1"/>
  <c r="J11" i="1"/>
  <c r="K11" i="1"/>
  <c r="L11" i="1"/>
  <c r="M11" i="1"/>
  <c r="N11" i="1"/>
  <c r="O11" i="1"/>
  <c r="P11" i="1"/>
  <c r="Q11" i="1"/>
  <c r="R11" i="1"/>
  <c r="S11" i="1"/>
  <c r="T11" i="1"/>
  <c r="U11" i="1"/>
  <c r="V11" i="1"/>
  <c r="W11" i="1"/>
  <c r="X11" i="1"/>
  <c r="Y11" i="1"/>
  <c r="Z11" i="1"/>
  <c r="AA11" i="1"/>
  <c r="AB11" i="1"/>
  <c r="AC11" i="1"/>
  <c r="AD11" i="1"/>
  <c r="AE11" i="1"/>
  <c r="AF11" i="1"/>
  <c r="AG11" i="1"/>
  <c r="AH11" i="1"/>
  <c r="AI11" i="1"/>
  <c r="AJ11" i="1"/>
  <c r="AK11" i="1"/>
  <c r="AL11" i="1"/>
  <c r="AM11" i="1"/>
  <c r="AN11" i="1"/>
  <c r="AO11" i="1"/>
  <c r="AP11" i="1"/>
  <c r="AQ11" i="1"/>
  <c r="AR11" i="1"/>
  <c r="AS11" i="1"/>
  <c r="AT11" i="1"/>
  <c r="AU11" i="1"/>
  <c r="AV11" i="1"/>
  <c r="AW11" i="1"/>
  <c r="AX11" i="1"/>
  <c r="AY11" i="1"/>
  <c r="AZ11" i="1"/>
  <c r="BA11" i="1"/>
  <c r="B12" i="1"/>
  <c r="C12" i="1"/>
  <c r="D12" i="1"/>
  <c r="E12" i="1"/>
  <c r="F12" i="1"/>
  <c r="G12" i="1"/>
  <c r="H12" i="1"/>
  <c r="I12" i="1"/>
  <c r="J12" i="1"/>
  <c r="K12" i="1"/>
  <c r="L12" i="1"/>
  <c r="M12" i="1"/>
  <c r="N12" i="1"/>
  <c r="O12" i="1"/>
  <c r="P12" i="1"/>
  <c r="Q12" i="1"/>
  <c r="R12" i="1"/>
  <c r="S12" i="1"/>
  <c r="T12" i="1"/>
  <c r="U12" i="1"/>
  <c r="V12" i="1"/>
  <c r="W12" i="1"/>
  <c r="X12" i="1"/>
  <c r="Y12" i="1"/>
  <c r="Z12" i="1"/>
  <c r="AA12" i="1"/>
  <c r="AB12" i="1"/>
  <c r="AC12" i="1"/>
  <c r="AD12" i="1"/>
  <c r="AE12" i="1"/>
  <c r="AF12" i="1"/>
  <c r="AG12" i="1"/>
  <c r="AH12" i="1"/>
  <c r="AI12" i="1"/>
  <c r="AJ12" i="1"/>
  <c r="AK12" i="1"/>
  <c r="AL12" i="1"/>
  <c r="AM12" i="1"/>
  <c r="AN12" i="1"/>
  <c r="AO12" i="1"/>
  <c r="AP12" i="1"/>
  <c r="AQ12" i="1"/>
  <c r="AR12" i="1"/>
  <c r="AS12" i="1"/>
  <c r="AT12" i="1"/>
  <c r="AU12" i="1"/>
  <c r="AV12" i="1"/>
  <c r="AW12" i="1"/>
  <c r="AX12" i="1"/>
  <c r="AY12" i="1"/>
  <c r="AZ12" i="1"/>
  <c r="BA12" i="1"/>
  <c r="B13" i="1"/>
  <c r="C13" i="1"/>
  <c r="D13" i="1"/>
  <c r="E13" i="1"/>
  <c r="F13" i="1"/>
  <c r="G13" i="1"/>
  <c r="H13" i="1"/>
  <c r="I13" i="1"/>
  <c r="J13" i="1"/>
  <c r="K13" i="1"/>
  <c r="L13" i="1"/>
  <c r="M13" i="1"/>
  <c r="N13" i="1"/>
  <c r="O13" i="1"/>
  <c r="Q13" i="1"/>
  <c r="R13" i="1"/>
  <c r="U13" i="1"/>
  <c r="V13" i="1"/>
  <c r="W13" i="1"/>
  <c r="X13" i="1"/>
  <c r="Y13" i="1"/>
  <c r="AB13" i="1"/>
  <c r="AC13" i="1"/>
  <c r="AD13" i="1"/>
  <c r="AE13" i="1"/>
  <c r="AF13" i="1"/>
  <c r="AG13" i="1"/>
  <c r="AH13" i="1"/>
  <c r="AI13" i="1"/>
  <c r="AJ13" i="1"/>
  <c r="AK13" i="1"/>
  <c r="AL13" i="1"/>
  <c r="AN13" i="1"/>
  <c r="AO13" i="1"/>
  <c r="AP13" i="1"/>
  <c r="AQ13" i="1"/>
  <c r="AS13" i="1"/>
  <c r="AT13" i="1"/>
  <c r="AU13" i="1"/>
  <c r="AV13" i="1"/>
  <c r="AW13" i="1"/>
  <c r="AX13" i="1"/>
  <c r="AY13" i="1"/>
  <c r="AZ13" i="1"/>
  <c r="BA13" i="1"/>
  <c r="B14" i="1"/>
  <c r="C14" i="1"/>
  <c r="D14" i="1"/>
  <c r="E14" i="1"/>
  <c r="F14" i="1"/>
  <c r="G14" i="1"/>
  <c r="H14" i="1"/>
  <c r="I14" i="1"/>
  <c r="J14" i="1"/>
  <c r="K14" i="1"/>
  <c r="L14" i="1"/>
  <c r="M14" i="1"/>
  <c r="N14" i="1"/>
  <c r="O14" i="1"/>
  <c r="Q14" i="1"/>
  <c r="R14" i="1"/>
  <c r="U14" i="1"/>
  <c r="V14" i="1"/>
  <c r="W14" i="1"/>
  <c r="X14" i="1"/>
  <c r="Y14" i="1"/>
  <c r="AC14" i="1"/>
  <c r="AD14" i="1"/>
  <c r="AE14" i="1"/>
  <c r="AF14" i="1"/>
  <c r="AG14" i="1"/>
  <c r="AH14" i="1"/>
  <c r="AI14" i="1"/>
  <c r="AJ14" i="1"/>
  <c r="AK14" i="1"/>
  <c r="AL14" i="1"/>
  <c r="AN14" i="1"/>
  <c r="AO14" i="1"/>
  <c r="AP14" i="1"/>
  <c r="AQ14" i="1"/>
  <c r="AS14" i="1"/>
  <c r="AT14" i="1"/>
  <c r="AU14" i="1"/>
  <c r="AV14" i="1"/>
  <c r="AW14" i="1"/>
  <c r="AX14" i="1"/>
  <c r="AY14" i="1"/>
  <c r="AZ14" i="1"/>
  <c r="BA14" i="1"/>
  <c r="B15" i="1"/>
  <c r="C15" i="1"/>
  <c r="D15" i="1"/>
  <c r="E15" i="1"/>
  <c r="F15" i="1"/>
  <c r="G15" i="1"/>
  <c r="H15" i="1"/>
  <c r="I15" i="1"/>
  <c r="J15" i="1"/>
  <c r="K15" i="1"/>
  <c r="L15" i="1"/>
  <c r="M15" i="1"/>
  <c r="N15" i="1"/>
  <c r="O15" i="1"/>
  <c r="Q15" i="1"/>
  <c r="R15" i="1"/>
  <c r="U15" i="1"/>
  <c r="V15" i="1"/>
  <c r="W15" i="1"/>
  <c r="X15" i="1"/>
  <c r="Y15" i="1"/>
  <c r="AB15" i="1"/>
  <c r="AC15" i="1"/>
  <c r="AD15" i="1"/>
  <c r="AE15" i="1"/>
  <c r="AF15" i="1"/>
  <c r="AG15" i="1"/>
  <c r="AH15" i="1"/>
  <c r="AI15" i="1"/>
  <c r="AJ15" i="1"/>
  <c r="AK15" i="1"/>
  <c r="AL15" i="1"/>
  <c r="AN15" i="1"/>
  <c r="AO15" i="1"/>
  <c r="AP15" i="1"/>
  <c r="AQ15" i="1"/>
  <c r="AS15" i="1"/>
  <c r="AT15" i="1"/>
  <c r="AU15" i="1"/>
  <c r="AV15" i="1"/>
  <c r="AW15" i="1"/>
  <c r="AX15" i="1"/>
  <c r="AY15" i="1"/>
  <c r="AZ15" i="1"/>
  <c r="BA15" i="1"/>
  <c r="B16" i="1"/>
  <c r="C16" i="1"/>
  <c r="D16" i="1"/>
  <c r="E16" i="1"/>
  <c r="F16" i="1"/>
  <c r="G16" i="1"/>
  <c r="H16" i="1"/>
  <c r="I16" i="1"/>
  <c r="J16" i="1"/>
  <c r="K16" i="1"/>
  <c r="L16" i="1"/>
  <c r="M16" i="1"/>
  <c r="N16" i="1"/>
  <c r="O16" i="1"/>
  <c r="Q16" i="1"/>
  <c r="R16" i="1"/>
  <c r="U16" i="1"/>
  <c r="V16" i="1"/>
  <c r="W16" i="1"/>
  <c r="X16" i="1"/>
  <c r="Y16" i="1"/>
  <c r="AB16" i="1"/>
  <c r="AC16" i="1"/>
  <c r="AD16" i="1"/>
  <c r="AE16" i="1"/>
  <c r="AF16" i="1"/>
  <c r="AG16" i="1"/>
  <c r="AH16" i="1"/>
  <c r="AI16" i="1"/>
  <c r="AJ16" i="1"/>
  <c r="AK16" i="1"/>
  <c r="AL16" i="1"/>
  <c r="AN16" i="1"/>
  <c r="AO16" i="1"/>
  <c r="AP16" i="1"/>
  <c r="AQ16" i="1"/>
  <c r="AS16" i="1"/>
  <c r="AT16" i="1"/>
  <c r="AU16" i="1"/>
  <c r="AV16" i="1"/>
  <c r="AW16" i="1"/>
  <c r="AX16" i="1"/>
  <c r="AY16" i="1"/>
  <c r="AZ16" i="1"/>
  <c r="BA16" i="1"/>
  <c r="B17" i="1"/>
  <c r="C17" i="1"/>
  <c r="D17" i="1"/>
  <c r="E17" i="1"/>
  <c r="F17" i="1"/>
  <c r="G17" i="1"/>
  <c r="H17" i="1"/>
  <c r="I17" i="1"/>
  <c r="J17" i="1"/>
  <c r="K17" i="1"/>
  <c r="L17" i="1"/>
  <c r="M17" i="1"/>
  <c r="N17" i="1"/>
  <c r="O17" i="1"/>
  <c r="Q17" i="1"/>
  <c r="R17" i="1"/>
  <c r="U17" i="1"/>
  <c r="V17" i="1"/>
  <c r="W17" i="1"/>
  <c r="X17" i="1"/>
  <c r="Y17" i="1"/>
  <c r="AB17" i="1"/>
  <c r="AC17" i="1"/>
  <c r="AD17" i="1"/>
  <c r="AE17" i="1"/>
  <c r="AF17" i="1"/>
  <c r="AG17" i="1"/>
  <c r="AH17" i="1"/>
  <c r="AI17" i="1"/>
  <c r="AJ17" i="1"/>
  <c r="AK17" i="1"/>
  <c r="AL17" i="1"/>
  <c r="AN17" i="1"/>
  <c r="AO17" i="1"/>
  <c r="AP17" i="1"/>
  <c r="AQ17" i="1"/>
  <c r="AS17" i="1"/>
  <c r="AT17" i="1"/>
  <c r="AU17" i="1"/>
  <c r="AV17" i="1"/>
  <c r="AW17" i="1"/>
  <c r="AX17" i="1"/>
  <c r="AY17" i="1"/>
  <c r="AZ17" i="1"/>
  <c r="BA17" i="1"/>
  <c r="B18" i="1"/>
  <c r="C18" i="1"/>
  <c r="D18" i="1"/>
  <c r="E18" i="1"/>
  <c r="F18" i="1"/>
  <c r="G18" i="1"/>
  <c r="H18" i="1"/>
  <c r="I18" i="1"/>
  <c r="J18" i="1"/>
  <c r="K18" i="1"/>
  <c r="L18" i="1"/>
  <c r="M18" i="1"/>
  <c r="N18" i="1"/>
  <c r="O18" i="1"/>
  <c r="Q18" i="1"/>
  <c r="R18" i="1"/>
  <c r="U18" i="1"/>
  <c r="V18" i="1"/>
  <c r="W18" i="1"/>
  <c r="X18" i="1"/>
  <c r="Y18" i="1"/>
  <c r="AB18" i="1"/>
  <c r="AC18" i="1"/>
  <c r="AD18" i="1"/>
  <c r="AE18" i="1"/>
  <c r="AF18" i="1"/>
  <c r="AG18" i="1"/>
  <c r="AH18" i="1"/>
  <c r="AI18" i="1"/>
  <c r="AJ18" i="1"/>
  <c r="AK18" i="1"/>
  <c r="AL18" i="1"/>
  <c r="AN18" i="1"/>
  <c r="AO18" i="1"/>
  <c r="AP18" i="1"/>
  <c r="AQ18" i="1"/>
  <c r="AS18" i="1"/>
  <c r="AT18" i="1"/>
  <c r="AU18" i="1"/>
  <c r="AV18" i="1"/>
  <c r="AW18" i="1"/>
  <c r="AX18" i="1"/>
  <c r="AY18" i="1"/>
  <c r="AZ18" i="1"/>
  <c r="BA18" i="1"/>
  <c r="B19" i="1"/>
  <c r="C19" i="1"/>
  <c r="D19" i="1"/>
  <c r="E19" i="1"/>
  <c r="F19" i="1"/>
  <c r="G19" i="1"/>
  <c r="H19" i="1"/>
  <c r="I19" i="1"/>
  <c r="J19" i="1"/>
  <c r="K19" i="1"/>
  <c r="L19" i="1"/>
  <c r="M19" i="1"/>
  <c r="N19" i="1"/>
  <c r="O19" i="1"/>
  <c r="Q19" i="1"/>
  <c r="R19" i="1"/>
  <c r="U19" i="1"/>
  <c r="V19" i="1"/>
  <c r="W19" i="1"/>
  <c r="X19" i="1"/>
  <c r="Y19" i="1"/>
  <c r="AB19" i="1"/>
  <c r="AC19" i="1"/>
  <c r="AD19" i="1"/>
  <c r="AE19" i="1"/>
  <c r="AF19" i="1"/>
  <c r="AG19" i="1"/>
  <c r="AH19" i="1"/>
  <c r="AI19" i="1"/>
  <c r="AJ19" i="1"/>
  <c r="AK19" i="1"/>
  <c r="AL19" i="1"/>
  <c r="AN19" i="1"/>
  <c r="AO19" i="1"/>
  <c r="AP19" i="1"/>
  <c r="AQ19" i="1"/>
  <c r="AS19" i="1"/>
  <c r="AT19" i="1"/>
  <c r="AU19" i="1"/>
  <c r="AV19" i="1"/>
  <c r="AW19" i="1"/>
  <c r="AX19" i="1"/>
  <c r="AY19" i="1"/>
  <c r="AZ19" i="1"/>
  <c r="BA19" i="1"/>
  <c r="B20" i="1"/>
  <c r="C20" i="1"/>
  <c r="D20" i="1"/>
  <c r="E20" i="1"/>
  <c r="F20" i="1"/>
  <c r="G20" i="1"/>
  <c r="H20" i="1"/>
  <c r="I20" i="1"/>
  <c r="J20" i="1"/>
  <c r="K20" i="1"/>
  <c r="L20" i="1"/>
  <c r="M20" i="1"/>
  <c r="N20" i="1"/>
  <c r="O20" i="1"/>
  <c r="Q20" i="1"/>
  <c r="R20" i="1"/>
  <c r="U20" i="1"/>
  <c r="V20" i="1"/>
  <c r="W20" i="1"/>
  <c r="X20" i="1"/>
  <c r="Y20" i="1"/>
  <c r="AB20" i="1"/>
  <c r="AC20" i="1"/>
  <c r="AD20" i="1"/>
  <c r="AE20" i="1"/>
  <c r="AF20" i="1"/>
  <c r="AG20" i="1"/>
  <c r="AH20" i="1"/>
  <c r="AI20" i="1"/>
  <c r="AJ20" i="1"/>
  <c r="AK20" i="1"/>
  <c r="AL20" i="1"/>
  <c r="AN20" i="1"/>
  <c r="AO20" i="1"/>
  <c r="AP20" i="1"/>
  <c r="AQ20" i="1"/>
  <c r="AS20" i="1"/>
  <c r="AT20" i="1"/>
  <c r="AU20" i="1"/>
  <c r="AV20" i="1"/>
  <c r="AW20" i="1"/>
  <c r="AX20" i="1"/>
  <c r="AY20" i="1"/>
  <c r="AZ20" i="1"/>
  <c r="BA20" i="1"/>
  <c r="B21" i="1"/>
  <c r="C21" i="1"/>
  <c r="D21" i="1"/>
  <c r="E21" i="1"/>
  <c r="F21" i="1"/>
  <c r="G21" i="1"/>
  <c r="H21" i="1"/>
  <c r="I21" i="1"/>
  <c r="J21" i="1"/>
  <c r="K21" i="1"/>
  <c r="L21" i="1"/>
  <c r="M21" i="1"/>
  <c r="N21" i="1"/>
  <c r="O21" i="1"/>
  <c r="Q21" i="1"/>
  <c r="R21" i="1"/>
  <c r="U21" i="1"/>
  <c r="V21" i="1"/>
  <c r="W21" i="1"/>
  <c r="X21" i="1"/>
  <c r="Y21" i="1"/>
  <c r="AB21" i="1"/>
  <c r="AC21" i="1"/>
  <c r="AD21" i="1"/>
  <c r="AE21" i="1"/>
  <c r="AF21" i="1"/>
  <c r="AG21" i="1"/>
  <c r="AH21" i="1"/>
  <c r="AI21" i="1"/>
  <c r="AJ21" i="1"/>
  <c r="AK21" i="1"/>
  <c r="AL21" i="1"/>
  <c r="AN21" i="1"/>
  <c r="AO21" i="1"/>
  <c r="AP21" i="1"/>
  <c r="AQ21" i="1"/>
  <c r="AS21" i="1"/>
  <c r="AT21" i="1"/>
  <c r="AU21" i="1"/>
  <c r="AV21" i="1"/>
  <c r="AW21" i="1"/>
  <c r="AX21" i="1"/>
  <c r="AY21" i="1"/>
  <c r="AZ21" i="1"/>
  <c r="BA21" i="1"/>
  <c r="B22" i="1"/>
  <c r="C22" i="1"/>
  <c r="D22" i="1"/>
  <c r="E22" i="1"/>
  <c r="F22" i="1"/>
  <c r="G22" i="1"/>
  <c r="H22" i="1"/>
  <c r="I22" i="1"/>
  <c r="J22" i="1"/>
  <c r="K22" i="1"/>
  <c r="L22" i="1"/>
  <c r="M22" i="1"/>
  <c r="N22" i="1"/>
  <c r="O22" i="1"/>
  <c r="Q22" i="1"/>
  <c r="R22" i="1"/>
  <c r="U22" i="1"/>
  <c r="V22" i="1"/>
  <c r="W22" i="1"/>
  <c r="X22" i="1"/>
  <c r="Y22" i="1"/>
  <c r="AB22" i="1"/>
  <c r="AC22" i="1"/>
  <c r="AD22" i="1"/>
  <c r="AE22" i="1"/>
  <c r="AF22" i="1"/>
  <c r="AG22" i="1"/>
  <c r="AH22" i="1"/>
  <c r="AI22" i="1"/>
  <c r="AJ22" i="1"/>
  <c r="AK22" i="1"/>
  <c r="AL22" i="1"/>
  <c r="AN22" i="1"/>
  <c r="AO22" i="1"/>
  <c r="AP22" i="1"/>
  <c r="AQ22" i="1"/>
  <c r="AS22" i="1"/>
  <c r="AT22" i="1"/>
  <c r="AU22" i="1"/>
  <c r="AV22" i="1"/>
  <c r="AW22" i="1"/>
  <c r="AX22" i="1"/>
  <c r="AY22" i="1"/>
  <c r="AZ22" i="1"/>
  <c r="BA22" i="1"/>
  <c r="B23" i="1"/>
  <c r="C23" i="1"/>
  <c r="D23" i="1"/>
  <c r="E23" i="1"/>
  <c r="F23" i="1"/>
  <c r="G23" i="1"/>
  <c r="H23" i="1"/>
  <c r="I23" i="1"/>
  <c r="J23" i="1"/>
  <c r="K23" i="1"/>
  <c r="L23" i="1"/>
  <c r="M23" i="1"/>
  <c r="N23" i="1"/>
  <c r="O23" i="1"/>
  <c r="Q23" i="1"/>
  <c r="R23" i="1"/>
  <c r="U23" i="1"/>
  <c r="V23" i="1"/>
  <c r="W23" i="1"/>
  <c r="X23" i="1"/>
  <c r="Y23" i="1"/>
  <c r="AB23" i="1"/>
  <c r="AC23" i="1"/>
  <c r="AD23" i="1"/>
  <c r="AE23" i="1"/>
  <c r="AF23" i="1"/>
  <c r="AG23" i="1"/>
  <c r="AH23" i="1"/>
  <c r="AI23" i="1"/>
  <c r="AJ23" i="1"/>
  <c r="AK23" i="1"/>
  <c r="AL23" i="1"/>
  <c r="AN23" i="1"/>
  <c r="AO23" i="1"/>
  <c r="AP23" i="1"/>
  <c r="AQ23" i="1"/>
  <c r="AS23" i="1"/>
  <c r="AT23" i="1"/>
  <c r="AU23" i="1"/>
  <c r="AV23" i="1"/>
  <c r="AW23" i="1"/>
  <c r="AX23" i="1"/>
  <c r="AY23" i="1"/>
  <c r="AZ23" i="1"/>
  <c r="BA23" i="1"/>
  <c r="B24" i="1"/>
  <c r="C24" i="1"/>
  <c r="D24" i="1"/>
  <c r="E24" i="1"/>
  <c r="F24" i="1"/>
  <c r="G24" i="1"/>
  <c r="H24" i="1"/>
  <c r="I24" i="1"/>
  <c r="J24" i="1"/>
  <c r="K24" i="1"/>
  <c r="L24" i="1"/>
  <c r="M24" i="1"/>
  <c r="N24" i="1"/>
  <c r="O24" i="1"/>
  <c r="Q24" i="1"/>
  <c r="R24" i="1"/>
  <c r="U24" i="1"/>
  <c r="V24" i="1"/>
  <c r="W24" i="1"/>
  <c r="X24" i="1"/>
  <c r="Y24" i="1"/>
  <c r="AC24" i="1"/>
  <c r="AD24" i="1"/>
  <c r="AE24" i="1"/>
  <c r="AF24" i="1"/>
  <c r="AG24" i="1"/>
  <c r="AH24" i="1"/>
  <c r="AI24" i="1"/>
  <c r="AJ24" i="1"/>
  <c r="AK24" i="1"/>
  <c r="AL24" i="1"/>
  <c r="AN24" i="1"/>
  <c r="AO24" i="1"/>
  <c r="AP24" i="1"/>
  <c r="AQ24" i="1"/>
  <c r="AS24" i="1"/>
  <c r="AT24" i="1"/>
  <c r="AU24" i="1"/>
  <c r="AV24" i="1"/>
  <c r="AW24" i="1"/>
  <c r="AX24" i="1"/>
  <c r="AY24" i="1"/>
  <c r="AZ24" i="1"/>
  <c r="BA24" i="1"/>
  <c r="B25" i="1"/>
  <c r="C25" i="1"/>
  <c r="D25" i="1"/>
  <c r="E25" i="1"/>
  <c r="F25" i="1"/>
  <c r="G25" i="1"/>
  <c r="H25" i="1"/>
  <c r="I25" i="1"/>
  <c r="J25" i="1"/>
  <c r="K25" i="1"/>
  <c r="L25" i="1"/>
  <c r="M25" i="1"/>
  <c r="N25" i="1"/>
  <c r="O25" i="1"/>
  <c r="Q25" i="1"/>
  <c r="R25" i="1"/>
  <c r="U25" i="1"/>
  <c r="V25" i="1"/>
  <c r="W25" i="1"/>
  <c r="X25" i="1"/>
  <c r="Y25" i="1"/>
  <c r="AB25" i="1"/>
  <c r="AC25" i="1"/>
  <c r="AD25" i="1"/>
  <c r="AE25" i="1"/>
  <c r="AF25" i="1"/>
  <c r="AG25" i="1"/>
  <c r="AH25" i="1"/>
  <c r="AI25" i="1"/>
  <c r="AJ25" i="1"/>
  <c r="AK25" i="1"/>
  <c r="AL25" i="1"/>
  <c r="AN25" i="1"/>
  <c r="AO25" i="1"/>
  <c r="AP25" i="1"/>
  <c r="AQ25" i="1"/>
  <c r="AS25" i="1"/>
  <c r="AT25" i="1"/>
  <c r="AU25" i="1"/>
  <c r="AV25" i="1"/>
  <c r="AW25" i="1"/>
  <c r="AX25" i="1"/>
  <c r="AY25" i="1"/>
  <c r="AZ25" i="1"/>
  <c r="BA25" i="1"/>
  <c r="B26" i="1"/>
  <c r="C26" i="1"/>
  <c r="D26" i="1"/>
  <c r="E26" i="1"/>
  <c r="F26" i="1"/>
  <c r="G26" i="1"/>
  <c r="H26" i="1"/>
  <c r="I26" i="1"/>
  <c r="J26" i="1"/>
  <c r="K26" i="1"/>
  <c r="L26" i="1"/>
  <c r="M26" i="1"/>
  <c r="N26" i="1"/>
  <c r="O26" i="1"/>
  <c r="Q26" i="1"/>
  <c r="R26" i="1"/>
  <c r="U26" i="1"/>
  <c r="V26" i="1"/>
  <c r="W26" i="1"/>
  <c r="X26" i="1"/>
  <c r="Y26" i="1"/>
  <c r="AB26" i="1"/>
  <c r="AC26" i="1"/>
  <c r="AD26" i="1"/>
  <c r="AE26" i="1"/>
  <c r="AF26" i="1"/>
  <c r="AG26" i="1"/>
  <c r="AH26" i="1"/>
  <c r="AI26" i="1"/>
  <c r="AJ26" i="1"/>
  <c r="AK26" i="1"/>
  <c r="AL26" i="1"/>
  <c r="AN26" i="1"/>
  <c r="AO26" i="1"/>
  <c r="AP26" i="1"/>
  <c r="AQ26" i="1"/>
  <c r="AS26" i="1"/>
  <c r="AT26" i="1"/>
  <c r="AU26" i="1"/>
  <c r="AV26" i="1"/>
  <c r="AW26" i="1"/>
  <c r="AX26" i="1"/>
  <c r="AY26" i="1"/>
  <c r="AZ26" i="1"/>
  <c r="BA26" i="1"/>
  <c r="B27" i="1"/>
  <c r="C27" i="1"/>
  <c r="D27" i="1"/>
  <c r="E27" i="1"/>
  <c r="F27" i="1"/>
  <c r="G27" i="1"/>
  <c r="H27" i="1"/>
  <c r="I27" i="1"/>
  <c r="J27" i="1"/>
  <c r="K27" i="1"/>
  <c r="L27" i="1"/>
  <c r="M27" i="1"/>
  <c r="N27" i="1"/>
  <c r="O27" i="1"/>
  <c r="Q27" i="1"/>
  <c r="R27" i="1"/>
  <c r="U27" i="1"/>
  <c r="V27" i="1"/>
  <c r="W27" i="1"/>
  <c r="X27" i="1"/>
  <c r="Y27" i="1"/>
  <c r="AB27" i="1"/>
  <c r="AC27" i="1"/>
  <c r="AD27" i="1"/>
  <c r="AE27" i="1"/>
  <c r="AF27" i="1"/>
  <c r="AG27" i="1"/>
  <c r="AH27" i="1"/>
  <c r="AI27" i="1"/>
  <c r="AJ27" i="1"/>
  <c r="AK27" i="1"/>
  <c r="AL27" i="1"/>
  <c r="AN27" i="1"/>
  <c r="AO27" i="1"/>
  <c r="AP27" i="1"/>
  <c r="AQ27" i="1"/>
  <c r="AS27" i="1"/>
  <c r="AT27" i="1"/>
  <c r="AU27" i="1"/>
  <c r="AV27" i="1"/>
  <c r="AW27" i="1"/>
  <c r="AX27" i="1"/>
  <c r="AY27" i="1"/>
  <c r="AZ27" i="1"/>
  <c r="BA27" i="1"/>
  <c r="B28" i="1"/>
  <c r="C28" i="1"/>
  <c r="D28" i="1"/>
  <c r="E28" i="1"/>
  <c r="F28" i="1"/>
  <c r="G28" i="1"/>
  <c r="H28" i="1"/>
  <c r="I28" i="1"/>
  <c r="J28" i="1"/>
  <c r="K28" i="1"/>
  <c r="L28" i="1"/>
  <c r="M28" i="1"/>
  <c r="N28" i="1"/>
  <c r="O28" i="1"/>
  <c r="Q28" i="1"/>
  <c r="R28" i="1"/>
  <c r="U28" i="1"/>
  <c r="V28" i="1"/>
  <c r="W28" i="1"/>
  <c r="X28" i="1"/>
  <c r="Y28" i="1"/>
  <c r="AB28" i="1"/>
  <c r="AC28" i="1"/>
  <c r="AD28" i="1"/>
  <c r="AE28" i="1"/>
  <c r="AF28" i="1"/>
  <c r="AG28" i="1"/>
  <c r="AH28" i="1"/>
  <c r="AI28" i="1"/>
  <c r="AJ28" i="1"/>
  <c r="AK28" i="1"/>
  <c r="AL28" i="1"/>
  <c r="AN28" i="1"/>
  <c r="AO28" i="1"/>
  <c r="AP28" i="1"/>
  <c r="AQ28" i="1"/>
  <c r="AS28" i="1"/>
  <c r="AT28" i="1"/>
  <c r="AU28" i="1"/>
  <c r="AV28" i="1"/>
  <c r="AW28" i="1"/>
  <c r="AX28" i="1"/>
  <c r="AY28" i="1"/>
  <c r="AZ28" i="1"/>
  <c r="BA28" i="1"/>
  <c r="B29" i="1"/>
  <c r="C29" i="1"/>
  <c r="D29" i="1"/>
  <c r="E29" i="1"/>
  <c r="F29" i="1"/>
  <c r="G29" i="1"/>
  <c r="H29" i="1"/>
  <c r="I29" i="1"/>
  <c r="J29" i="1"/>
  <c r="K29" i="1"/>
  <c r="L29" i="1"/>
  <c r="M29" i="1"/>
  <c r="N29" i="1"/>
  <c r="O29" i="1"/>
  <c r="Q29" i="1"/>
  <c r="R29" i="1"/>
  <c r="U29" i="1"/>
  <c r="V29" i="1"/>
  <c r="W29" i="1"/>
  <c r="X29" i="1"/>
  <c r="Y29" i="1"/>
  <c r="AB29" i="1"/>
  <c r="AC29" i="1"/>
  <c r="AD29" i="1"/>
  <c r="AE29" i="1"/>
  <c r="AF29" i="1"/>
  <c r="AG29" i="1"/>
  <c r="AH29" i="1"/>
  <c r="AI29" i="1"/>
  <c r="AJ29" i="1"/>
  <c r="AK29" i="1"/>
  <c r="AL29" i="1"/>
  <c r="AN29" i="1"/>
  <c r="AO29" i="1"/>
  <c r="AP29" i="1"/>
  <c r="AQ29" i="1"/>
  <c r="AS29" i="1"/>
  <c r="AT29" i="1"/>
  <c r="AU29" i="1"/>
  <c r="AV29" i="1"/>
  <c r="AW29" i="1"/>
  <c r="AX29" i="1"/>
  <c r="AY29" i="1"/>
  <c r="AZ29" i="1"/>
  <c r="BA29" i="1"/>
  <c r="B30" i="1"/>
  <c r="C30" i="1"/>
  <c r="D30" i="1"/>
  <c r="E30" i="1"/>
  <c r="F30" i="1"/>
  <c r="G30" i="1"/>
  <c r="H30" i="1"/>
  <c r="I30" i="1"/>
  <c r="J30" i="1"/>
  <c r="K30" i="1"/>
  <c r="L30" i="1"/>
  <c r="M30" i="1"/>
  <c r="N30" i="1"/>
  <c r="O30" i="1"/>
  <c r="Q30" i="1"/>
  <c r="R30" i="1"/>
  <c r="U30" i="1"/>
  <c r="V30" i="1"/>
  <c r="W30" i="1"/>
  <c r="X30" i="1"/>
  <c r="Y30" i="1"/>
  <c r="AB30" i="1"/>
  <c r="AC30" i="1"/>
  <c r="AD30" i="1"/>
  <c r="AE30" i="1"/>
  <c r="AF30" i="1"/>
  <c r="AG30" i="1"/>
  <c r="AH30" i="1"/>
  <c r="AI30" i="1"/>
  <c r="AJ30" i="1"/>
  <c r="AK30" i="1"/>
  <c r="AL30" i="1"/>
  <c r="AN30" i="1"/>
  <c r="AO30" i="1"/>
  <c r="AP30" i="1"/>
  <c r="AQ30" i="1"/>
  <c r="AS30" i="1"/>
  <c r="AT30" i="1"/>
  <c r="AU30" i="1"/>
  <c r="AV30" i="1"/>
  <c r="AW30" i="1"/>
  <c r="AX30" i="1"/>
  <c r="AY30" i="1"/>
  <c r="AZ30" i="1"/>
  <c r="BA30" i="1"/>
  <c r="B31" i="1"/>
  <c r="C31" i="1"/>
  <c r="D31" i="1"/>
  <c r="E31" i="1"/>
  <c r="F31" i="1"/>
  <c r="G31" i="1"/>
  <c r="H31" i="1"/>
  <c r="I31" i="1"/>
  <c r="J31" i="1"/>
  <c r="K31" i="1"/>
  <c r="L31" i="1"/>
  <c r="M31" i="1"/>
  <c r="N31" i="1"/>
  <c r="O31" i="1"/>
  <c r="Q31" i="1"/>
  <c r="R31" i="1"/>
  <c r="U31" i="1"/>
  <c r="V31" i="1"/>
  <c r="W31" i="1"/>
  <c r="X31" i="1"/>
  <c r="Y31" i="1"/>
  <c r="AB31" i="1"/>
  <c r="AC31" i="1"/>
  <c r="AD31" i="1"/>
  <c r="AE31" i="1"/>
  <c r="AF31" i="1"/>
  <c r="AG31" i="1"/>
  <c r="AH31" i="1"/>
  <c r="AI31" i="1"/>
  <c r="AJ31" i="1"/>
  <c r="AK31" i="1"/>
  <c r="AL31" i="1"/>
  <c r="AN31" i="1"/>
  <c r="AO31" i="1"/>
  <c r="AP31" i="1"/>
  <c r="AQ31" i="1"/>
  <c r="AS31" i="1"/>
  <c r="AT31" i="1"/>
  <c r="AU31" i="1"/>
  <c r="AV31" i="1"/>
  <c r="AW31" i="1"/>
  <c r="AX31" i="1"/>
  <c r="AY31" i="1"/>
  <c r="AZ31" i="1"/>
  <c r="BA31" i="1"/>
  <c r="B32" i="1"/>
  <c r="C32" i="1"/>
  <c r="D32" i="1"/>
  <c r="E32" i="1"/>
  <c r="F32" i="1"/>
  <c r="G32" i="1"/>
  <c r="H32" i="1"/>
  <c r="I32" i="1"/>
  <c r="J32" i="1"/>
  <c r="K32" i="1"/>
  <c r="L32" i="1"/>
  <c r="M32" i="1"/>
  <c r="N32" i="1"/>
  <c r="O32" i="1"/>
  <c r="Q32" i="1"/>
  <c r="R32" i="1"/>
  <c r="U32" i="1"/>
  <c r="V32" i="1"/>
  <c r="W32" i="1"/>
  <c r="X32" i="1"/>
  <c r="Y32" i="1"/>
  <c r="AB32" i="1"/>
  <c r="AC32" i="1"/>
  <c r="AD32" i="1"/>
  <c r="AE32" i="1"/>
  <c r="AF32" i="1"/>
  <c r="AG32" i="1"/>
  <c r="AH32" i="1"/>
  <c r="AI32" i="1"/>
  <c r="AJ32" i="1"/>
  <c r="AK32" i="1"/>
  <c r="AL32" i="1"/>
  <c r="AN32" i="1"/>
  <c r="AO32" i="1"/>
  <c r="AP32" i="1"/>
  <c r="AQ32" i="1"/>
  <c r="AS32" i="1"/>
  <c r="AT32" i="1"/>
  <c r="AU32" i="1"/>
  <c r="AV32" i="1"/>
  <c r="AW32" i="1"/>
  <c r="AX32" i="1"/>
  <c r="AY32" i="1"/>
  <c r="AZ32" i="1"/>
  <c r="BA32" i="1"/>
  <c r="B33" i="1"/>
  <c r="C33" i="1"/>
  <c r="D33" i="1"/>
  <c r="E33" i="1"/>
  <c r="F33" i="1"/>
  <c r="G33" i="1"/>
  <c r="H33" i="1"/>
  <c r="I33" i="1"/>
  <c r="J33" i="1"/>
  <c r="K33" i="1"/>
  <c r="L33" i="1"/>
  <c r="M33" i="1"/>
  <c r="N33" i="1"/>
  <c r="O33" i="1"/>
  <c r="Q33" i="1"/>
  <c r="R33" i="1"/>
  <c r="U33" i="1"/>
  <c r="V33" i="1"/>
  <c r="W33" i="1"/>
  <c r="X33" i="1"/>
  <c r="Y33" i="1"/>
  <c r="AB33" i="1"/>
  <c r="AC33" i="1"/>
  <c r="AD33" i="1"/>
  <c r="AE33" i="1"/>
  <c r="AF33" i="1"/>
  <c r="AG33" i="1"/>
  <c r="AH33" i="1"/>
  <c r="AI33" i="1"/>
  <c r="AJ33" i="1"/>
  <c r="AK33" i="1"/>
  <c r="AL33" i="1"/>
  <c r="AN33" i="1"/>
  <c r="AO33" i="1"/>
  <c r="AP33" i="1"/>
  <c r="AQ33" i="1"/>
  <c r="AS33" i="1"/>
  <c r="AT33" i="1"/>
  <c r="AU33" i="1"/>
  <c r="AV33" i="1"/>
  <c r="AW33" i="1"/>
  <c r="AX33" i="1"/>
  <c r="AY33" i="1"/>
  <c r="AZ33" i="1"/>
  <c r="BA33" i="1"/>
  <c r="B34" i="1"/>
  <c r="C34" i="1"/>
  <c r="D34" i="1"/>
  <c r="E34" i="1"/>
  <c r="F34" i="1"/>
  <c r="G34" i="1"/>
  <c r="H34" i="1"/>
  <c r="I34" i="1"/>
  <c r="J34" i="1"/>
  <c r="K34" i="1"/>
  <c r="L34" i="1"/>
  <c r="M34" i="1"/>
  <c r="N34" i="1"/>
  <c r="O34" i="1"/>
  <c r="Q34" i="1"/>
  <c r="R34" i="1"/>
  <c r="U34" i="1"/>
  <c r="V34" i="1"/>
  <c r="W34" i="1"/>
  <c r="X34" i="1"/>
  <c r="Y34" i="1"/>
  <c r="AB34" i="1"/>
  <c r="AC34" i="1"/>
  <c r="AD34" i="1"/>
  <c r="AE34" i="1"/>
  <c r="AF34" i="1"/>
  <c r="AG34" i="1"/>
  <c r="AH34" i="1"/>
  <c r="AI34" i="1"/>
  <c r="AJ34" i="1"/>
  <c r="AK34" i="1"/>
  <c r="AL34" i="1"/>
  <c r="AN34" i="1"/>
  <c r="AO34" i="1"/>
  <c r="AP34" i="1"/>
  <c r="AQ34" i="1"/>
  <c r="AS34" i="1"/>
  <c r="AT34" i="1"/>
  <c r="AU34" i="1"/>
  <c r="AV34" i="1"/>
  <c r="AW34" i="1"/>
  <c r="AX34" i="1"/>
  <c r="AY34" i="1"/>
  <c r="AZ34" i="1"/>
  <c r="BA34" i="1"/>
  <c r="B35" i="1"/>
  <c r="C35" i="1"/>
  <c r="D35" i="1"/>
  <c r="E35" i="1"/>
  <c r="F35" i="1"/>
  <c r="G35" i="1"/>
  <c r="H35" i="1"/>
  <c r="I35" i="1"/>
  <c r="J35" i="1"/>
  <c r="K35" i="1"/>
  <c r="L35" i="1"/>
  <c r="M35" i="1"/>
  <c r="N35" i="1"/>
  <c r="O35" i="1"/>
  <c r="Q35" i="1"/>
  <c r="R35" i="1"/>
  <c r="U35" i="1"/>
  <c r="V35" i="1"/>
  <c r="W35" i="1"/>
  <c r="X35" i="1"/>
  <c r="Y35" i="1"/>
  <c r="AB35" i="1"/>
  <c r="AC35" i="1"/>
  <c r="AD35" i="1"/>
  <c r="AE35" i="1"/>
  <c r="AF35" i="1"/>
  <c r="AG35" i="1"/>
  <c r="AH35" i="1"/>
  <c r="AI35" i="1"/>
  <c r="AJ35" i="1"/>
  <c r="AK35" i="1"/>
  <c r="AL35" i="1"/>
  <c r="AN35" i="1"/>
  <c r="AO35" i="1"/>
  <c r="AP35" i="1"/>
  <c r="AQ35" i="1"/>
  <c r="AS35" i="1"/>
  <c r="AT35" i="1"/>
  <c r="AU35" i="1"/>
  <c r="AV35" i="1"/>
  <c r="AW35" i="1"/>
  <c r="AX35" i="1"/>
  <c r="AY35" i="1"/>
  <c r="AZ35" i="1"/>
  <c r="BA35" i="1"/>
  <c r="B36" i="1"/>
  <c r="C36" i="1"/>
  <c r="D36" i="1"/>
  <c r="E36" i="1"/>
  <c r="F36" i="1"/>
  <c r="G36" i="1"/>
  <c r="H36" i="1"/>
  <c r="I36" i="1"/>
  <c r="J36" i="1"/>
  <c r="K36" i="1"/>
  <c r="L36" i="1"/>
  <c r="M36" i="1"/>
  <c r="N36" i="1"/>
  <c r="O36" i="1"/>
  <c r="Q36" i="1"/>
  <c r="R36" i="1"/>
  <c r="U36" i="1"/>
  <c r="V36" i="1"/>
  <c r="W36" i="1"/>
  <c r="X36" i="1"/>
  <c r="Y36" i="1"/>
  <c r="AB36" i="1"/>
  <c r="AC36" i="1"/>
  <c r="AD36" i="1"/>
  <c r="AE36" i="1"/>
  <c r="AF36" i="1"/>
  <c r="AG36" i="1"/>
  <c r="AH36" i="1"/>
  <c r="AI36" i="1"/>
  <c r="AJ36" i="1"/>
  <c r="AK36" i="1"/>
  <c r="AL36" i="1"/>
  <c r="AN36" i="1"/>
  <c r="AO36" i="1"/>
  <c r="AP36" i="1"/>
  <c r="AQ36" i="1"/>
  <c r="AS36" i="1"/>
  <c r="AT36" i="1"/>
  <c r="AU36" i="1"/>
  <c r="AV36" i="1"/>
  <c r="AW36" i="1"/>
  <c r="AX36" i="1"/>
  <c r="AY36" i="1"/>
  <c r="AZ36" i="1"/>
  <c r="BA36" i="1"/>
  <c r="B37" i="1"/>
  <c r="C37" i="1"/>
  <c r="D37" i="1"/>
  <c r="E37" i="1"/>
  <c r="F37" i="1"/>
  <c r="G37" i="1"/>
  <c r="H37" i="1"/>
  <c r="I37" i="1"/>
  <c r="J37" i="1"/>
  <c r="K37" i="1"/>
  <c r="L37" i="1"/>
  <c r="M37" i="1"/>
  <c r="N37" i="1"/>
  <c r="O37" i="1"/>
  <c r="Q37" i="1"/>
  <c r="R37" i="1"/>
  <c r="U37" i="1"/>
  <c r="V37" i="1"/>
  <c r="W37" i="1"/>
  <c r="X37" i="1"/>
  <c r="Y37" i="1"/>
  <c r="AB37" i="1"/>
  <c r="AC37" i="1"/>
  <c r="AD37" i="1"/>
  <c r="AE37" i="1"/>
  <c r="AF37" i="1"/>
  <c r="AG37" i="1"/>
  <c r="AH37" i="1"/>
  <c r="AI37" i="1"/>
  <c r="AJ37" i="1"/>
  <c r="AK37" i="1"/>
  <c r="AL37" i="1"/>
  <c r="AN37" i="1"/>
  <c r="AO37" i="1"/>
  <c r="AP37" i="1"/>
  <c r="AQ37" i="1"/>
  <c r="AS37" i="1"/>
  <c r="AT37" i="1"/>
  <c r="AU37" i="1"/>
  <c r="AV37" i="1"/>
  <c r="AW37" i="1"/>
  <c r="AX37" i="1"/>
  <c r="AY37" i="1"/>
  <c r="AZ37" i="1"/>
  <c r="BA37" i="1"/>
  <c r="B38" i="1"/>
  <c r="C38" i="1"/>
  <c r="D38" i="1"/>
  <c r="E38" i="1"/>
  <c r="F38" i="1"/>
  <c r="G38" i="1"/>
  <c r="H38" i="1"/>
  <c r="I38" i="1"/>
  <c r="J38" i="1"/>
  <c r="K38" i="1"/>
  <c r="L38" i="1"/>
  <c r="M38" i="1"/>
  <c r="N38" i="1"/>
  <c r="O38" i="1"/>
  <c r="Q38" i="1"/>
  <c r="R38" i="1"/>
  <c r="U38" i="1"/>
  <c r="V38" i="1"/>
  <c r="W38" i="1"/>
  <c r="X38" i="1"/>
  <c r="Y38" i="1"/>
  <c r="AB38" i="1"/>
  <c r="AC38" i="1"/>
  <c r="AD38" i="1"/>
  <c r="AE38" i="1"/>
  <c r="AF38" i="1"/>
  <c r="AG38" i="1"/>
  <c r="AH38" i="1"/>
  <c r="AI38" i="1"/>
  <c r="AJ38" i="1"/>
  <c r="AK38" i="1"/>
  <c r="AL38" i="1"/>
  <c r="AN38" i="1"/>
  <c r="AO38" i="1"/>
  <c r="AP38" i="1"/>
  <c r="AQ38" i="1"/>
  <c r="AS38" i="1"/>
  <c r="AT38" i="1"/>
  <c r="AU38" i="1"/>
  <c r="AV38" i="1"/>
  <c r="AW38" i="1"/>
  <c r="AX38" i="1"/>
  <c r="AY38" i="1"/>
  <c r="AZ38" i="1"/>
  <c r="BA38" i="1"/>
  <c r="B39" i="1"/>
  <c r="C39" i="1"/>
  <c r="D39" i="1"/>
  <c r="E39" i="1"/>
  <c r="F39" i="1"/>
  <c r="G39" i="1"/>
  <c r="H39" i="1"/>
  <c r="I39" i="1"/>
  <c r="J39" i="1"/>
  <c r="K39" i="1"/>
  <c r="L39" i="1"/>
  <c r="M39" i="1"/>
  <c r="N39" i="1"/>
  <c r="O39" i="1"/>
  <c r="Q39" i="1"/>
  <c r="R39" i="1"/>
  <c r="U39" i="1"/>
  <c r="V39" i="1"/>
  <c r="W39" i="1"/>
  <c r="X39" i="1"/>
  <c r="Y39" i="1"/>
  <c r="AB39" i="1"/>
  <c r="AC39" i="1"/>
  <c r="AD39" i="1"/>
  <c r="AE39" i="1"/>
  <c r="AF39" i="1"/>
  <c r="AG39" i="1"/>
  <c r="AH39" i="1"/>
  <c r="AI39" i="1"/>
  <c r="AJ39" i="1"/>
  <c r="AK39" i="1"/>
  <c r="AL39" i="1"/>
  <c r="AN39" i="1"/>
  <c r="AO39" i="1"/>
  <c r="AP39" i="1"/>
  <c r="AQ39" i="1"/>
  <c r="AS39" i="1"/>
  <c r="AT39" i="1"/>
  <c r="AU39" i="1"/>
  <c r="AV39" i="1"/>
  <c r="AW39" i="1"/>
  <c r="AX39" i="1"/>
  <c r="AY39" i="1"/>
  <c r="AZ39" i="1"/>
  <c r="BA39" i="1"/>
  <c r="B40" i="1"/>
  <c r="C40" i="1"/>
  <c r="D40" i="1"/>
  <c r="E40" i="1"/>
  <c r="F40" i="1"/>
  <c r="G40" i="1"/>
  <c r="H40" i="1"/>
  <c r="I40" i="1"/>
  <c r="J40" i="1"/>
  <c r="K40" i="1"/>
  <c r="L40" i="1"/>
  <c r="M40" i="1"/>
  <c r="N40" i="1"/>
  <c r="O40" i="1"/>
  <c r="Q40" i="1"/>
  <c r="R40" i="1"/>
  <c r="U40" i="1"/>
  <c r="V40" i="1"/>
  <c r="W40" i="1"/>
  <c r="X40" i="1"/>
  <c r="Y40" i="1"/>
  <c r="AB40" i="1"/>
  <c r="AC40" i="1"/>
  <c r="AD40" i="1"/>
  <c r="AE40" i="1"/>
  <c r="AF40" i="1"/>
  <c r="AG40" i="1"/>
  <c r="AH40" i="1"/>
  <c r="AI40" i="1"/>
  <c r="AJ40" i="1"/>
  <c r="AK40" i="1"/>
  <c r="AL40" i="1"/>
  <c r="AN40" i="1"/>
  <c r="AO40" i="1"/>
  <c r="AP40" i="1"/>
  <c r="AQ40" i="1"/>
  <c r="AS40" i="1"/>
  <c r="AT40" i="1"/>
  <c r="AU40" i="1"/>
  <c r="AV40" i="1"/>
  <c r="AW40" i="1"/>
  <c r="AX40" i="1"/>
  <c r="AY40" i="1"/>
  <c r="AZ40" i="1"/>
  <c r="BA40" i="1"/>
  <c r="B41" i="1"/>
  <c r="C41" i="1"/>
  <c r="D41" i="1"/>
  <c r="E41" i="1"/>
  <c r="F41" i="1"/>
  <c r="G41" i="1"/>
  <c r="H41" i="1"/>
  <c r="I41" i="1"/>
  <c r="J41" i="1"/>
  <c r="K41" i="1"/>
  <c r="L41" i="1"/>
  <c r="M41" i="1"/>
  <c r="N41" i="1"/>
  <c r="O41" i="1"/>
  <c r="Q41" i="1"/>
  <c r="R41" i="1"/>
  <c r="U41" i="1"/>
  <c r="V41" i="1"/>
  <c r="W41" i="1"/>
  <c r="X41" i="1"/>
  <c r="Y41" i="1"/>
  <c r="AB41" i="1"/>
  <c r="AC41" i="1"/>
  <c r="AD41" i="1"/>
  <c r="AE41" i="1"/>
  <c r="AF41" i="1"/>
  <c r="AG41" i="1"/>
  <c r="AH41" i="1"/>
  <c r="AI41" i="1"/>
  <c r="AJ41" i="1"/>
  <c r="AK41" i="1"/>
  <c r="AL41" i="1"/>
  <c r="AN41" i="1"/>
  <c r="AO41" i="1"/>
  <c r="AP41" i="1"/>
  <c r="AQ41" i="1"/>
  <c r="AS41" i="1"/>
  <c r="AT41" i="1"/>
  <c r="AU41" i="1"/>
  <c r="AV41" i="1"/>
  <c r="AW41" i="1"/>
  <c r="AX41" i="1"/>
  <c r="AY41" i="1"/>
  <c r="AZ41" i="1"/>
  <c r="BA41" i="1"/>
  <c r="B42" i="1"/>
  <c r="C42" i="1"/>
  <c r="D42" i="1"/>
  <c r="E42" i="1"/>
  <c r="F42" i="1"/>
  <c r="G42" i="1"/>
  <c r="H42" i="1"/>
  <c r="I42" i="1"/>
  <c r="J42" i="1"/>
  <c r="K42" i="1"/>
  <c r="L42" i="1"/>
  <c r="M42" i="1"/>
  <c r="N42" i="1"/>
  <c r="O42" i="1"/>
  <c r="Q42" i="1"/>
  <c r="R42" i="1"/>
  <c r="U42" i="1"/>
  <c r="V42" i="1"/>
  <c r="W42" i="1"/>
  <c r="X42" i="1"/>
  <c r="Y42" i="1"/>
  <c r="AB42" i="1"/>
  <c r="AC42" i="1"/>
  <c r="AD42" i="1"/>
  <c r="AE42" i="1"/>
  <c r="AF42" i="1"/>
  <c r="AG42" i="1"/>
  <c r="AH42" i="1"/>
  <c r="AI42" i="1"/>
  <c r="AJ42" i="1"/>
  <c r="AK42" i="1"/>
  <c r="AL42" i="1"/>
  <c r="AN42" i="1"/>
  <c r="AO42" i="1"/>
  <c r="AP42" i="1"/>
  <c r="AQ42" i="1"/>
  <c r="AS42" i="1"/>
  <c r="AT42" i="1"/>
  <c r="AU42" i="1"/>
  <c r="AV42" i="1"/>
  <c r="AW42" i="1"/>
  <c r="AX42" i="1"/>
  <c r="AY42" i="1"/>
  <c r="AZ42" i="1"/>
  <c r="BA42" i="1"/>
  <c r="B43" i="1"/>
  <c r="C43" i="1"/>
  <c r="D43" i="1"/>
  <c r="E43" i="1"/>
  <c r="F43" i="1"/>
  <c r="G43" i="1"/>
  <c r="H43" i="1"/>
  <c r="I43" i="1"/>
  <c r="J43" i="1"/>
  <c r="K43" i="1"/>
  <c r="L43" i="1"/>
  <c r="M43" i="1"/>
  <c r="N43" i="1"/>
  <c r="O43" i="1"/>
  <c r="Q43" i="1"/>
  <c r="R43" i="1"/>
  <c r="U43" i="1"/>
  <c r="V43" i="1"/>
  <c r="W43" i="1"/>
  <c r="X43" i="1"/>
  <c r="Y43" i="1"/>
  <c r="AB43" i="1"/>
  <c r="AC43" i="1"/>
  <c r="AD43" i="1"/>
  <c r="AE43" i="1"/>
  <c r="AF43" i="1"/>
  <c r="AG43" i="1"/>
  <c r="AH43" i="1"/>
  <c r="AI43" i="1"/>
  <c r="AJ43" i="1"/>
  <c r="AK43" i="1"/>
  <c r="AL43" i="1"/>
  <c r="AN43" i="1"/>
  <c r="AO43" i="1"/>
  <c r="AP43" i="1"/>
  <c r="AQ43" i="1"/>
  <c r="AS43" i="1"/>
  <c r="AT43" i="1"/>
  <c r="AU43" i="1"/>
  <c r="AV43" i="1"/>
  <c r="AW43" i="1"/>
  <c r="AX43" i="1"/>
  <c r="AY43" i="1"/>
  <c r="AZ43" i="1"/>
  <c r="BA43" i="1"/>
  <c r="B44" i="1"/>
  <c r="C44" i="1"/>
  <c r="D44" i="1"/>
  <c r="E44" i="1"/>
  <c r="F44" i="1"/>
  <c r="G44" i="1"/>
  <c r="H44" i="1"/>
  <c r="I44" i="1"/>
  <c r="J44" i="1"/>
  <c r="K44" i="1"/>
  <c r="L44" i="1"/>
  <c r="M44" i="1"/>
  <c r="N44" i="1"/>
  <c r="O44" i="1"/>
  <c r="Q44" i="1"/>
  <c r="R44" i="1"/>
  <c r="U44" i="1"/>
  <c r="V44" i="1"/>
  <c r="W44" i="1"/>
  <c r="X44" i="1"/>
  <c r="Y44" i="1"/>
  <c r="AB44" i="1"/>
  <c r="AC44" i="1"/>
  <c r="AD44" i="1"/>
  <c r="AE44" i="1"/>
  <c r="AF44" i="1"/>
  <c r="AG44" i="1"/>
  <c r="AH44" i="1"/>
  <c r="AI44" i="1"/>
  <c r="AJ44" i="1"/>
  <c r="AK44" i="1"/>
  <c r="AL44" i="1"/>
  <c r="AN44" i="1"/>
  <c r="AO44" i="1"/>
  <c r="AP44" i="1"/>
  <c r="AQ44" i="1"/>
  <c r="AS44" i="1"/>
  <c r="AT44" i="1"/>
  <c r="AU44" i="1"/>
  <c r="AV44" i="1"/>
  <c r="AW44" i="1"/>
  <c r="AX44" i="1"/>
  <c r="AY44" i="1"/>
  <c r="AZ44" i="1"/>
  <c r="BA44" i="1"/>
  <c r="B45" i="1"/>
  <c r="C45" i="1"/>
  <c r="D45" i="1"/>
  <c r="E45" i="1"/>
  <c r="F45" i="1"/>
  <c r="G45" i="1"/>
  <c r="H45" i="1"/>
  <c r="I45" i="1"/>
  <c r="J45" i="1"/>
  <c r="K45" i="1"/>
  <c r="L45" i="1"/>
  <c r="M45" i="1"/>
  <c r="N45" i="1"/>
  <c r="O45" i="1"/>
  <c r="Q45" i="1"/>
  <c r="R45" i="1"/>
  <c r="U45" i="1"/>
  <c r="V45" i="1"/>
  <c r="W45" i="1"/>
  <c r="X45" i="1"/>
  <c r="Y45" i="1"/>
  <c r="AB45" i="1"/>
  <c r="AC45" i="1"/>
  <c r="AD45" i="1"/>
  <c r="AE45" i="1"/>
  <c r="AF45" i="1"/>
  <c r="AG45" i="1"/>
  <c r="AH45" i="1"/>
  <c r="AI45" i="1"/>
  <c r="AJ45" i="1"/>
  <c r="AK45" i="1"/>
  <c r="AL45" i="1"/>
  <c r="AN45" i="1"/>
  <c r="AO45" i="1"/>
  <c r="AP45" i="1"/>
  <c r="AQ45" i="1"/>
  <c r="AS45" i="1"/>
  <c r="AT45" i="1"/>
  <c r="AU45" i="1"/>
  <c r="AV45" i="1"/>
  <c r="AW45" i="1"/>
  <c r="AX45" i="1"/>
  <c r="AY45" i="1"/>
  <c r="AZ45" i="1"/>
  <c r="BA45" i="1"/>
  <c r="B46" i="1"/>
  <c r="C46" i="1"/>
  <c r="D46" i="1"/>
  <c r="E46" i="1"/>
  <c r="F46" i="1"/>
  <c r="G46" i="1"/>
  <c r="H46" i="1"/>
  <c r="I46" i="1"/>
  <c r="J46" i="1"/>
  <c r="K46" i="1"/>
  <c r="L46" i="1"/>
  <c r="M46" i="1"/>
  <c r="N46" i="1"/>
  <c r="O46" i="1"/>
  <c r="Q46" i="1"/>
  <c r="R46" i="1"/>
  <c r="U46" i="1"/>
  <c r="V46" i="1"/>
  <c r="W46" i="1"/>
  <c r="X46" i="1"/>
  <c r="Y46" i="1"/>
  <c r="AB46" i="1"/>
  <c r="AC46" i="1"/>
  <c r="AD46" i="1"/>
  <c r="AE46" i="1"/>
  <c r="AF46" i="1"/>
  <c r="AG46" i="1"/>
  <c r="AH46" i="1"/>
  <c r="AI46" i="1"/>
  <c r="AJ46" i="1"/>
  <c r="AK46" i="1"/>
  <c r="AL46" i="1"/>
  <c r="AN46" i="1"/>
  <c r="AO46" i="1"/>
  <c r="AP46" i="1"/>
  <c r="AQ46" i="1"/>
  <c r="AS46" i="1"/>
  <c r="AT46" i="1"/>
  <c r="AU46" i="1"/>
  <c r="AV46" i="1"/>
  <c r="AW46" i="1"/>
  <c r="AX46" i="1"/>
  <c r="AY46" i="1"/>
  <c r="AZ46" i="1"/>
  <c r="BA46" i="1"/>
  <c r="B47" i="1"/>
  <c r="C47" i="1"/>
  <c r="D47" i="1"/>
  <c r="E47" i="1"/>
  <c r="F47" i="1"/>
  <c r="G47" i="1"/>
  <c r="H47" i="1"/>
  <c r="I47" i="1"/>
  <c r="J47" i="1"/>
  <c r="K47" i="1"/>
  <c r="L47" i="1"/>
  <c r="M47" i="1"/>
  <c r="N47" i="1"/>
  <c r="O47" i="1"/>
  <c r="Q47" i="1"/>
  <c r="R47" i="1"/>
  <c r="U47" i="1"/>
  <c r="V47" i="1"/>
  <c r="W47" i="1"/>
  <c r="X47" i="1"/>
  <c r="Y47" i="1"/>
  <c r="AB47" i="1"/>
  <c r="AC47" i="1"/>
  <c r="AD47" i="1"/>
  <c r="AE47" i="1"/>
  <c r="AF47" i="1"/>
  <c r="AG47" i="1"/>
  <c r="AH47" i="1"/>
  <c r="AI47" i="1"/>
  <c r="AJ47" i="1"/>
  <c r="AK47" i="1"/>
  <c r="AL47" i="1"/>
  <c r="AN47" i="1"/>
  <c r="AO47" i="1"/>
  <c r="AP47" i="1"/>
  <c r="AQ47" i="1"/>
  <c r="AS47" i="1"/>
  <c r="AT47" i="1"/>
  <c r="AU47" i="1"/>
  <c r="AV47" i="1"/>
  <c r="AW47" i="1"/>
  <c r="AX47" i="1"/>
  <c r="AY47" i="1"/>
  <c r="AZ47" i="1"/>
  <c r="BA47" i="1"/>
  <c r="B48" i="1"/>
  <c r="C48" i="1"/>
  <c r="D48" i="1"/>
  <c r="E48" i="1"/>
  <c r="F48" i="1"/>
  <c r="G48" i="1"/>
  <c r="H48" i="1"/>
  <c r="I48" i="1"/>
  <c r="J48" i="1"/>
  <c r="K48" i="1"/>
  <c r="L48" i="1"/>
  <c r="M48" i="1"/>
  <c r="N48" i="1"/>
  <c r="O48" i="1"/>
  <c r="Q48" i="1"/>
  <c r="R48" i="1"/>
  <c r="U48" i="1"/>
  <c r="V48" i="1"/>
  <c r="W48" i="1"/>
  <c r="X48" i="1"/>
  <c r="Y48" i="1"/>
  <c r="AB48" i="1"/>
  <c r="AC48" i="1"/>
  <c r="AD48" i="1"/>
  <c r="AE48" i="1"/>
  <c r="AF48" i="1"/>
  <c r="AG48" i="1"/>
  <c r="AH48" i="1"/>
  <c r="AI48" i="1"/>
  <c r="AJ48" i="1"/>
  <c r="AK48" i="1"/>
  <c r="AL48" i="1"/>
  <c r="AN48" i="1"/>
  <c r="AO48" i="1"/>
  <c r="AP48" i="1"/>
  <c r="AQ48" i="1"/>
  <c r="AS48" i="1"/>
  <c r="AT48" i="1"/>
  <c r="AU48" i="1"/>
  <c r="AV48" i="1"/>
  <c r="AW48" i="1"/>
  <c r="AX48" i="1"/>
  <c r="AY48" i="1"/>
  <c r="AZ48" i="1"/>
  <c r="BA48" i="1"/>
  <c r="B49" i="1"/>
  <c r="C49" i="1"/>
  <c r="D49" i="1"/>
  <c r="E49" i="1"/>
  <c r="F49" i="1"/>
  <c r="G49" i="1"/>
  <c r="H49" i="1"/>
  <c r="I49" i="1"/>
  <c r="J49" i="1"/>
  <c r="K49" i="1"/>
  <c r="L49" i="1"/>
  <c r="M49" i="1"/>
  <c r="N49" i="1"/>
  <c r="O49" i="1"/>
  <c r="Q49" i="1"/>
  <c r="R49" i="1"/>
  <c r="U49" i="1"/>
  <c r="V49" i="1"/>
  <c r="W49" i="1"/>
  <c r="X49" i="1"/>
  <c r="Y49" i="1"/>
  <c r="AB49" i="1"/>
  <c r="AC49" i="1"/>
  <c r="AD49" i="1"/>
  <c r="AE49" i="1"/>
  <c r="AF49" i="1"/>
  <c r="AG49" i="1"/>
  <c r="AH49" i="1"/>
  <c r="AI49" i="1"/>
  <c r="AJ49" i="1"/>
  <c r="AK49" i="1"/>
  <c r="AL49" i="1"/>
  <c r="AN49" i="1"/>
  <c r="AO49" i="1"/>
  <c r="AP49" i="1"/>
  <c r="AQ49" i="1"/>
  <c r="AS49" i="1"/>
  <c r="AT49" i="1"/>
  <c r="AU49" i="1"/>
  <c r="AV49" i="1"/>
  <c r="AW49" i="1"/>
  <c r="AX49" i="1"/>
  <c r="AY49" i="1"/>
  <c r="AZ49" i="1"/>
  <c r="BA49" i="1"/>
  <c r="B50" i="1"/>
  <c r="C50" i="1"/>
  <c r="D50" i="1"/>
  <c r="E50" i="1"/>
  <c r="F50" i="1"/>
  <c r="G50" i="1"/>
  <c r="H50" i="1"/>
  <c r="I50" i="1"/>
  <c r="J50" i="1"/>
  <c r="K50" i="1"/>
  <c r="L50" i="1"/>
  <c r="M50" i="1"/>
  <c r="N50" i="1"/>
  <c r="O50" i="1"/>
  <c r="Q50" i="1"/>
  <c r="R50" i="1"/>
  <c r="U50" i="1"/>
  <c r="V50" i="1"/>
  <c r="W50" i="1"/>
  <c r="X50" i="1"/>
  <c r="Y50" i="1"/>
  <c r="AB50" i="1"/>
  <c r="AC50" i="1"/>
  <c r="AD50" i="1"/>
  <c r="AE50" i="1"/>
  <c r="AF50" i="1"/>
  <c r="AG50" i="1"/>
  <c r="AH50" i="1"/>
  <c r="AI50" i="1"/>
  <c r="AJ50" i="1"/>
  <c r="AK50" i="1"/>
  <c r="AL50" i="1"/>
  <c r="AN50" i="1"/>
  <c r="AO50" i="1"/>
  <c r="AP50" i="1"/>
  <c r="AQ50" i="1"/>
  <c r="AS50" i="1"/>
  <c r="AT50" i="1"/>
  <c r="AU50" i="1"/>
  <c r="AV50" i="1"/>
  <c r="AW50" i="1"/>
  <c r="AX50" i="1"/>
  <c r="AY50" i="1"/>
  <c r="AZ50" i="1"/>
  <c r="BA50" i="1"/>
  <c r="B51" i="1"/>
  <c r="C51" i="1"/>
  <c r="D51" i="1"/>
  <c r="E51" i="1"/>
  <c r="F51" i="1"/>
  <c r="G51" i="1"/>
  <c r="H51" i="1"/>
  <c r="I51" i="1"/>
  <c r="J51" i="1"/>
  <c r="K51" i="1"/>
  <c r="L51" i="1"/>
  <c r="M51" i="1"/>
  <c r="N51" i="1"/>
  <c r="O51" i="1"/>
  <c r="Q51" i="1"/>
  <c r="R51" i="1"/>
  <c r="U51" i="1"/>
  <c r="V51" i="1"/>
  <c r="W51" i="1"/>
  <c r="X51" i="1"/>
  <c r="Y51" i="1"/>
  <c r="AB51" i="1"/>
  <c r="AC51" i="1"/>
  <c r="AD51" i="1"/>
  <c r="AE51" i="1"/>
  <c r="AF51" i="1"/>
  <c r="AG51" i="1"/>
  <c r="AH51" i="1"/>
  <c r="AI51" i="1"/>
  <c r="AJ51" i="1"/>
  <c r="AK51" i="1"/>
  <c r="AL51" i="1"/>
  <c r="AN51" i="1"/>
  <c r="AO51" i="1"/>
  <c r="AP51" i="1"/>
  <c r="AQ51" i="1"/>
  <c r="AS51" i="1"/>
  <c r="AT51" i="1"/>
  <c r="AU51" i="1"/>
  <c r="AV51" i="1"/>
  <c r="AW51" i="1"/>
  <c r="AX51" i="1"/>
  <c r="AY51" i="1"/>
  <c r="AZ51" i="1"/>
  <c r="BA51" i="1"/>
  <c r="B52" i="1"/>
  <c r="C52" i="1"/>
  <c r="D52" i="1"/>
  <c r="E52" i="1"/>
  <c r="F52" i="1"/>
  <c r="G52" i="1"/>
  <c r="H52" i="1"/>
  <c r="I52" i="1"/>
  <c r="J52" i="1"/>
  <c r="K52" i="1"/>
  <c r="L52" i="1"/>
  <c r="M52" i="1"/>
  <c r="N52" i="1"/>
  <c r="O52" i="1"/>
  <c r="Q52" i="1"/>
  <c r="R52" i="1"/>
  <c r="U52" i="1"/>
  <c r="V52" i="1"/>
  <c r="W52" i="1"/>
  <c r="X52" i="1"/>
  <c r="Y52" i="1"/>
  <c r="AB52" i="1"/>
  <c r="AC52" i="1"/>
  <c r="AD52" i="1"/>
  <c r="AE52" i="1"/>
  <c r="AF52" i="1"/>
  <c r="AG52" i="1"/>
  <c r="AH52" i="1"/>
  <c r="AI52" i="1"/>
  <c r="AJ52" i="1"/>
  <c r="AK52" i="1"/>
  <c r="AL52" i="1"/>
  <c r="AN52" i="1"/>
  <c r="AO52" i="1"/>
  <c r="AP52" i="1"/>
  <c r="AQ52" i="1"/>
  <c r="AS52" i="1"/>
  <c r="AT52" i="1"/>
  <c r="AU52" i="1"/>
  <c r="AV52" i="1"/>
  <c r="AW52" i="1"/>
  <c r="AX52" i="1"/>
  <c r="AY52" i="1"/>
  <c r="AZ52" i="1"/>
  <c r="BA52" i="1"/>
  <c r="B53" i="1"/>
  <c r="C53" i="1"/>
  <c r="D53" i="1"/>
  <c r="E53" i="1"/>
  <c r="F53" i="1"/>
  <c r="G53" i="1"/>
  <c r="H53" i="1"/>
  <c r="I53" i="1"/>
  <c r="J53" i="1"/>
  <c r="K53" i="1"/>
  <c r="L53" i="1"/>
  <c r="M53" i="1"/>
  <c r="N53" i="1"/>
  <c r="O53" i="1"/>
  <c r="Q53" i="1"/>
  <c r="R53" i="1"/>
  <c r="U53" i="1"/>
  <c r="V53" i="1"/>
  <c r="W53" i="1"/>
  <c r="X53" i="1"/>
  <c r="Y53" i="1"/>
  <c r="AB53" i="1"/>
  <c r="AC53" i="1"/>
  <c r="AD53" i="1"/>
  <c r="AE53" i="1"/>
  <c r="AF53" i="1"/>
  <c r="AG53" i="1"/>
  <c r="AH53" i="1"/>
  <c r="AI53" i="1"/>
  <c r="AJ53" i="1"/>
  <c r="AK53" i="1"/>
  <c r="AL53" i="1"/>
  <c r="AN53" i="1"/>
  <c r="AO53" i="1"/>
  <c r="AP53" i="1"/>
  <c r="AQ53" i="1"/>
  <c r="AS53" i="1"/>
  <c r="AT53" i="1"/>
  <c r="AU53" i="1"/>
  <c r="AV53" i="1"/>
  <c r="AW53" i="1"/>
  <c r="AX53" i="1"/>
  <c r="AY53" i="1"/>
  <c r="AZ53" i="1"/>
  <c r="BA53" i="1"/>
  <c r="B54" i="1"/>
  <c r="C54" i="1"/>
  <c r="D54" i="1"/>
  <c r="E54" i="1"/>
  <c r="F54" i="1"/>
  <c r="G54" i="1"/>
  <c r="H54" i="1"/>
  <c r="I54" i="1"/>
  <c r="J54" i="1"/>
  <c r="K54" i="1"/>
  <c r="L54" i="1"/>
  <c r="M54" i="1"/>
  <c r="N54" i="1"/>
  <c r="O54" i="1"/>
  <c r="Q54" i="1"/>
  <c r="R54" i="1"/>
  <c r="U54" i="1"/>
  <c r="V54" i="1"/>
  <c r="W54" i="1"/>
  <c r="X54" i="1"/>
  <c r="Y54" i="1"/>
  <c r="AB54" i="1"/>
  <c r="AC54" i="1"/>
  <c r="AD54" i="1"/>
  <c r="AE54" i="1"/>
  <c r="AF54" i="1"/>
  <c r="AG54" i="1"/>
  <c r="AH54" i="1"/>
  <c r="AI54" i="1"/>
  <c r="AJ54" i="1"/>
  <c r="AK54" i="1"/>
  <c r="AL54" i="1"/>
  <c r="AN54" i="1"/>
  <c r="AO54" i="1"/>
  <c r="AP54" i="1"/>
  <c r="AQ54" i="1"/>
  <c r="AS54" i="1"/>
  <c r="AT54" i="1"/>
  <c r="AU54" i="1"/>
  <c r="AV54" i="1"/>
  <c r="AW54" i="1"/>
  <c r="AX54" i="1"/>
  <c r="AY54" i="1"/>
  <c r="AZ54" i="1"/>
  <c r="BA54" i="1"/>
  <c r="B55" i="1"/>
  <c r="C55" i="1"/>
  <c r="D55" i="1"/>
  <c r="E55" i="1"/>
  <c r="F55" i="1"/>
  <c r="G55" i="1"/>
  <c r="H55" i="1"/>
  <c r="I55" i="1"/>
  <c r="J55" i="1"/>
  <c r="K55" i="1"/>
  <c r="L55" i="1"/>
  <c r="M55" i="1"/>
  <c r="N55" i="1"/>
  <c r="O55" i="1"/>
  <c r="Q55" i="1"/>
  <c r="R55" i="1"/>
  <c r="U55" i="1"/>
  <c r="V55" i="1"/>
  <c r="W55" i="1"/>
  <c r="X55" i="1"/>
  <c r="Y55" i="1"/>
  <c r="AB55" i="1"/>
  <c r="AC55" i="1"/>
  <c r="AD55" i="1"/>
  <c r="AE55" i="1"/>
  <c r="AF55" i="1"/>
  <c r="AG55" i="1"/>
  <c r="AH55" i="1"/>
  <c r="AI55" i="1"/>
  <c r="AJ55" i="1"/>
  <c r="AK55" i="1"/>
  <c r="AL55" i="1"/>
  <c r="AN55" i="1"/>
  <c r="AO55" i="1"/>
  <c r="AP55" i="1"/>
  <c r="AQ55" i="1"/>
  <c r="AS55" i="1"/>
  <c r="AT55" i="1"/>
  <c r="AU55" i="1"/>
  <c r="AV55" i="1"/>
  <c r="AW55" i="1"/>
  <c r="AX55" i="1"/>
  <c r="AY55" i="1"/>
  <c r="AZ55" i="1"/>
  <c r="BA55" i="1"/>
  <c r="B56" i="1"/>
  <c r="C56" i="1"/>
  <c r="D56" i="1"/>
  <c r="E56" i="1"/>
  <c r="F56" i="1"/>
  <c r="G56" i="1"/>
  <c r="H56" i="1"/>
  <c r="I56" i="1"/>
  <c r="J56" i="1"/>
  <c r="K56" i="1"/>
  <c r="L56" i="1"/>
  <c r="M56" i="1"/>
  <c r="N56" i="1"/>
  <c r="O56" i="1"/>
  <c r="Q56" i="1"/>
  <c r="R56" i="1"/>
  <c r="U56" i="1"/>
  <c r="V56" i="1"/>
  <c r="W56" i="1"/>
  <c r="X56" i="1"/>
  <c r="Y56" i="1"/>
  <c r="AB56" i="1"/>
  <c r="AC56" i="1"/>
  <c r="AD56" i="1"/>
  <c r="AE56" i="1"/>
  <c r="AF56" i="1"/>
  <c r="AG56" i="1"/>
  <c r="AH56" i="1"/>
  <c r="AI56" i="1"/>
  <c r="AJ56" i="1"/>
  <c r="AK56" i="1"/>
  <c r="AL56" i="1"/>
  <c r="AN56" i="1"/>
  <c r="AO56" i="1"/>
  <c r="AP56" i="1"/>
  <c r="AQ56" i="1"/>
  <c r="AS56" i="1"/>
  <c r="AT56" i="1"/>
  <c r="AU56" i="1"/>
  <c r="AV56" i="1"/>
  <c r="AW56" i="1"/>
  <c r="AX56" i="1"/>
  <c r="AY56" i="1"/>
  <c r="AZ56" i="1"/>
  <c r="BA56" i="1"/>
  <c r="B57" i="1"/>
  <c r="C57" i="1"/>
  <c r="D57" i="1"/>
  <c r="E57" i="1"/>
  <c r="F57" i="1"/>
  <c r="G57" i="1"/>
  <c r="H57" i="1"/>
  <c r="I57" i="1"/>
  <c r="J57" i="1"/>
  <c r="K57" i="1"/>
  <c r="L57" i="1"/>
  <c r="M57" i="1"/>
  <c r="N57" i="1"/>
  <c r="O57" i="1"/>
  <c r="Q57" i="1"/>
  <c r="R57" i="1"/>
  <c r="U57" i="1"/>
  <c r="V57" i="1"/>
  <c r="W57" i="1"/>
  <c r="X57" i="1"/>
  <c r="Y57" i="1"/>
  <c r="AB57" i="1"/>
  <c r="AC57" i="1"/>
  <c r="AD57" i="1"/>
  <c r="AE57" i="1"/>
  <c r="AF57" i="1"/>
  <c r="AG57" i="1"/>
  <c r="AH57" i="1"/>
  <c r="AI57" i="1"/>
  <c r="AJ57" i="1"/>
  <c r="AK57" i="1"/>
  <c r="AL57" i="1"/>
  <c r="AN57" i="1"/>
  <c r="AO57" i="1"/>
  <c r="AP57" i="1"/>
  <c r="AQ57" i="1"/>
  <c r="AS57" i="1"/>
  <c r="AT57" i="1"/>
  <c r="AU57" i="1"/>
  <c r="AV57" i="1"/>
  <c r="AW57" i="1"/>
  <c r="AX57" i="1"/>
  <c r="AY57" i="1"/>
  <c r="AZ57" i="1"/>
  <c r="BA57" i="1"/>
  <c r="B58" i="1"/>
  <c r="C58" i="1"/>
  <c r="D58" i="1"/>
  <c r="E58" i="1"/>
  <c r="F58" i="1"/>
  <c r="G58" i="1"/>
  <c r="H58" i="1"/>
  <c r="I58" i="1"/>
  <c r="J58" i="1"/>
  <c r="K58" i="1"/>
  <c r="L58" i="1"/>
  <c r="M58" i="1"/>
  <c r="N58" i="1"/>
  <c r="O58" i="1"/>
  <c r="Q58" i="1"/>
  <c r="R58" i="1"/>
  <c r="U58" i="1"/>
  <c r="V58" i="1"/>
  <c r="W58" i="1"/>
  <c r="X58" i="1"/>
  <c r="Y58" i="1"/>
  <c r="AB58" i="1"/>
  <c r="AC58" i="1"/>
  <c r="AD58" i="1"/>
  <c r="AE58" i="1"/>
  <c r="AF58" i="1"/>
  <c r="AG58" i="1"/>
  <c r="AH58" i="1"/>
  <c r="AI58" i="1"/>
  <c r="AJ58" i="1"/>
  <c r="AK58" i="1"/>
  <c r="AL58" i="1"/>
  <c r="AM58" i="1"/>
  <c r="AN58" i="1"/>
  <c r="AO58" i="1"/>
  <c r="AP58" i="1"/>
  <c r="AQ58" i="1"/>
  <c r="AS58" i="1"/>
  <c r="AT58" i="1"/>
  <c r="AU58" i="1"/>
  <c r="AV58" i="1"/>
  <c r="AW58" i="1"/>
  <c r="AX58" i="1"/>
  <c r="AY58" i="1"/>
  <c r="AZ58" i="1"/>
  <c r="BA58" i="1"/>
  <c r="B59" i="1"/>
  <c r="C59" i="1"/>
  <c r="D59" i="1"/>
  <c r="E59" i="1"/>
  <c r="F59" i="1"/>
  <c r="G59" i="1"/>
  <c r="H59" i="1"/>
  <c r="I59" i="1"/>
  <c r="J59" i="1"/>
  <c r="K59" i="1"/>
  <c r="L59" i="1"/>
  <c r="M59" i="1"/>
  <c r="N59" i="1"/>
  <c r="O59" i="1"/>
  <c r="Q59" i="1"/>
  <c r="R59" i="1"/>
  <c r="U59" i="1"/>
  <c r="V59" i="1"/>
  <c r="W59" i="1"/>
  <c r="X59" i="1"/>
  <c r="Y59" i="1"/>
  <c r="AB59" i="1"/>
  <c r="AC59" i="1"/>
  <c r="AD59" i="1"/>
  <c r="AE59" i="1"/>
  <c r="AF59" i="1"/>
  <c r="AG59" i="1"/>
  <c r="AH59" i="1"/>
  <c r="AI59" i="1"/>
  <c r="AJ59" i="1"/>
  <c r="AK59" i="1"/>
  <c r="AL59" i="1"/>
  <c r="AM59" i="1"/>
  <c r="AN59" i="1"/>
  <c r="AO59" i="1"/>
  <c r="AP59" i="1"/>
  <c r="AQ59" i="1"/>
  <c r="AS59" i="1"/>
  <c r="AT59" i="1"/>
  <c r="AU59" i="1"/>
  <c r="AV59" i="1"/>
  <c r="AW59" i="1"/>
  <c r="AX59" i="1"/>
  <c r="AY59" i="1"/>
  <c r="AZ59" i="1"/>
  <c r="BA59" i="1"/>
  <c r="B60" i="1"/>
  <c r="C60" i="1"/>
  <c r="D60" i="1"/>
  <c r="E60" i="1"/>
  <c r="F60" i="1"/>
  <c r="G60" i="1"/>
  <c r="H60" i="1"/>
  <c r="I60" i="1"/>
  <c r="J60" i="1"/>
  <c r="K60" i="1"/>
  <c r="L60" i="1"/>
  <c r="M60" i="1"/>
  <c r="N60" i="1"/>
  <c r="O60" i="1"/>
  <c r="Q60" i="1"/>
  <c r="R60" i="1"/>
  <c r="U60" i="1"/>
  <c r="V60" i="1"/>
  <c r="W60" i="1"/>
  <c r="X60" i="1"/>
  <c r="Y60" i="1"/>
  <c r="AB60" i="1"/>
  <c r="AC60" i="1"/>
  <c r="AD60" i="1"/>
  <c r="AE60" i="1"/>
  <c r="AF60" i="1"/>
  <c r="AG60" i="1"/>
  <c r="AH60" i="1"/>
  <c r="AI60" i="1"/>
  <c r="AJ60" i="1"/>
  <c r="AK60" i="1"/>
  <c r="AL60" i="1"/>
  <c r="AM60" i="1"/>
  <c r="AN60" i="1"/>
  <c r="AO60" i="1"/>
  <c r="AP60" i="1"/>
  <c r="AQ60" i="1"/>
  <c r="AS60" i="1"/>
  <c r="AT60" i="1"/>
  <c r="AU60" i="1"/>
  <c r="AV60" i="1"/>
  <c r="AW60" i="1"/>
  <c r="AX60" i="1"/>
  <c r="AY60" i="1"/>
  <c r="AZ60" i="1"/>
  <c r="BA60" i="1"/>
  <c r="B61" i="1"/>
  <c r="C61" i="1"/>
  <c r="D61" i="1"/>
  <c r="E61" i="1"/>
  <c r="F61" i="1"/>
  <c r="G61" i="1"/>
  <c r="H61" i="1"/>
  <c r="I61" i="1"/>
  <c r="J61" i="1"/>
  <c r="K61" i="1"/>
  <c r="L61" i="1"/>
  <c r="M61" i="1"/>
  <c r="N61" i="1"/>
  <c r="O61" i="1"/>
  <c r="P61" i="1"/>
  <c r="Q61" i="1"/>
  <c r="R61" i="1"/>
  <c r="U61" i="1"/>
  <c r="V61" i="1"/>
  <c r="W61" i="1"/>
  <c r="X61" i="1"/>
  <c r="Y61" i="1"/>
  <c r="AB61" i="1"/>
  <c r="AC61" i="1"/>
  <c r="AD61" i="1"/>
  <c r="AE61" i="1"/>
  <c r="AF61" i="1"/>
  <c r="AG61" i="1"/>
  <c r="AH61" i="1"/>
  <c r="AI61" i="1"/>
  <c r="AJ61" i="1"/>
  <c r="AK61" i="1"/>
  <c r="AL61" i="1"/>
  <c r="AN61" i="1"/>
  <c r="AO61" i="1"/>
  <c r="AP61" i="1"/>
  <c r="AQ61" i="1"/>
  <c r="AS61" i="1"/>
  <c r="AT61" i="1"/>
  <c r="AU61" i="1"/>
  <c r="AV61" i="1"/>
  <c r="AW61" i="1"/>
  <c r="AX61" i="1"/>
  <c r="AY61" i="1"/>
  <c r="AZ61" i="1"/>
  <c r="BA61" i="1"/>
  <c r="B62" i="1"/>
  <c r="C62" i="1"/>
  <c r="D62" i="1"/>
  <c r="E62" i="1"/>
  <c r="F62" i="1"/>
  <c r="G62" i="1"/>
  <c r="H62" i="1"/>
  <c r="I62" i="1"/>
  <c r="J62" i="1"/>
  <c r="K62" i="1"/>
  <c r="L62" i="1"/>
  <c r="M62" i="1"/>
  <c r="N62" i="1"/>
  <c r="O62" i="1"/>
  <c r="P62" i="1"/>
  <c r="Q62" i="1"/>
  <c r="R62" i="1"/>
  <c r="U62" i="1"/>
  <c r="V62" i="1"/>
  <c r="W62" i="1"/>
  <c r="X62" i="1"/>
  <c r="Y62" i="1"/>
  <c r="AB62" i="1"/>
  <c r="AC62" i="1"/>
  <c r="AD62" i="1"/>
  <c r="AE62" i="1"/>
  <c r="AF62" i="1"/>
  <c r="AG62" i="1"/>
  <c r="AH62" i="1"/>
  <c r="AI62" i="1"/>
  <c r="AJ62" i="1"/>
  <c r="AK62" i="1"/>
  <c r="AL62" i="1"/>
  <c r="AN62" i="1"/>
  <c r="AO62" i="1"/>
  <c r="AP62" i="1"/>
  <c r="AQ62" i="1"/>
  <c r="AS62" i="1"/>
  <c r="AT62" i="1"/>
  <c r="AU62" i="1"/>
  <c r="AV62" i="1"/>
  <c r="AW62" i="1"/>
  <c r="AX62" i="1"/>
  <c r="AY62" i="1"/>
  <c r="AZ62" i="1"/>
  <c r="BA62" i="1"/>
  <c r="B63" i="1"/>
  <c r="C63" i="1"/>
  <c r="D63" i="1"/>
  <c r="E63" i="1"/>
  <c r="F63" i="1"/>
  <c r="G63" i="1"/>
  <c r="H63" i="1"/>
  <c r="I63" i="1"/>
  <c r="J63" i="1"/>
  <c r="K63" i="1"/>
  <c r="L63" i="1"/>
  <c r="M63" i="1"/>
  <c r="N63" i="1"/>
  <c r="O63" i="1"/>
  <c r="Q63" i="1"/>
  <c r="R63" i="1"/>
  <c r="U63" i="1"/>
  <c r="V63" i="1"/>
  <c r="W63" i="1"/>
  <c r="X63" i="1"/>
  <c r="Y63" i="1"/>
  <c r="AB63" i="1"/>
  <c r="AC63" i="1"/>
  <c r="AD63" i="1"/>
  <c r="AE63" i="1"/>
  <c r="AF63" i="1"/>
  <c r="AG63" i="1"/>
  <c r="AH63" i="1"/>
  <c r="AI63" i="1"/>
  <c r="AJ63" i="1"/>
  <c r="AK63" i="1"/>
  <c r="AL63" i="1"/>
  <c r="AN63" i="1"/>
  <c r="AO63" i="1"/>
  <c r="AP63" i="1"/>
  <c r="AQ63" i="1"/>
  <c r="AS63" i="1"/>
  <c r="AT63" i="1"/>
  <c r="AU63" i="1"/>
  <c r="AV63" i="1"/>
  <c r="AW63" i="1"/>
  <c r="AX63" i="1"/>
  <c r="AY63" i="1"/>
  <c r="AZ63" i="1"/>
  <c r="BA63" i="1"/>
  <c r="B64" i="1"/>
  <c r="C64" i="1"/>
  <c r="D64" i="1"/>
  <c r="E64" i="1"/>
  <c r="F64" i="1"/>
  <c r="G64" i="1"/>
  <c r="H64" i="1"/>
  <c r="I64" i="1"/>
  <c r="J64" i="1"/>
  <c r="K64" i="1"/>
  <c r="L64" i="1"/>
  <c r="M64" i="1"/>
  <c r="N64" i="1"/>
  <c r="O64" i="1"/>
  <c r="Q64" i="1"/>
  <c r="R64" i="1"/>
  <c r="U64" i="1"/>
  <c r="V64" i="1"/>
  <c r="W64" i="1"/>
  <c r="X64" i="1"/>
  <c r="Y64" i="1"/>
  <c r="AB64" i="1"/>
  <c r="AC64" i="1"/>
  <c r="AD64" i="1"/>
  <c r="AE64" i="1"/>
  <c r="AF64" i="1"/>
  <c r="AG64" i="1"/>
  <c r="AH64" i="1"/>
  <c r="AI64" i="1"/>
  <c r="AJ64" i="1"/>
  <c r="AK64" i="1"/>
  <c r="AL64" i="1"/>
  <c r="AN64" i="1"/>
  <c r="AO64" i="1"/>
  <c r="AP64" i="1"/>
  <c r="AQ64" i="1"/>
  <c r="AS64" i="1"/>
  <c r="AT64" i="1"/>
  <c r="AU64" i="1"/>
  <c r="AV64" i="1"/>
  <c r="AW64" i="1"/>
  <c r="AX64" i="1"/>
  <c r="AY64" i="1"/>
  <c r="AZ64" i="1"/>
  <c r="BA64" i="1"/>
  <c r="B65" i="1"/>
  <c r="C65" i="1"/>
  <c r="D65" i="1"/>
  <c r="E65" i="1"/>
  <c r="F65" i="1"/>
  <c r="G65" i="1"/>
  <c r="H65" i="1"/>
  <c r="I65" i="1"/>
  <c r="J65" i="1"/>
  <c r="K65" i="1"/>
  <c r="L65" i="1"/>
  <c r="M65" i="1"/>
  <c r="N65" i="1"/>
  <c r="O65" i="1"/>
  <c r="Q65" i="1"/>
  <c r="R65" i="1"/>
  <c r="U65" i="1"/>
  <c r="V65" i="1"/>
  <c r="W65" i="1"/>
  <c r="X65" i="1"/>
  <c r="Y65" i="1"/>
  <c r="AB65" i="1"/>
  <c r="AC65" i="1"/>
  <c r="AD65" i="1"/>
  <c r="AE65" i="1"/>
  <c r="AF65" i="1"/>
  <c r="AG65" i="1"/>
  <c r="AH65" i="1"/>
  <c r="AI65" i="1"/>
  <c r="AJ65" i="1"/>
  <c r="AK65" i="1"/>
  <c r="AL65" i="1"/>
  <c r="AN65" i="1"/>
  <c r="AO65" i="1"/>
  <c r="AP65" i="1"/>
  <c r="AQ65" i="1"/>
  <c r="AS65" i="1"/>
  <c r="AT65" i="1"/>
  <c r="AU65" i="1"/>
  <c r="AV65" i="1"/>
  <c r="AW65" i="1"/>
  <c r="AX65" i="1"/>
  <c r="AY65" i="1"/>
  <c r="AZ65" i="1"/>
  <c r="BA65" i="1"/>
  <c r="B66" i="1"/>
  <c r="C66" i="1"/>
  <c r="D66" i="1"/>
  <c r="E66" i="1"/>
  <c r="F66" i="1"/>
  <c r="G66" i="1"/>
  <c r="H66" i="1"/>
  <c r="I66" i="1"/>
  <c r="J66" i="1"/>
  <c r="K66" i="1"/>
  <c r="L66" i="1"/>
  <c r="M66" i="1"/>
  <c r="N66" i="1"/>
  <c r="O66" i="1"/>
  <c r="Q66" i="1"/>
  <c r="R66" i="1"/>
  <c r="U66" i="1"/>
  <c r="V66" i="1"/>
  <c r="W66" i="1"/>
  <c r="X66" i="1"/>
  <c r="Y66" i="1"/>
  <c r="AB66" i="1"/>
  <c r="AC66" i="1"/>
  <c r="AD66" i="1"/>
  <c r="AE66" i="1"/>
  <c r="AF66" i="1"/>
  <c r="AG66" i="1"/>
  <c r="AH66" i="1"/>
  <c r="AI66" i="1"/>
  <c r="AJ66" i="1"/>
  <c r="AK66" i="1"/>
  <c r="AL66" i="1"/>
  <c r="AN66" i="1"/>
  <c r="AO66" i="1"/>
  <c r="AP66" i="1"/>
  <c r="AQ66" i="1"/>
  <c r="AS66" i="1"/>
  <c r="AT66" i="1"/>
  <c r="AU66" i="1"/>
  <c r="AV66" i="1"/>
  <c r="AW66" i="1"/>
  <c r="AX66" i="1"/>
  <c r="AY66" i="1"/>
  <c r="AZ66" i="1"/>
  <c r="BA66" i="1"/>
  <c r="B67" i="1"/>
  <c r="C67" i="1"/>
  <c r="D67" i="1"/>
  <c r="E67" i="1"/>
  <c r="F67" i="1"/>
  <c r="G67" i="1"/>
  <c r="H67" i="1"/>
  <c r="I67" i="1"/>
  <c r="J67" i="1"/>
  <c r="K67" i="1"/>
  <c r="L67" i="1"/>
  <c r="M67" i="1"/>
  <c r="N67" i="1"/>
  <c r="O67" i="1"/>
  <c r="Q67" i="1"/>
  <c r="R67" i="1"/>
  <c r="U67" i="1"/>
  <c r="V67" i="1"/>
  <c r="W67" i="1"/>
  <c r="X67" i="1"/>
  <c r="Y67" i="1"/>
  <c r="AB67" i="1"/>
  <c r="AC67" i="1"/>
  <c r="AD67" i="1"/>
  <c r="AE67" i="1"/>
  <c r="AF67" i="1"/>
  <c r="AG67" i="1"/>
  <c r="AH67" i="1"/>
  <c r="AI67" i="1"/>
  <c r="AJ67" i="1"/>
  <c r="AK67" i="1"/>
  <c r="AL67" i="1"/>
  <c r="AN67" i="1"/>
  <c r="AO67" i="1"/>
  <c r="AP67" i="1"/>
  <c r="AQ67" i="1"/>
  <c r="AS67" i="1"/>
  <c r="AT67" i="1"/>
  <c r="AU67" i="1"/>
  <c r="AV67" i="1"/>
  <c r="AW67" i="1"/>
  <c r="AX67" i="1"/>
  <c r="AY67" i="1"/>
  <c r="AZ67" i="1"/>
  <c r="BA67" i="1"/>
  <c r="B68" i="1"/>
  <c r="C68" i="1"/>
  <c r="D68" i="1"/>
  <c r="E68" i="1"/>
  <c r="F68" i="1"/>
  <c r="G68" i="1"/>
  <c r="H68" i="1"/>
  <c r="I68" i="1"/>
  <c r="J68" i="1"/>
  <c r="K68" i="1"/>
  <c r="L68" i="1"/>
  <c r="M68" i="1"/>
  <c r="N68" i="1"/>
  <c r="O68" i="1"/>
  <c r="Q68" i="1"/>
  <c r="R68" i="1"/>
  <c r="U68" i="1"/>
  <c r="V68" i="1"/>
  <c r="W68" i="1"/>
  <c r="X68" i="1"/>
  <c r="Y68" i="1"/>
  <c r="AB68" i="1"/>
  <c r="AC68" i="1"/>
  <c r="AD68" i="1"/>
  <c r="AE68" i="1"/>
  <c r="AF68" i="1"/>
  <c r="AG68" i="1"/>
  <c r="AH68" i="1"/>
  <c r="AI68" i="1"/>
  <c r="AJ68" i="1"/>
  <c r="AK68" i="1"/>
  <c r="AL68" i="1"/>
  <c r="AN68" i="1"/>
  <c r="AO68" i="1"/>
  <c r="AP68" i="1"/>
  <c r="AQ68" i="1"/>
  <c r="AS68" i="1"/>
  <c r="AT68" i="1"/>
  <c r="AU68" i="1"/>
  <c r="AV68" i="1"/>
  <c r="AW68" i="1"/>
  <c r="AX68" i="1"/>
  <c r="AY68" i="1"/>
  <c r="AZ68" i="1"/>
  <c r="BA68" i="1"/>
  <c r="B69" i="1"/>
  <c r="C69" i="1"/>
  <c r="D69" i="1"/>
  <c r="E69" i="1"/>
  <c r="F69" i="1"/>
  <c r="G69" i="1"/>
  <c r="H69" i="1"/>
  <c r="I69" i="1"/>
  <c r="J69" i="1"/>
  <c r="K69" i="1"/>
  <c r="L69" i="1"/>
  <c r="M69" i="1"/>
  <c r="N69" i="1"/>
  <c r="O69" i="1"/>
  <c r="Q69" i="1"/>
  <c r="R69" i="1"/>
  <c r="U69" i="1"/>
  <c r="V69" i="1"/>
  <c r="W69" i="1"/>
  <c r="X69" i="1"/>
  <c r="Y69" i="1"/>
  <c r="AB69" i="1"/>
  <c r="AC69" i="1"/>
  <c r="AD69" i="1"/>
  <c r="AE69" i="1"/>
  <c r="AF69" i="1"/>
  <c r="AG69" i="1"/>
  <c r="AH69" i="1"/>
  <c r="AI69" i="1"/>
  <c r="AJ69" i="1"/>
  <c r="AK69" i="1"/>
  <c r="AL69" i="1"/>
  <c r="AN69" i="1"/>
  <c r="AO69" i="1"/>
  <c r="AP69" i="1"/>
  <c r="AQ69" i="1"/>
  <c r="AS69" i="1"/>
  <c r="AT69" i="1"/>
  <c r="AU69" i="1"/>
  <c r="AV69" i="1"/>
  <c r="AW69" i="1"/>
  <c r="AX69" i="1"/>
  <c r="AY69" i="1"/>
  <c r="AZ69" i="1"/>
  <c r="BA69" i="1"/>
  <c r="B70" i="1"/>
  <c r="C70" i="1"/>
  <c r="D70" i="1"/>
  <c r="E70" i="1"/>
  <c r="F70" i="1"/>
  <c r="G70" i="1"/>
  <c r="H70" i="1"/>
  <c r="I70" i="1"/>
  <c r="J70" i="1"/>
  <c r="K70" i="1"/>
  <c r="L70" i="1"/>
  <c r="M70" i="1"/>
  <c r="N70" i="1"/>
  <c r="O70" i="1"/>
  <c r="Q70" i="1"/>
  <c r="R70" i="1"/>
  <c r="U70" i="1"/>
  <c r="V70" i="1"/>
  <c r="W70" i="1"/>
  <c r="X70" i="1"/>
  <c r="Y70" i="1"/>
  <c r="AB70" i="1"/>
  <c r="AC70" i="1"/>
  <c r="AD70" i="1"/>
  <c r="AE70" i="1"/>
  <c r="AF70" i="1"/>
  <c r="AG70" i="1"/>
  <c r="AH70" i="1"/>
  <c r="AI70" i="1"/>
  <c r="AJ70" i="1"/>
  <c r="AK70" i="1"/>
  <c r="AL70" i="1"/>
  <c r="AN70" i="1"/>
  <c r="AO70" i="1"/>
  <c r="AP70" i="1"/>
  <c r="AQ70" i="1"/>
  <c r="AS70" i="1"/>
  <c r="AT70" i="1"/>
  <c r="AU70" i="1"/>
  <c r="AV70" i="1"/>
  <c r="AW70" i="1"/>
  <c r="AX70" i="1"/>
  <c r="AY70" i="1"/>
  <c r="AZ70" i="1"/>
  <c r="BA70" i="1"/>
  <c r="B71" i="1"/>
  <c r="C71" i="1"/>
  <c r="D71" i="1"/>
  <c r="E71" i="1"/>
  <c r="F71" i="1"/>
  <c r="G71" i="1"/>
  <c r="H71" i="1"/>
  <c r="I71" i="1"/>
  <c r="J71" i="1"/>
  <c r="K71" i="1"/>
  <c r="L71" i="1"/>
  <c r="M71" i="1"/>
  <c r="N71" i="1"/>
  <c r="O71" i="1"/>
  <c r="Q71" i="1"/>
  <c r="R71" i="1"/>
  <c r="U71" i="1"/>
  <c r="V71" i="1"/>
  <c r="W71" i="1"/>
  <c r="X71" i="1"/>
  <c r="Y71" i="1"/>
  <c r="AB71" i="1"/>
  <c r="AC71" i="1"/>
  <c r="AD71" i="1"/>
  <c r="AE71" i="1"/>
  <c r="AF71" i="1"/>
  <c r="AG71" i="1"/>
  <c r="AH71" i="1"/>
  <c r="AI71" i="1"/>
  <c r="AJ71" i="1"/>
  <c r="AK71" i="1"/>
  <c r="AL71" i="1"/>
  <c r="AN71" i="1"/>
  <c r="AO71" i="1"/>
  <c r="AP71" i="1"/>
  <c r="AQ71" i="1"/>
  <c r="AS71" i="1"/>
  <c r="AT71" i="1"/>
  <c r="AU71" i="1"/>
  <c r="AV71" i="1"/>
  <c r="AW71" i="1"/>
  <c r="AX71" i="1"/>
  <c r="AY71" i="1"/>
  <c r="AZ71" i="1"/>
  <c r="BA71" i="1"/>
  <c r="B72" i="1"/>
  <c r="C72" i="1"/>
  <c r="D72" i="1"/>
  <c r="E72" i="1"/>
  <c r="F72" i="1"/>
  <c r="G72" i="1"/>
  <c r="H72" i="1"/>
  <c r="I72" i="1"/>
  <c r="J72" i="1"/>
  <c r="K72" i="1"/>
  <c r="L72" i="1"/>
  <c r="M72" i="1"/>
  <c r="N72" i="1"/>
  <c r="O72" i="1"/>
  <c r="Q72" i="1"/>
  <c r="R72" i="1"/>
  <c r="U72" i="1"/>
  <c r="V72" i="1"/>
  <c r="W72" i="1"/>
  <c r="X72" i="1"/>
  <c r="Y72" i="1"/>
  <c r="AB72" i="1"/>
  <c r="AC72" i="1"/>
  <c r="AD72" i="1"/>
  <c r="AE72" i="1"/>
  <c r="AF72" i="1"/>
  <c r="AG72" i="1"/>
  <c r="AH72" i="1"/>
  <c r="AI72" i="1"/>
  <c r="AJ72" i="1"/>
  <c r="AK72" i="1"/>
  <c r="AL72" i="1"/>
  <c r="AN72" i="1"/>
  <c r="AO72" i="1"/>
  <c r="AP72" i="1"/>
  <c r="AQ72" i="1"/>
  <c r="AS72" i="1"/>
  <c r="AT72" i="1"/>
  <c r="AU72" i="1"/>
  <c r="AV72" i="1"/>
  <c r="AW72" i="1"/>
  <c r="AX72" i="1"/>
  <c r="AY72" i="1"/>
  <c r="AZ72" i="1"/>
  <c r="BA72" i="1"/>
  <c r="B73" i="1"/>
  <c r="C73" i="1"/>
  <c r="D73" i="1"/>
  <c r="E73" i="1"/>
  <c r="F73" i="1"/>
  <c r="G73" i="1"/>
  <c r="H73" i="1"/>
  <c r="I73" i="1"/>
  <c r="J73" i="1"/>
  <c r="K73" i="1"/>
  <c r="L73" i="1"/>
  <c r="M73" i="1"/>
  <c r="N73" i="1"/>
  <c r="O73" i="1"/>
  <c r="Q73" i="1"/>
  <c r="R73" i="1"/>
  <c r="U73" i="1"/>
  <c r="V73" i="1"/>
  <c r="W73" i="1"/>
  <c r="X73" i="1"/>
  <c r="Y73" i="1"/>
  <c r="AB73" i="1"/>
  <c r="AC73" i="1"/>
  <c r="AD73" i="1"/>
  <c r="AE73" i="1"/>
  <c r="AF73" i="1"/>
  <c r="AG73" i="1"/>
  <c r="AH73" i="1"/>
  <c r="AI73" i="1"/>
  <c r="AJ73" i="1"/>
  <c r="AK73" i="1"/>
  <c r="AL73" i="1"/>
  <c r="AM73" i="1"/>
  <c r="AN73" i="1"/>
  <c r="AO73" i="1"/>
  <c r="AP73" i="1"/>
  <c r="AQ73" i="1"/>
  <c r="AS73" i="1"/>
  <c r="AT73" i="1"/>
  <c r="AU73" i="1"/>
  <c r="AV73" i="1"/>
  <c r="AW73" i="1"/>
  <c r="AX73" i="1"/>
  <c r="AY73" i="1"/>
  <c r="AZ73" i="1"/>
  <c r="BA73" i="1"/>
  <c r="B74" i="1"/>
  <c r="C74" i="1"/>
  <c r="D74" i="1"/>
  <c r="E74" i="1"/>
  <c r="F74" i="1"/>
  <c r="G74" i="1"/>
  <c r="H74" i="1"/>
  <c r="I74" i="1"/>
  <c r="J74" i="1"/>
  <c r="K74" i="1"/>
  <c r="L74" i="1"/>
  <c r="M74" i="1"/>
  <c r="N74" i="1"/>
  <c r="O74" i="1"/>
  <c r="Q74" i="1"/>
  <c r="R74" i="1"/>
  <c r="U74" i="1"/>
  <c r="V74" i="1"/>
  <c r="W74" i="1"/>
  <c r="X74" i="1"/>
  <c r="Y74" i="1"/>
  <c r="AB74" i="1"/>
  <c r="AC74" i="1"/>
  <c r="AD74" i="1"/>
  <c r="AE74" i="1"/>
  <c r="AF74" i="1"/>
  <c r="AG74" i="1"/>
  <c r="AH74" i="1"/>
  <c r="AI74" i="1"/>
  <c r="AJ74" i="1"/>
  <c r="AK74" i="1"/>
  <c r="AL74" i="1"/>
  <c r="AN74" i="1"/>
  <c r="AO74" i="1"/>
  <c r="AP74" i="1"/>
  <c r="AQ74" i="1"/>
  <c r="AS74" i="1"/>
  <c r="AT74" i="1"/>
  <c r="AU74" i="1"/>
  <c r="AV74" i="1"/>
  <c r="AW74" i="1"/>
  <c r="AX74" i="1"/>
  <c r="AY74" i="1"/>
  <c r="AZ74" i="1"/>
  <c r="BA74" i="1"/>
  <c r="B75" i="1"/>
  <c r="C75" i="1"/>
  <c r="D75" i="1"/>
  <c r="E75" i="1"/>
  <c r="F75" i="1"/>
  <c r="G75" i="1"/>
  <c r="H75" i="1"/>
  <c r="I75" i="1"/>
  <c r="J75" i="1"/>
  <c r="K75" i="1"/>
  <c r="L75" i="1"/>
  <c r="M75" i="1"/>
  <c r="N75" i="1"/>
  <c r="O75" i="1"/>
  <c r="Q75" i="1"/>
  <c r="R75" i="1"/>
  <c r="U75" i="1"/>
  <c r="V75" i="1"/>
  <c r="W75" i="1"/>
  <c r="X75" i="1"/>
  <c r="Y75" i="1"/>
  <c r="AB75" i="1"/>
  <c r="AC75" i="1"/>
  <c r="AD75" i="1"/>
  <c r="AE75" i="1"/>
  <c r="AF75" i="1"/>
  <c r="AG75" i="1"/>
  <c r="AH75" i="1"/>
  <c r="AI75" i="1"/>
  <c r="AJ75" i="1"/>
  <c r="AK75" i="1"/>
  <c r="AL75" i="1"/>
  <c r="AN75" i="1"/>
  <c r="AO75" i="1"/>
  <c r="AP75" i="1"/>
  <c r="AQ75" i="1"/>
  <c r="AS75" i="1"/>
  <c r="AT75" i="1"/>
  <c r="AU75" i="1"/>
  <c r="AV75" i="1"/>
  <c r="AW75" i="1"/>
  <c r="AX75" i="1"/>
  <c r="AY75" i="1"/>
  <c r="AZ75" i="1"/>
  <c r="BA75" i="1"/>
  <c r="B76" i="1"/>
  <c r="C76" i="1"/>
  <c r="D76" i="1"/>
  <c r="E76" i="1"/>
  <c r="F76" i="1"/>
  <c r="G76" i="1"/>
  <c r="H76" i="1"/>
  <c r="I76" i="1"/>
  <c r="J76" i="1"/>
  <c r="K76" i="1"/>
  <c r="L76" i="1"/>
  <c r="M76" i="1"/>
  <c r="N76" i="1"/>
  <c r="O76" i="1"/>
  <c r="Q76" i="1"/>
  <c r="R76" i="1"/>
  <c r="U76" i="1"/>
  <c r="V76" i="1"/>
  <c r="W76" i="1"/>
  <c r="X76" i="1"/>
  <c r="Y76" i="1"/>
  <c r="AB76" i="1"/>
  <c r="AC76" i="1"/>
  <c r="AD76" i="1"/>
  <c r="AE76" i="1"/>
  <c r="AF76" i="1"/>
  <c r="AG76" i="1"/>
  <c r="AH76" i="1"/>
  <c r="AI76" i="1"/>
  <c r="AJ76" i="1"/>
  <c r="AK76" i="1"/>
  <c r="AL76" i="1"/>
  <c r="AN76" i="1"/>
  <c r="AO76" i="1"/>
  <c r="AP76" i="1"/>
  <c r="AQ76" i="1"/>
  <c r="AS76" i="1"/>
  <c r="AT76" i="1"/>
  <c r="AU76" i="1"/>
  <c r="AV76" i="1"/>
  <c r="AW76" i="1"/>
  <c r="AX76" i="1"/>
  <c r="AY76" i="1"/>
  <c r="AZ76" i="1"/>
  <c r="BA76" i="1"/>
  <c r="B77" i="1"/>
  <c r="C77" i="1"/>
  <c r="D77" i="1"/>
  <c r="E77" i="1"/>
  <c r="F77" i="1"/>
  <c r="G77" i="1"/>
  <c r="H77" i="1"/>
  <c r="I77" i="1"/>
  <c r="J77" i="1"/>
  <c r="K77" i="1"/>
  <c r="L77" i="1"/>
  <c r="M77" i="1"/>
  <c r="N77" i="1"/>
  <c r="O77" i="1"/>
  <c r="Q77" i="1"/>
  <c r="R77" i="1"/>
  <c r="U77" i="1"/>
  <c r="V77" i="1"/>
  <c r="W77" i="1"/>
  <c r="X77" i="1"/>
  <c r="Y77" i="1"/>
  <c r="AB77" i="1"/>
  <c r="AC77" i="1"/>
  <c r="AD77" i="1"/>
  <c r="AE77" i="1"/>
  <c r="AF77" i="1"/>
  <c r="AG77" i="1"/>
  <c r="AH77" i="1"/>
  <c r="AI77" i="1"/>
  <c r="AJ77" i="1"/>
  <c r="AK77" i="1"/>
  <c r="AL77" i="1"/>
  <c r="AN77" i="1"/>
  <c r="AO77" i="1"/>
  <c r="AP77" i="1"/>
  <c r="AQ77" i="1"/>
  <c r="AS77" i="1"/>
  <c r="AT77" i="1"/>
  <c r="AU77" i="1"/>
  <c r="AV77" i="1"/>
  <c r="AW77" i="1"/>
  <c r="AX77" i="1"/>
  <c r="AY77" i="1"/>
  <c r="AZ77" i="1"/>
  <c r="BA77" i="1"/>
  <c r="B78" i="1"/>
  <c r="C78" i="1"/>
  <c r="D78" i="1"/>
  <c r="E78" i="1"/>
  <c r="F78" i="1"/>
  <c r="G78" i="1"/>
  <c r="H78" i="1"/>
  <c r="I78" i="1"/>
  <c r="J78" i="1"/>
  <c r="K78" i="1"/>
  <c r="L78" i="1"/>
  <c r="M78" i="1"/>
  <c r="N78" i="1"/>
  <c r="O78" i="1"/>
  <c r="Q78" i="1"/>
  <c r="R78" i="1"/>
  <c r="U78" i="1"/>
  <c r="V78" i="1"/>
  <c r="W78" i="1"/>
  <c r="X78" i="1"/>
  <c r="Y78" i="1"/>
  <c r="AB78" i="1"/>
  <c r="AC78" i="1"/>
  <c r="AD78" i="1"/>
  <c r="AE78" i="1"/>
  <c r="AF78" i="1"/>
  <c r="AG78" i="1"/>
  <c r="AH78" i="1"/>
  <c r="AI78" i="1"/>
  <c r="AJ78" i="1"/>
  <c r="AK78" i="1"/>
  <c r="AL78" i="1"/>
  <c r="AN78" i="1"/>
  <c r="AO78" i="1"/>
  <c r="AP78" i="1"/>
  <c r="AQ78" i="1"/>
  <c r="AS78" i="1"/>
  <c r="AT78" i="1"/>
  <c r="AU78" i="1"/>
  <c r="AV78" i="1"/>
  <c r="AW78" i="1"/>
  <c r="AX78" i="1"/>
  <c r="AY78" i="1"/>
  <c r="AZ78" i="1"/>
  <c r="BA78" i="1"/>
  <c r="B79" i="1"/>
  <c r="C79" i="1"/>
  <c r="D79" i="1"/>
  <c r="E79" i="1"/>
  <c r="F79" i="1"/>
  <c r="G79" i="1"/>
  <c r="H79" i="1"/>
  <c r="I79" i="1"/>
  <c r="J79" i="1"/>
  <c r="K79" i="1"/>
  <c r="L79" i="1"/>
  <c r="M79" i="1"/>
  <c r="N79" i="1"/>
  <c r="O79" i="1"/>
  <c r="Q79" i="1"/>
  <c r="R79" i="1"/>
  <c r="U79" i="1"/>
  <c r="V79" i="1"/>
  <c r="W79" i="1"/>
  <c r="X79" i="1"/>
  <c r="Y79" i="1"/>
  <c r="AB79" i="1"/>
  <c r="AC79" i="1"/>
  <c r="AD79" i="1"/>
  <c r="AE79" i="1"/>
  <c r="AF79" i="1"/>
  <c r="AG79" i="1"/>
  <c r="AH79" i="1"/>
  <c r="AI79" i="1"/>
  <c r="AJ79" i="1"/>
  <c r="AK79" i="1"/>
  <c r="AL79" i="1"/>
  <c r="AN79" i="1"/>
  <c r="AO79" i="1"/>
  <c r="AP79" i="1"/>
  <c r="AQ79" i="1"/>
  <c r="AS79" i="1"/>
  <c r="AT79" i="1"/>
  <c r="AU79" i="1"/>
  <c r="AV79" i="1"/>
  <c r="AW79" i="1"/>
  <c r="AX79" i="1"/>
  <c r="AY79" i="1"/>
  <c r="AZ79" i="1"/>
  <c r="BA79" i="1"/>
  <c r="B80" i="1"/>
  <c r="C80" i="1"/>
  <c r="D80" i="1"/>
  <c r="E80" i="1"/>
  <c r="F80" i="1"/>
  <c r="G80" i="1"/>
  <c r="H80" i="1"/>
  <c r="I80" i="1"/>
  <c r="J80" i="1"/>
  <c r="K80" i="1"/>
  <c r="L80" i="1"/>
  <c r="M80" i="1"/>
  <c r="N80" i="1"/>
  <c r="O80" i="1"/>
  <c r="Q80" i="1"/>
  <c r="R80" i="1"/>
  <c r="U80" i="1"/>
  <c r="V80" i="1"/>
  <c r="W80" i="1"/>
  <c r="X80" i="1"/>
  <c r="Y80" i="1"/>
  <c r="AB80" i="1"/>
  <c r="AC80" i="1"/>
  <c r="AD80" i="1"/>
  <c r="AE80" i="1"/>
  <c r="AF80" i="1"/>
  <c r="AG80" i="1"/>
  <c r="AH80" i="1"/>
  <c r="AI80" i="1"/>
  <c r="AJ80" i="1"/>
  <c r="AK80" i="1"/>
  <c r="AL80" i="1"/>
  <c r="AN80" i="1"/>
  <c r="AO80" i="1"/>
  <c r="AP80" i="1"/>
  <c r="AQ80" i="1"/>
  <c r="AS80" i="1"/>
  <c r="AT80" i="1"/>
  <c r="AU80" i="1"/>
  <c r="AV80" i="1"/>
  <c r="AW80" i="1"/>
  <c r="AX80" i="1"/>
  <c r="AY80" i="1"/>
  <c r="AZ80" i="1"/>
  <c r="BA80" i="1"/>
  <c r="B81" i="1"/>
  <c r="C81" i="1"/>
  <c r="D81" i="1"/>
  <c r="E81" i="1"/>
  <c r="F81" i="1"/>
  <c r="G81" i="1"/>
  <c r="H81" i="1"/>
  <c r="I81" i="1"/>
  <c r="J81" i="1"/>
  <c r="K81" i="1"/>
  <c r="L81" i="1"/>
  <c r="M81" i="1"/>
  <c r="N81" i="1"/>
  <c r="O81" i="1"/>
  <c r="Q81" i="1"/>
  <c r="R81" i="1"/>
  <c r="U81" i="1"/>
  <c r="V81" i="1"/>
  <c r="W81" i="1"/>
  <c r="X81" i="1"/>
  <c r="Y81" i="1"/>
  <c r="AB81" i="1"/>
  <c r="AC81" i="1"/>
  <c r="AD81" i="1"/>
  <c r="AE81" i="1"/>
  <c r="AF81" i="1"/>
  <c r="AG81" i="1"/>
  <c r="AH81" i="1"/>
  <c r="AI81" i="1"/>
  <c r="AJ81" i="1"/>
  <c r="AK81" i="1"/>
  <c r="AL81" i="1"/>
  <c r="AN81" i="1"/>
  <c r="AO81" i="1"/>
  <c r="AP81" i="1"/>
  <c r="AQ81" i="1"/>
  <c r="AS81" i="1"/>
  <c r="AT81" i="1"/>
  <c r="AU81" i="1"/>
  <c r="AV81" i="1"/>
  <c r="AW81" i="1"/>
  <c r="AX81" i="1"/>
  <c r="AY81" i="1"/>
  <c r="AZ81" i="1"/>
  <c r="BA81" i="1"/>
  <c r="B82" i="1"/>
  <c r="C82" i="1"/>
  <c r="D82" i="1"/>
  <c r="E82" i="1"/>
  <c r="F82" i="1"/>
  <c r="G82" i="1"/>
  <c r="H82" i="1"/>
  <c r="I82" i="1"/>
  <c r="J82" i="1"/>
  <c r="K82" i="1"/>
  <c r="L82" i="1"/>
  <c r="M82" i="1"/>
  <c r="N82" i="1"/>
  <c r="O82" i="1"/>
  <c r="Q82" i="1"/>
  <c r="R82" i="1"/>
  <c r="U82" i="1"/>
  <c r="V82" i="1"/>
  <c r="W82" i="1"/>
  <c r="X82" i="1"/>
  <c r="Y82" i="1"/>
  <c r="AB82" i="1"/>
  <c r="AC82" i="1"/>
  <c r="AD82" i="1"/>
  <c r="AE82" i="1"/>
  <c r="AF82" i="1"/>
  <c r="AG82" i="1"/>
  <c r="AH82" i="1"/>
  <c r="AI82" i="1"/>
  <c r="AJ82" i="1"/>
  <c r="AK82" i="1"/>
  <c r="AL82" i="1"/>
  <c r="AN82" i="1"/>
  <c r="AO82" i="1"/>
  <c r="AP82" i="1"/>
  <c r="AQ82" i="1"/>
  <c r="AS82" i="1"/>
  <c r="AT82" i="1"/>
  <c r="AU82" i="1"/>
  <c r="AV82" i="1"/>
  <c r="AW82" i="1"/>
  <c r="AX82" i="1"/>
  <c r="AY82" i="1"/>
  <c r="AZ82" i="1"/>
  <c r="BA82" i="1"/>
  <c r="B83" i="1"/>
  <c r="C83" i="1"/>
  <c r="D83" i="1"/>
  <c r="E83" i="1"/>
  <c r="F83" i="1"/>
  <c r="G83" i="1"/>
  <c r="H83" i="1"/>
  <c r="I83" i="1"/>
  <c r="J83" i="1"/>
  <c r="K83" i="1"/>
  <c r="L83" i="1"/>
  <c r="M83" i="1"/>
  <c r="N83" i="1"/>
  <c r="O83" i="1"/>
  <c r="Q83" i="1"/>
  <c r="R83" i="1"/>
  <c r="U83" i="1"/>
  <c r="V83" i="1"/>
  <c r="W83" i="1"/>
  <c r="X83" i="1"/>
  <c r="Y83" i="1"/>
  <c r="AB83" i="1"/>
  <c r="AC83" i="1"/>
  <c r="AD83" i="1"/>
  <c r="AE83" i="1"/>
  <c r="AF83" i="1"/>
  <c r="AG83" i="1"/>
  <c r="AH83" i="1"/>
  <c r="AI83" i="1"/>
  <c r="AJ83" i="1"/>
  <c r="AK83" i="1"/>
  <c r="AL83" i="1"/>
  <c r="AN83" i="1"/>
  <c r="AO83" i="1"/>
  <c r="AP83" i="1"/>
  <c r="AQ83" i="1"/>
  <c r="AS83" i="1"/>
  <c r="AT83" i="1"/>
  <c r="AU83" i="1"/>
  <c r="AV83" i="1"/>
  <c r="AW83" i="1"/>
  <c r="AX83" i="1"/>
  <c r="AY83" i="1"/>
  <c r="AZ83" i="1"/>
  <c r="BA83" i="1"/>
  <c r="B84" i="1"/>
  <c r="C84" i="1"/>
  <c r="D84" i="1"/>
  <c r="E84" i="1"/>
  <c r="F84" i="1"/>
  <c r="G84" i="1"/>
  <c r="H84" i="1"/>
  <c r="I84" i="1"/>
  <c r="J84" i="1"/>
  <c r="K84" i="1"/>
  <c r="L84" i="1"/>
  <c r="M84" i="1"/>
  <c r="N84" i="1"/>
  <c r="O84" i="1"/>
  <c r="Q84" i="1"/>
  <c r="R84" i="1"/>
  <c r="U84" i="1"/>
  <c r="V84" i="1"/>
  <c r="W84" i="1"/>
  <c r="X84" i="1"/>
  <c r="Y84" i="1"/>
  <c r="AB84" i="1"/>
  <c r="AC84" i="1"/>
  <c r="AD84" i="1"/>
  <c r="AE84" i="1"/>
  <c r="AF84" i="1"/>
  <c r="AG84" i="1"/>
  <c r="AH84" i="1"/>
  <c r="AI84" i="1"/>
  <c r="AJ84" i="1"/>
  <c r="AK84" i="1"/>
  <c r="AL84" i="1"/>
  <c r="AN84" i="1"/>
  <c r="AO84" i="1"/>
  <c r="AP84" i="1"/>
  <c r="AQ84" i="1"/>
  <c r="AS84" i="1"/>
  <c r="AT84" i="1"/>
  <c r="AU84" i="1"/>
  <c r="AV84" i="1"/>
  <c r="AW84" i="1"/>
  <c r="AX84" i="1"/>
  <c r="AY84" i="1"/>
  <c r="AZ84" i="1"/>
  <c r="BA84" i="1"/>
  <c r="B85" i="1"/>
  <c r="C85" i="1"/>
  <c r="D85" i="1"/>
  <c r="E85" i="1"/>
  <c r="F85" i="1"/>
  <c r="G85" i="1"/>
  <c r="H85" i="1"/>
  <c r="I85" i="1"/>
  <c r="J85" i="1"/>
  <c r="K85" i="1"/>
  <c r="L85" i="1"/>
  <c r="M85" i="1"/>
  <c r="N85" i="1"/>
  <c r="O85" i="1"/>
  <c r="Q85" i="1"/>
  <c r="R85" i="1"/>
  <c r="U85" i="1"/>
  <c r="V85" i="1"/>
  <c r="W85" i="1"/>
  <c r="X85" i="1"/>
  <c r="Y85" i="1"/>
  <c r="AB85" i="1"/>
  <c r="AC85" i="1"/>
  <c r="AD85" i="1"/>
  <c r="AE85" i="1"/>
  <c r="AF85" i="1"/>
  <c r="AG85" i="1"/>
  <c r="AH85" i="1"/>
  <c r="AI85" i="1"/>
  <c r="AJ85" i="1"/>
  <c r="AK85" i="1"/>
  <c r="AL85" i="1"/>
  <c r="AN85" i="1"/>
  <c r="AO85" i="1"/>
  <c r="AP85" i="1"/>
  <c r="AQ85" i="1"/>
  <c r="AS85" i="1"/>
  <c r="AT85" i="1"/>
  <c r="AU85" i="1"/>
  <c r="AV85" i="1"/>
  <c r="AW85" i="1"/>
  <c r="AX85" i="1"/>
  <c r="AY85" i="1"/>
  <c r="AZ85" i="1"/>
  <c r="BA85" i="1"/>
  <c r="B86" i="1"/>
  <c r="C86" i="1"/>
  <c r="D86" i="1"/>
  <c r="E86" i="1"/>
  <c r="F86" i="1"/>
  <c r="G86" i="1"/>
  <c r="H86" i="1"/>
  <c r="I86" i="1"/>
  <c r="J86" i="1"/>
  <c r="K86" i="1"/>
  <c r="L86" i="1"/>
  <c r="M86" i="1"/>
  <c r="N86" i="1"/>
  <c r="O86" i="1"/>
  <c r="Q86" i="1"/>
  <c r="R86" i="1"/>
  <c r="U86" i="1"/>
  <c r="V86" i="1"/>
  <c r="W86" i="1"/>
  <c r="X86" i="1"/>
  <c r="Y86" i="1"/>
  <c r="AB86" i="1"/>
  <c r="AC86" i="1"/>
  <c r="AD86" i="1"/>
  <c r="AE86" i="1"/>
  <c r="AF86" i="1"/>
  <c r="AG86" i="1"/>
  <c r="AH86" i="1"/>
  <c r="AI86" i="1"/>
  <c r="AJ86" i="1"/>
  <c r="AK86" i="1"/>
  <c r="AL86" i="1"/>
  <c r="AN86" i="1"/>
  <c r="AO86" i="1"/>
  <c r="AP86" i="1"/>
  <c r="AQ86" i="1"/>
  <c r="AS86" i="1"/>
  <c r="AT86" i="1"/>
  <c r="AU86" i="1"/>
  <c r="AV86" i="1"/>
  <c r="AW86" i="1"/>
  <c r="AX86" i="1"/>
  <c r="AY86" i="1"/>
  <c r="AZ86" i="1"/>
  <c r="BA86" i="1"/>
  <c r="B87" i="1"/>
  <c r="C87" i="1"/>
  <c r="D87" i="1"/>
  <c r="E87" i="1"/>
  <c r="F87" i="1"/>
  <c r="G87" i="1"/>
  <c r="H87" i="1"/>
  <c r="I87" i="1"/>
  <c r="J87" i="1"/>
  <c r="K87" i="1"/>
  <c r="L87" i="1"/>
  <c r="M87" i="1"/>
  <c r="N87" i="1"/>
  <c r="O87" i="1"/>
  <c r="Q87" i="1"/>
  <c r="R87" i="1"/>
  <c r="U87" i="1"/>
  <c r="V87" i="1"/>
  <c r="W87" i="1"/>
  <c r="X87" i="1"/>
  <c r="Y87" i="1"/>
  <c r="AB87" i="1"/>
  <c r="AC87" i="1"/>
  <c r="AD87" i="1"/>
  <c r="AE87" i="1"/>
  <c r="AF87" i="1"/>
  <c r="AG87" i="1"/>
  <c r="AH87" i="1"/>
  <c r="AI87" i="1"/>
  <c r="AJ87" i="1"/>
  <c r="AK87" i="1"/>
  <c r="AL87" i="1"/>
  <c r="AN87" i="1"/>
  <c r="AO87" i="1"/>
  <c r="AP87" i="1"/>
  <c r="AQ87" i="1"/>
  <c r="AS87" i="1"/>
  <c r="AT87" i="1"/>
  <c r="AU87" i="1"/>
  <c r="AV87" i="1"/>
  <c r="AW87" i="1"/>
  <c r="AX87" i="1"/>
  <c r="AY87" i="1"/>
  <c r="AZ87" i="1"/>
  <c r="BA87" i="1"/>
  <c r="B88" i="1"/>
  <c r="C88" i="1"/>
  <c r="D88" i="1"/>
  <c r="E88" i="1"/>
  <c r="F88" i="1"/>
  <c r="G88" i="1"/>
  <c r="H88" i="1"/>
  <c r="I88" i="1"/>
  <c r="J88" i="1"/>
  <c r="K88" i="1"/>
  <c r="L88" i="1"/>
  <c r="M88" i="1"/>
  <c r="N88" i="1"/>
  <c r="O88" i="1"/>
  <c r="Q88" i="1"/>
  <c r="R88" i="1"/>
  <c r="U88" i="1"/>
  <c r="V88" i="1"/>
  <c r="W88" i="1"/>
  <c r="X88" i="1"/>
  <c r="Y88" i="1"/>
  <c r="AB88" i="1"/>
  <c r="AC88" i="1"/>
  <c r="AD88" i="1"/>
  <c r="AE88" i="1"/>
  <c r="AF88" i="1"/>
  <c r="AG88" i="1"/>
  <c r="AH88" i="1"/>
  <c r="AI88" i="1"/>
  <c r="AJ88" i="1"/>
  <c r="AK88" i="1"/>
  <c r="AL88" i="1"/>
  <c r="AN88" i="1"/>
  <c r="AO88" i="1"/>
  <c r="AP88" i="1"/>
  <c r="AQ88" i="1"/>
  <c r="AS88" i="1"/>
  <c r="AT88" i="1"/>
  <c r="AU88" i="1"/>
  <c r="AV88" i="1"/>
  <c r="AW88" i="1"/>
  <c r="AX88" i="1"/>
  <c r="AY88" i="1"/>
  <c r="AZ88" i="1"/>
  <c r="BA88" i="1"/>
  <c r="B89" i="1"/>
  <c r="C89" i="1"/>
  <c r="D89" i="1"/>
  <c r="E89" i="1"/>
  <c r="F89" i="1"/>
  <c r="G89" i="1"/>
  <c r="H89" i="1"/>
  <c r="I89" i="1"/>
  <c r="J89" i="1"/>
  <c r="K89" i="1"/>
  <c r="L89" i="1"/>
  <c r="M89" i="1"/>
  <c r="N89" i="1"/>
  <c r="O89" i="1"/>
  <c r="Q89" i="1"/>
  <c r="R89" i="1"/>
  <c r="U89" i="1"/>
  <c r="V89" i="1"/>
  <c r="W89" i="1"/>
  <c r="X89" i="1"/>
  <c r="Y89" i="1"/>
  <c r="AB89" i="1"/>
  <c r="AC89" i="1"/>
  <c r="AD89" i="1"/>
  <c r="AE89" i="1"/>
  <c r="AF89" i="1"/>
  <c r="AG89" i="1"/>
  <c r="AH89" i="1"/>
  <c r="AI89" i="1"/>
  <c r="AJ89" i="1"/>
  <c r="AK89" i="1"/>
  <c r="AL89" i="1"/>
  <c r="AN89" i="1"/>
  <c r="AO89" i="1"/>
  <c r="AP89" i="1"/>
  <c r="AQ89" i="1"/>
  <c r="AS89" i="1"/>
  <c r="AT89" i="1"/>
  <c r="AU89" i="1"/>
  <c r="AV89" i="1"/>
  <c r="AW89" i="1"/>
  <c r="AX89" i="1"/>
  <c r="AY89" i="1"/>
  <c r="AZ89" i="1"/>
  <c r="BA89" i="1"/>
  <c r="B90" i="1"/>
  <c r="C90" i="1"/>
  <c r="D90" i="1"/>
  <c r="E90" i="1"/>
  <c r="F90" i="1"/>
  <c r="G90" i="1"/>
  <c r="H90" i="1"/>
  <c r="I90" i="1"/>
  <c r="J90" i="1"/>
  <c r="K90" i="1"/>
  <c r="L90" i="1"/>
  <c r="M90" i="1"/>
  <c r="N90" i="1"/>
  <c r="O90" i="1"/>
  <c r="Q90" i="1"/>
  <c r="R90" i="1"/>
  <c r="U90" i="1"/>
  <c r="V90" i="1"/>
  <c r="W90" i="1"/>
  <c r="X90" i="1"/>
  <c r="Y90" i="1"/>
  <c r="AB90" i="1"/>
  <c r="AC90" i="1"/>
  <c r="AD90" i="1"/>
  <c r="AE90" i="1"/>
  <c r="AF90" i="1"/>
  <c r="AG90" i="1"/>
  <c r="AH90" i="1"/>
  <c r="AI90" i="1"/>
  <c r="AJ90" i="1"/>
  <c r="AK90" i="1"/>
  <c r="AL90" i="1"/>
  <c r="AN90" i="1"/>
  <c r="AO90" i="1"/>
  <c r="AP90" i="1"/>
  <c r="AQ90" i="1"/>
  <c r="AS90" i="1"/>
  <c r="AT90" i="1"/>
  <c r="AU90" i="1"/>
  <c r="AV90" i="1"/>
  <c r="AW90" i="1"/>
  <c r="AX90" i="1"/>
  <c r="AY90" i="1"/>
  <c r="AZ90" i="1"/>
  <c r="BA90" i="1"/>
  <c r="B91" i="1"/>
  <c r="C91" i="1"/>
  <c r="D91" i="1"/>
  <c r="E91" i="1"/>
  <c r="F91" i="1"/>
  <c r="G91" i="1"/>
  <c r="H91" i="1"/>
  <c r="I91" i="1"/>
  <c r="J91" i="1"/>
  <c r="K91" i="1"/>
  <c r="L91" i="1"/>
  <c r="M91" i="1"/>
  <c r="N91" i="1"/>
  <c r="O91" i="1"/>
  <c r="Q91" i="1"/>
  <c r="R91" i="1"/>
  <c r="U91" i="1"/>
  <c r="V91" i="1"/>
  <c r="W91" i="1"/>
  <c r="X91" i="1"/>
  <c r="Y91" i="1"/>
  <c r="AB91" i="1"/>
  <c r="AC91" i="1"/>
  <c r="AD91" i="1"/>
  <c r="AE91" i="1"/>
  <c r="AF91" i="1"/>
  <c r="AG91" i="1"/>
  <c r="AH91" i="1"/>
  <c r="AI91" i="1"/>
  <c r="AJ91" i="1"/>
  <c r="AK91" i="1"/>
  <c r="AL91" i="1"/>
  <c r="AN91" i="1"/>
  <c r="AO91" i="1"/>
  <c r="AP91" i="1"/>
  <c r="AQ91" i="1"/>
  <c r="AS91" i="1"/>
  <c r="AT91" i="1"/>
  <c r="AU91" i="1"/>
  <c r="AV91" i="1"/>
  <c r="AW91" i="1"/>
  <c r="AX91" i="1"/>
  <c r="AY91" i="1"/>
  <c r="AZ91" i="1"/>
  <c r="BA91" i="1"/>
  <c r="B92" i="1"/>
  <c r="C92" i="1"/>
  <c r="D92" i="1"/>
  <c r="E92" i="1"/>
  <c r="F92" i="1"/>
  <c r="G92" i="1"/>
  <c r="H92" i="1"/>
  <c r="I92" i="1"/>
  <c r="J92" i="1"/>
  <c r="K92" i="1"/>
  <c r="L92" i="1"/>
  <c r="M92" i="1"/>
  <c r="N92" i="1"/>
  <c r="O92" i="1"/>
  <c r="Q92" i="1"/>
  <c r="R92" i="1"/>
  <c r="U92" i="1"/>
  <c r="V92" i="1"/>
  <c r="W92" i="1"/>
  <c r="X92" i="1"/>
  <c r="Y92" i="1"/>
  <c r="AB92" i="1"/>
  <c r="AC92" i="1"/>
  <c r="AD92" i="1"/>
  <c r="AE92" i="1"/>
  <c r="AF92" i="1"/>
  <c r="AG92" i="1"/>
  <c r="AH92" i="1"/>
  <c r="AI92" i="1"/>
  <c r="AJ92" i="1"/>
  <c r="AK92" i="1"/>
  <c r="AL92" i="1"/>
  <c r="AN92" i="1"/>
  <c r="AO92" i="1"/>
  <c r="AP92" i="1"/>
  <c r="AQ92" i="1"/>
  <c r="AS92" i="1"/>
  <c r="AT92" i="1"/>
  <c r="AU92" i="1"/>
  <c r="AV92" i="1"/>
  <c r="AW92" i="1"/>
  <c r="AX92" i="1"/>
  <c r="AY92" i="1"/>
  <c r="AZ92" i="1"/>
  <c r="BA92" i="1"/>
  <c r="B93" i="1"/>
  <c r="C93" i="1"/>
  <c r="D93" i="1"/>
  <c r="E93" i="1"/>
  <c r="F93" i="1"/>
  <c r="G93" i="1"/>
  <c r="H93" i="1"/>
  <c r="I93" i="1"/>
  <c r="J93" i="1"/>
  <c r="K93" i="1"/>
  <c r="L93" i="1"/>
  <c r="M93" i="1"/>
  <c r="N93" i="1"/>
  <c r="O93" i="1"/>
  <c r="Q93" i="1"/>
  <c r="R93" i="1"/>
  <c r="U93" i="1"/>
  <c r="V93" i="1"/>
  <c r="W93" i="1"/>
  <c r="X93" i="1"/>
  <c r="Y93" i="1"/>
  <c r="AB93" i="1"/>
  <c r="AC93" i="1"/>
  <c r="AD93" i="1"/>
  <c r="AE93" i="1"/>
  <c r="AF93" i="1"/>
  <c r="AG93" i="1"/>
  <c r="AH93" i="1"/>
  <c r="AI93" i="1"/>
  <c r="AJ93" i="1"/>
  <c r="AK93" i="1"/>
  <c r="AL93" i="1"/>
  <c r="AN93" i="1"/>
  <c r="AO93" i="1"/>
  <c r="AP93" i="1"/>
  <c r="AQ93" i="1"/>
  <c r="AS93" i="1"/>
  <c r="AT93" i="1"/>
  <c r="AU93" i="1"/>
  <c r="AV93" i="1"/>
  <c r="AW93" i="1"/>
  <c r="AX93" i="1"/>
  <c r="AY93" i="1"/>
  <c r="AZ93" i="1"/>
  <c r="BA93" i="1"/>
  <c r="B94" i="1"/>
  <c r="C94" i="1"/>
  <c r="D94" i="1"/>
  <c r="E94" i="1"/>
  <c r="F94" i="1"/>
  <c r="G94" i="1"/>
  <c r="H94" i="1"/>
  <c r="I94" i="1"/>
  <c r="J94" i="1"/>
  <c r="K94" i="1"/>
  <c r="L94" i="1"/>
  <c r="M94" i="1"/>
  <c r="N94" i="1"/>
  <c r="O94" i="1"/>
  <c r="Q94" i="1"/>
  <c r="R94" i="1"/>
  <c r="S94" i="1"/>
  <c r="U94" i="1"/>
  <c r="V94" i="1"/>
  <c r="W94" i="1"/>
  <c r="X94" i="1"/>
  <c r="Y94" i="1"/>
  <c r="AA94" i="1"/>
  <c r="AB94" i="1"/>
  <c r="AC94" i="1"/>
  <c r="AD94" i="1"/>
  <c r="AE94" i="1"/>
  <c r="AF94" i="1"/>
  <c r="AG94" i="1"/>
  <c r="AH94" i="1"/>
  <c r="AI94" i="1"/>
  <c r="AJ94" i="1"/>
  <c r="AK94" i="1"/>
  <c r="AL94" i="1"/>
  <c r="AM94" i="1"/>
  <c r="AN94" i="1"/>
  <c r="AO94" i="1"/>
  <c r="AP94" i="1"/>
  <c r="AQ94" i="1"/>
  <c r="AR94" i="1"/>
  <c r="AS94" i="1"/>
  <c r="AT94" i="1"/>
  <c r="AU94" i="1"/>
  <c r="AV94" i="1"/>
  <c r="AW94" i="1"/>
  <c r="AX94" i="1"/>
  <c r="AY94" i="1"/>
  <c r="AZ94" i="1"/>
  <c r="BA94" i="1"/>
  <c r="B95" i="1"/>
  <c r="C95" i="1"/>
  <c r="D95" i="1"/>
  <c r="E95" i="1"/>
  <c r="F95" i="1"/>
  <c r="G95" i="1"/>
  <c r="H95" i="1"/>
  <c r="I95" i="1"/>
  <c r="J95" i="1"/>
  <c r="K95" i="1"/>
  <c r="L95" i="1"/>
  <c r="M95" i="1"/>
  <c r="N95" i="1"/>
  <c r="O95" i="1"/>
  <c r="Q95" i="1"/>
  <c r="R95" i="1"/>
  <c r="S95" i="1"/>
  <c r="U95" i="1"/>
  <c r="V95" i="1"/>
  <c r="W95" i="1"/>
  <c r="X95" i="1"/>
  <c r="Y95" i="1"/>
  <c r="AB95" i="1"/>
  <c r="AC95" i="1"/>
  <c r="AD95" i="1"/>
  <c r="AE95" i="1"/>
  <c r="AF95" i="1"/>
  <c r="AG95" i="1"/>
  <c r="AH95" i="1"/>
  <c r="AI95" i="1"/>
  <c r="AJ95" i="1"/>
  <c r="AK95" i="1"/>
  <c r="AL95" i="1"/>
  <c r="AN95" i="1"/>
  <c r="AO95" i="1"/>
  <c r="AP95" i="1"/>
  <c r="AQ95" i="1"/>
  <c r="AS95" i="1"/>
  <c r="AT95" i="1"/>
  <c r="AU95" i="1"/>
  <c r="AV95" i="1"/>
  <c r="AW95" i="1"/>
  <c r="AX95" i="1"/>
  <c r="AY95" i="1"/>
  <c r="AZ95" i="1"/>
  <c r="BA95" i="1"/>
  <c r="B96" i="1"/>
  <c r="C96" i="1"/>
  <c r="D96" i="1"/>
  <c r="E96" i="1"/>
  <c r="F96" i="1"/>
  <c r="G96" i="1"/>
  <c r="H96" i="1"/>
  <c r="I96" i="1"/>
  <c r="J96" i="1"/>
  <c r="K96" i="1"/>
  <c r="L96" i="1"/>
  <c r="M96" i="1"/>
  <c r="N96" i="1"/>
  <c r="O96" i="1"/>
  <c r="Q96" i="1"/>
  <c r="R96" i="1"/>
  <c r="U96" i="1"/>
  <c r="V96" i="1"/>
  <c r="W96" i="1"/>
  <c r="X96" i="1"/>
  <c r="Y96" i="1"/>
  <c r="AB96" i="1"/>
  <c r="AC96" i="1"/>
  <c r="AD96" i="1"/>
  <c r="AE96" i="1"/>
  <c r="AF96" i="1"/>
  <c r="AG96" i="1"/>
  <c r="AH96" i="1"/>
  <c r="AI96" i="1"/>
  <c r="AJ96" i="1"/>
  <c r="AK96" i="1"/>
  <c r="AL96" i="1"/>
  <c r="AN96" i="1"/>
  <c r="AO96" i="1"/>
  <c r="AP96" i="1"/>
  <c r="AQ96" i="1"/>
  <c r="AS96" i="1"/>
  <c r="AT96" i="1"/>
  <c r="AU96" i="1"/>
  <c r="AV96" i="1"/>
  <c r="AW96" i="1"/>
  <c r="AX96" i="1"/>
  <c r="AY96" i="1"/>
  <c r="AZ96" i="1"/>
  <c r="BA96" i="1"/>
  <c r="B97" i="1"/>
  <c r="C97" i="1"/>
  <c r="D97" i="1"/>
  <c r="E97" i="1"/>
  <c r="F97" i="1"/>
  <c r="G97" i="1"/>
  <c r="H97" i="1"/>
  <c r="I97" i="1"/>
  <c r="J97" i="1"/>
  <c r="K97" i="1"/>
  <c r="L97" i="1"/>
  <c r="M97" i="1"/>
  <c r="N97" i="1"/>
  <c r="O97" i="1"/>
  <c r="Q97" i="1"/>
  <c r="R97" i="1"/>
  <c r="U97" i="1"/>
  <c r="V97" i="1"/>
  <c r="W97" i="1"/>
  <c r="X97" i="1"/>
  <c r="Y97" i="1"/>
  <c r="AB97" i="1"/>
  <c r="AC97" i="1"/>
  <c r="AD97" i="1"/>
  <c r="AE97" i="1"/>
  <c r="AF97" i="1"/>
  <c r="AG97" i="1"/>
  <c r="AH97" i="1"/>
  <c r="AI97" i="1"/>
  <c r="AJ97" i="1"/>
  <c r="AK97" i="1"/>
  <c r="AL97" i="1"/>
  <c r="AN97" i="1"/>
  <c r="AO97" i="1"/>
  <c r="AP97" i="1"/>
  <c r="AQ97" i="1"/>
  <c r="AS97" i="1"/>
  <c r="AT97" i="1"/>
  <c r="AU97" i="1"/>
  <c r="AV97" i="1"/>
  <c r="AW97" i="1"/>
  <c r="AX97" i="1"/>
  <c r="AY97" i="1"/>
  <c r="AZ97" i="1"/>
  <c r="BA97" i="1"/>
  <c r="B98" i="1"/>
  <c r="C98" i="1"/>
  <c r="D98" i="1"/>
  <c r="E98" i="1"/>
  <c r="F98" i="1"/>
  <c r="G98" i="1"/>
  <c r="H98" i="1"/>
  <c r="I98" i="1"/>
  <c r="J98" i="1"/>
  <c r="K98" i="1"/>
  <c r="L98" i="1"/>
  <c r="M98" i="1"/>
  <c r="N98" i="1"/>
  <c r="O98" i="1"/>
  <c r="Q98" i="1"/>
  <c r="R98" i="1"/>
  <c r="U98" i="1"/>
  <c r="V98" i="1"/>
  <c r="W98" i="1"/>
  <c r="X98" i="1"/>
  <c r="Y98" i="1"/>
  <c r="AB98" i="1"/>
  <c r="AC98" i="1"/>
  <c r="AD98" i="1"/>
  <c r="AE98" i="1"/>
  <c r="AF98" i="1"/>
  <c r="AG98" i="1"/>
  <c r="AH98" i="1"/>
  <c r="AI98" i="1"/>
  <c r="AJ98" i="1"/>
  <c r="AK98" i="1"/>
  <c r="AL98" i="1"/>
  <c r="AN98" i="1"/>
  <c r="AO98" i="1"/>
  <c r="AP98" i="1"/>
  <c r="AQ98" i="1"/>
  <c r="AS98" i="1"/>
  <c r="AT98" i="1"/>
  <c r="AU98" i="1"/>
  <c r="AV98" i="1"/>
  <c r="AW98" i="1"/>
  <c r="AX98" i="1"/>
  <c r="AY98" i="1"/>
  <c r="AZ98" i="1"/>
  <c r="BA98" i="1"/>
  <c r="B99" i="1"/>
  <c r="C99" i="1"/>
  <c r="D99" i="1"/>
  <c r="E99" i="1"/>
  <c r="F99" i="1"/>
  <c r="G99" i="1"/>
  <c r="H99" i="1"/>
  <c r="I99" i="1"/>
  <c r="J99" i="1"/>
  <c r="K99" i="1"/>
  <c r="L99" i="1"/>
  <c r="M99" i="1"/>
  <c r="N99" i="1"/>
  <c r="O99" i="1"/>
  <c r="Q99" i="1"/>
  <c r="R99" i="1"/>
  <c r="U99" i="1"/>
  <c r="V99" i="1"/>
  <c r="W99" i="1"/>
  <c r="X99" i="1"/>
  <c r="Y99" i="1"/>
  <c r="AB99" i="1"/>
  <c r="AC99" i="1"/>
  <c r="AD99" i="1"/>
  <c r="AE99" i="1"/>
  <c r="AF99" i="1"/>
  <c r="AG99" i="1"/>
  <c r="AH99" i="1"/>
  <c r="AI99" i="1"/>
  <c r="AJ99" i="1"/>
  <c r="AK99" i="1"/>
  <c r="AL99" i="1"/>
  <c r="AN99" i="1"/>
  <c r="AO99" i="1"/>
  <c r="AP99" i="1"/>
  <c r="AQ99" i="1"/>
  <c r="AS99" i="1"/>
  <c r="AT99" i="1"/>
  <c r="AU99" i="1"/>
  <c r="AV99" i="1"/>
  <c r="AW99" i="1"/>
  <c r="AX99" i="1"/>
  <c r="AY99" i="1"/>
  <c r="AZ99" i="1"/>
  <c r="BA99" i="1"/>
  <c r="B100" i="1"/>
  <c r="C100" i="1"/>
  <c r="D100" i="1"/>
  <c r="E100" i="1"/>
  <c r="F100" i="1"/>
  <c r="G100" i="1"/>
  <c r="H100" i="1"/>
  <c r="I100" i="1"/>
  <c r="J100" i="1"/>
  <c r="K100" i="1"/>
  <c r="L100" i="1"/>
  <c r="M100" i="1"/>
  <c r="N100" i="1"/>
  <c r="O100" i="1"/>
  <c r="Q100" i="1"/>
  <c r="R100" i="1"/>
  <c r="U100" i="1"/>
  <c r="V100" i="1"/>
  <c r="W100" i="1"/>
  <c r="X100" i="1"/>
  <c r="Y100" i="1"/>
  <c r="AB100" i="1"/>
  <c r="AC100" i="1"/>
  <c r="AD100" i="1"/>
  <c r="AE100" i="1"/>
  <c r="AF100" i="1"/>
  <c r="AG100" i="1"/>
  <c r="AH100" i="1"/>
  <c r="AI100" i="1"/>
  <c r="AJ100" i="1"/>
  <c r="AK100" i="1"/>
  <c r="AL100" i="1"/>
  <c r="AN100" i="1"/>
  <c r="AO100" i="1"/>
  <c r="AP100" i="1"/>
  <c r="AQ100" i="1"/>
  <c r="AS100" i="1"/>
  <c r="AT100" i="1"/>
  <c r="AU100" i="1"/>
  <c r="AV100" i="1"/>
  <c r="AW100" i="1"/>
  <c r="AX100" i="1"/>
  <c r="AY100" i="1"/>
  <c r="AZ100" i="1"/>
  <c r="BA100" i="1"/>
  <c r="B101" i="1"/>
  <c r="C101" i="1"/>
  <c r="D101" i="1"/>
  <c r="E101" i="1"/>
  <c r="F101" i="1"/>
  <c r="G101" i="1"/>
  <c r="H101" i="1"/>
  <c r="I101" i="1"/>
  <c r="J101" i="1"/>
  <c r="K101" i="1"/>
  <c r="L101" i="1"/>
  <c r="M101" i="1"/>
  <c r="N101" i="1"/>
  <c r="O101" i="1"/>
  <c r="Q101" i="1"/>
  <c r="R101" i="1"/>
  <c r="U101" i="1"/>
  <c r="V101" i="1"/>
  <c r="W101" i="1"/>
  <c r="X101" i="1"/>
  <c r="Y101" i="1"/>
  <c r="AB101" i="1"/>
  <c r="AC101" i="1"/>
  <c r="AD101" i="1"/>
  <c r="AE101" i="1"/>
  <c r="AF101" i="1"/>
  <c r="AG101" i="1"/>
  <c r="AH101" i="1"/>
  <c r="AI101" i="1"/>
  <c r="AJ101" i="1"/>
  <c r="AK101" i="1"/>
  <c r="AL101" i="1"/>
  <c r="AN101" i="1"/>
  <c r="AO101" i="1"/>
  <c r="AP101" i="1"/>
  <c r="AQ101" i="1"/>
  <c r="AS101" i="1"/>
  <c r="AT101" i="1"/>
  <c r="AU101" i="1"/>
  <c r="AV101" i="1"/>
  <c r="AW101" i="1"/>
  <c r="AX101" i="1"/>
  <c r="AY101" i="1"/>
  <c r="AZ101" i="1"/>
  <c r="BA101" i="1"/>
  <c r="B102" i="1"/>
  <c r="C102" i="1"/>
  <c r="D102" i="1"/>
  <c r="E102" i="1"/>
  <c r="F102" i="1"/>
  <c r="G102" i="1"/>
  <c r="H102" i="1"/>
  <c r="I102" i="1"/>
  <c r="J102" i="1"/>
  <c r="K102" i="1"/>
  <c r="L102" i="1"/>
  <c r="M102" i="1"/>
  <c r="N102" i="1"/>
  <c r="O102" i="1"/>
  <c r="Q102" i="1"/>
  <c r="R102" i="1"/>
  <c r="U102" i="1"/>
  <c r="V102" i="1"/>
  <c r="W102" i="1"/>
  <c r="X102" i="1"/>
  <c r="Y102" i="1"/>
  <c r="AB102" i="1"/>
  <c r="AC102" i="1"/>
  <c r="AD102" i="1"/>
  <c r="AE102" i="1"/>
  <c r="AF102" i="1"/>
  <c r="AG102" i="1"/>
  <c r="AH102" i="1"/>
  <c r="AI102" i="1"/>
  <c r="AJ102" i="1"/>
  <c r="AK102" i="1"/>
  <c r="AL102" i="1"/>
  <c r="AN102" i="1"/>
  <c r="AO102" i="1"/>
  <c r="AP102" i="1"/>
  <c r="AQ102" i="1"/>
  <c r="AS102" i="1"/>
  <c r="AT102" i="1"/>
  <c r="AU102" i="1"/>
  <c r="AV102" i="1"/>
  <c r="AW102" i="1"/>
  <c r="AX102" i="1"/>
  <c r="AY102" i="1"/>
  <c r="AZ102" i="1"/>
  <c r="BA102" i="1"/>
  <c r="B103" i="1"/>
  <c r="C103" i="1"/>
  <c r="D103" i="1"/>
  <c r="E103" i="1"/>
  <c r="F103" i="1"/>
  <c r="G103" i="1"/>
  <c r="H103" i="1"/>
  <c r="I103" i="1"/>
  <c r="J103" i="1"/>
  <c r="K103" i="1"/>
  <c r="L103" i="1"/>
  <c r="M103" i="1"/>
  <c r="N103" i="1"/>
  <c r="O103" i="1"/>
  <c r="Q103" i="1"/>
  <c r="R103" i="1"/>
  <c r="U103" i="1"/>
  <c r="V103" i="1"/>
  <c r="W103" i="1"/>
  <c r="X103" i="1"/>
  <c r="Y103" i="1"/>
  <c r="AB103" i="1"/>
  <c r="AC103" i="1"/>
  <c r="AD103" i="1"/>
  <c r="AE103" i="1"/>
  <c r="AF103" i="1"/>
  <c r="AG103" i="1"/>
  <c r="AH103" i="1"/>
  <c r="AI103" i="1"/>
  <c r="AJ103" i="1"/>
  <c r="AK103" i="1"/>
  <c r="AL103" i="1"/>
  <c r="AN103" i="1"/>
  <c r="AO103" i="1"/>
  <c r="AP103" i="1"/>
  <c r="AQ103" i="1"/>
  <c r="AS103" i="1"/>
  <c r="AT103" i="1"/>
  <c r="AU103" i="1"/>
  <c r="AV103" i="1"/>
  <c r="AW103" i="1"/>
  <c r="AX103" i="1"/>
  <c r="AY103" i="1"/>
  <c r="AZ103" i="1"/>
  <c r="BA103" i="1"/>
  <c r="B104" i="1"/>
  <c r="C104" i="1"/>
  <c r="D104" i="1"/>
  <c r="E104" i="1"/>
  <c r="F104" i="1"/>
  <c r="G104" i="1"/>
  <c r="H104" i="1"/>
  <c r="I104" i="1"/>
  <c r="J104" i="1"/>
  <c r="K104" i="1"/>
  <c r="L104" i="1"/>
  <c r="M104" i="1"/>
  <c r="N104" i="1"/>
  <c r="O104" i="1"/>
  <c r="Q104" i="1"/>
  <c r="R104" i="1"/>
  <c r="U104" i="1"/>
  <c r="V104" i="1"/>
  <c r="W104" i="1"/>
  <c r="X104" i="1"/>
  <c r="Y104" i="1"/>
  <c r="AB104" i="1"/>
  <c r="AC104" i="1"/>
  <c r="AD104" i="1"/>
  <c r="AE104" i="1"/>
  <c r="AF104" i="1"/>
  <c r="AG104" i="1"/>
  <c r="AH104" i="1"/>
  <c r="AI104" i="1"/>
  <c r="AJ104" i="1"/>
  <c r="AK104" i="1"/>
  <c r="AL104" i="1"/>
  <c r="AN104" i="1"/>
  <c r="AO104" i="1"/>
  <c r="AP104" i="1"/>
  <c r="AQ104" i="1"/>
  <c r="AS104" i="1"/>
  <c r="AT104" i="1"/>
  <c r="AU104" i="1"/>
  <c r="AV104" i="1"/>
  <c r="AW104" i="1"/>
  <c r="AX104" i="1"/>
  <c r="AY104" i="1"/>
  <c r="AZ104" i="1"/>
  <c r="BA104" i="1"/>
  <c r="B105" i="1"/>
  <c r="C105" i="1"/>
  <c r="D105" i="1"/>
  <c r="E105" i="1"/>
  <c r="F105" i="1"/>
  <c r="G105" i="1"/>
  <c r="H105" i="1"/>
  <c r="I105" i="1"/>
  <c r="J105" i="1"/>
  <c r="K105" i="1"/>
  <c r="L105" i="1"/>
  <c r="M105" i="1"/>
  <c r="N105" i="1"/>
  <c r="O105" i="1"/>
  <c r="Q105" i="1"/>
  <c r="R105" i="1"/>
  <c r="U105" i="1"/>
  <c r="V105" i="1"/>
  <c r="W105" i="1"/>
  <c r="X105" i="1"/>
  <c r="Y105" i="1"/>
  <c r="AB105" i="1"/>
  <c r="AC105" i="1"/>
  <c r="AD105" i="1"/>
  <c r="AE105" i="1"/>
  <c r="AF105" i="1"/>
  <c r="AG105" i="1"/>
  <c r="AH105" i="1"/>
  <c r="AI105" i="1"/>
  <c r="AJ105" i="1"/>
  <c r="AK105" i="1"/>
  <c r="AL105" i="1"/>
  <c r="AN105" i="1"/>
  <c r="AO105" i="1"/>
  <c r="AP105" i="1"/>
  <c r="AQ105" i="1"/>
  <c r="AS105" i="1"/>
  <c r="AT105" i="1"/>
  <c r="AU105" i="1"/>
  <c r="AV105" i="1"/>
  <c r="AW105" i="1"/>
  <c r="AX105" i="1"/>
  <c r="AY105" i="1"/>
  <c r="AZ105" i="1"/>
  <c r="BA105" i="1"/>
  <c r="B106" i="1"/>
  <c r="C106" i="1"/>
  <c r="D106" i="1"/>
  <c r="E106" i="1"/>
  <c r="F106" i="1"/>
  <c r="G106" i="1"/>
  <c r="H106" i="1"/>
  <c r="I106" i="1"/>
  <c r="J106" i="1"/>
  <c r="K106" i="1"/>
  <c r="L106" i="1"/>
  <c r="M106" i="1"/>
  <c r="N106" i="1"/>
  <c r="O106" i="1"/>
  <c r="Q106" i="1"/>
  <c r="R106" i="1"/>
  <c r="U106" i="1"/>
  <c r="V106" i="1"/>
  <c r="W106" i="1"/>
  <c r="X106" i="1"/>
  <c r="Y106" i="1"/>
  <c r="AB106" i="1"/>
  <c r="AC106" i="1"/>
  <c r="AD106" i="1"/>
  <c r="AE106" i="1"/>
  <c r="AF106" i="1"/>
  <c r="AG106" i="1"/>
  <c r="AH106" i="1"/>
  <c r="AI106" i="1"/>
  <c r="AJ106" i="1"/>
  <c r="AK106" i="1"/>
  <c r="AL106" i="1"/>
  <c r="AN106" i="1"/>
  <c r="AO106" i="1"/>
  <c r="AP106" i="1"/>
  <c r="AQ106" i="1"/>
  <c r="AS106" i="1"/>
  <c r="AT106" i="1"/>
  <c r="AU106" i="1"/>
  <c r="AV106" i="1"/>
  <c r="AW106" i="1"/>
  <c r="AX106" i="1"/>
  <c r="AY106" i="1"/>
  <c r="AZ106" i="1"/>
  <c r="BA106" i="1"/>
  <c r="B107" i="1"/>
  <c r="C107" i="1"/>
  <c r="D107" i="1"/>
  <c r="E107" i="1"/>
  <c r="F107" i="1"/>
  <c r="G107" i="1"/>
  <c r="H107" i="1"/>
  <c r="I107" i="1"/>
  <c r="J107" i="1"/>
  <c r="K107" i="1"/>
  <c r="L107" i="1"/>
  <c r="M107" i="1"/>
  <c r="N107" i="1"/>
  <c r="O107" i="1"/>
  <c r="Q107" i="1"/>
  <c r="R107" i="1"/>
  <c r="U107" i="1"/>
  <c r="V107" i="1"/>
  <c r="W107" i="1"/>
  <c r="X107" i="1"/>
  <c r="Y107" i="1"/>
  <c r="AB107" i="1"/>
  <c r="AC107" i="1"/>
  <c r="AD107" i="1"/>
  <c r="AE107" i="1"/>
  <c r="AF107" i="1"/>
  <c r="AG107" i="1"/>
  <c r="AH107" i="1"/>
  <c r="AI107" i="1"/>
  <c r="AJ107" i="1"/>
  <c r="AK107" i="1"/>
  <c r="AL107" i="1"/>
  <c r="AN107" i="1"/>
  <c r="AO107" i="1"/>
  <c r="AP107" i="1"/>
  <c r="AQ107" i="1"/>
  <c r="AS107" i="1"/>
  <c r="AT107" i="1"/>
  <c r="AU107" i="1"/>
  <c r="AV107" i="1"/>
  <c r="AW107" i="1"/>
  <c r="AX107" i="1"/>
  <c r="AY107" i="1"/>
  <c r="AZ107" i="1"/>
  <c r="BA107" i="1"/>
  <c r="B108" i="1"/>
  <c r="C108" i="1"/>
  <c r="D108" i="1"/>
  <c r="E108" i="1"/>
  <c r="F108" i="1"/>
  <c r="G108" i="1"/>
  <c r="H108" i="1"/>
  <c r="I108" i="1"/>
  <c r="J108" i="1"/>
  <c r="K108" i="1"/>
  <c r="L108" i="1"/>
  <c r="M108" i="1"/>
  <c r="N108" i="1"/>
  <c r="O108" i="1"/>
  <c r="Q108" i="1"/>
  <c r="R108" i="1"/>
  <c r="U108" i="1"/>
  <c r="V108" i="1"/>
  <c r="W108" i="1"/>
  <c r="X108" i="1"/>
  <c r="Y108" i="1"/>
  <c r="AB108" i="1"/>
  <c r="AC108" i="1"/>
  <c r="AD108" i="1"/>
  <c r="AE108" i="1"/>
  <c r="AF108" i="1"/>
  <c r="AG108" i="1"/>
  <c r="AH108" i="1"/>
  <c r="AI108" i="1"/>
  <c r="AJ108" i="1"/>
  <c r="AK108" i="1"/>
  <c r="AL108" i="1"/>
  <c r="AN108" i="1"/>
  <c r="AO108" i="1"/>
  <c r="AP108" i="1"/>
  <c r="AQ108" i="1"/>
  <c r="AS108" i="1"/>
  <c r="AT108" i="1"/>
  <c r="AU108" i="1"/>
  <c r="AV108" i="1"/>
  <c r="AW108" i="1"/>
  <c r="AX108" i="1"/>
  <c r="AY108" i="1"/>
  <c r="AZ108" i="1"/>
  <c r="BA108" i="1"/>
  <c r="B109" i="1"/>
  <c r="C109" i="1"/>
  <c r="D109" i="1"/>
  <c r="E109" i="1"/>
  <c r="F109" i="1"/>
  <c r="G109" i="1"/>
  <c r="H109" i="1"/>
  <c r="I109" i="1"/>
  <c r="J109" i="1"/>
  <c r="K109" i="1"/>
  <c r="L109" i="1"/>
  <c r="M109" i="1"/>
  <c r="N109" i="1"/>
  <c r="O109" i="1"/>
  <c r="Q109" i="1"/>
  <c r="R109" i="1"/>
  <c r="U109" i="1"/>
  <c r="V109" i="1"/>
  <c r="W109" i="1"/>
  <c r="X109" i="1"/>
  <c r="Y109" i="1"/>
  <c r="AB109" i="1"/>
  <c r="AC109" i="1"/>
  <c r="AD109" i="1"/>
  <c r="AE109" i="1"/>
  <c r="AF109" i="1"/>
  <c r="AG109" i="1"/>
  <c r="AH109" i="1"/>
  <c r="AI109" i="1"/>
  <c r="AJ109" i="1"/>
  <c r="AK109" i="1"/>
  <c r="AL109" i="1"/>
  <c r="AN109" i="1"/>
  <c r="AO109" i="1"/>
  <c r="AP109" i="1"/>
  <c r="AQ109" i="1"/>
  <c r="AS109" i="1"/>
  <c r="AT109" i="1"/>
  <c r="AU109" i="1"/>
  <c r="AV109" i="1"/>
  <c r="AW109" i="1"/>
  <c r="AX109" i="1"/>
  <c r="AY109" i="1"/>
  <c r="AZ109" i="1"/>
  <c r="BA109" i="1"/>
  <c r="B110" i="1"/>
  <c r="C110" i="1"/>
  <c r="D110" i="1"/>
  <c r="E110" i="1"/>
  <c r="F110" i="1"/>
  <c r="G110" i="1"/>
  <c r="H110" i="1"/>
  <c r="I110" i="1"/>
  <c r="J110" i="1"/>
  <c r="K110" i="1"/>
  <c r="L110" i="1"/>
  <c r="M110" i="1"/>
  <c r="N110" i="1"/>
  <c r="O110" i="1"/>
  <c r="Q110" i="1"/>
  <c r="R110" i="1"/>
  <c r="U110" i="1"/>
  <c r="V110" i="1"/>
  <c r="W110" i="1"/>
  <c r="X110" i="1"/>
  <c r="Y110" i="1"/>
  <c r="AB110" i="1"/>
  <c r="AC110" i="1"/>
  <c r="AD110" i="1"/>
  <c r="AE110" i="1"/>
  <c r="AF110" i="1"/>
  <c r="AG110" i="1"/>
  <c r="AH110" i="1"/>
  <c r="AI110" i="1"/>
  <c r="AJ110" i="1"/>
  <c r="AK110" i="1"/>
  <c r="AL110" i="1"/>
  <c r="AN110" i="1"/>
  <c r="AO110" i="1"/>
  <c r="AP110" i="1"/>
  <c r="AQ110" i="1"/>
  <c r="AS110" i="1"/>
  <c r="AT110" i="1"/>
  <c r="AU110" i="1"/>
  <c r="AV110" i="1"/>
  <c r="AW110" i="1"/>
  <c r="AX110" i="1"/>
  <c r="AY110" i="1"/>
  <c r="AZ110" i="1"/>
  <c r="BA110" i="1"/>
  <c r="B111" i="1"/>
  <c r="C111" i="1"/>
  <c r="D111" i="1"/>
  <c r="E111" i="1"/>
  <c r="F111" i="1"/>
  <c r="G111" i="1"/>
  <c r="H111" i="1"/>
  <c r="I111" i="1"/>
  <c r="J111" i="1"/>
  <c r="K111" i="1"/>
  <c r="L111" i="1"/>
  <c r="M111" i="1"/>
  <c r="N111" i="1"/>
  <c r="O111" i="1"/>
  <c r="Q111" i="1"/>
  <c r="R111" i="1"/>
  <c r="U111" i="1"/>
  <c r="V111" i="1"/>
  <c r="W111" i="1"/>
  <c r="X111" i="1"/>
  <c r="Y111" i="1"/>
  <c r="AB111" i="1"/>
  <c r="AC111" i="1"/>
  <c r="AD111" i="1"/>
  <c r="AE111" i="1"/>
  <c r="AF111" i="1"/>
  <c r="AG111" i="1"/>
  <c r="AH111" i="1"/>
  <c r="AI111" i="1"/>
  <c r="AJ111" i="1"/>
  <c r="AK111" i="1"/>
  <c r="AL111" i="1"/>
  <c r="AN111" i="1"/>
  <c r="AO111" i="1"/>
  <c r="AP111" i="1"/>
  <c r="AQ111" i="1"/>
  <c r="AS111" i="1"/>
  <c r="AT111" i="1"/>
  <c r="AU111" i="1"/>
  <c r="AV111" i="1"/>
  <c r="AW111" i="1"/>
  <c r="AX111" i="1"/>
  <c r="AY111" i="1"/>
  <c r="AZ111" i="1"/>
  <c r="BA111" i="1"/>
  <c r="B112" i="1"/>
  <c r="C112" i="1"/>
  <c r="D112" i="1"/>
  <c r="E112" i="1"/>
  <c r="F112" i="1"/>
  <c r="G112" i="1"/>
  <c r="H112" i="1"/>
  <c r="I112" i="1"/>
  <c r="J112" i="1"/>
  <c r="K112" i="1"/>
  <c r="L112" i="1"/>
  <c r="M112" i="1"/>
  <c r="N112" i="1"/>
  <c r="O112" i="1"/>
  <c r="Q112" i="1"/>
  <c r="R112" i="1"/>
  <c r="U112" i="1"/>
  <c r="V112" i="1"/>
  <c r="W112" i="1"/>
  <c r="X112" i="1"/>
  <c r="Y112" i="1"/>
  <c r="AB112" i="1"/>
  <c r="AC112" i="1"/>
  <c r="AD112" i="1"/>
  <c r="AE112" i="1"/>
  <c r="AF112" i="1"/>
  <c r="AG112" i="1"/>
  <c r="AH112" i="1"/>
  <c r="AI112" i="1"/>
  <c r="AJ112" i="1"/>
  <c r="AK112" i="1"/>
  <c r="AL112" i="1"/>
  <c r="AN112" i="1"/>
  <c r="AO112" i="1"/>
  <c r="AP112" i="1"/>
  <c r="AQ112" i="1"/>
  <c r="AS112" i="1"/>
  <c r="AT112" i="1"/>
  <c r="AU112" i="1"/>
  <c r="AV112" i="1"/>
  <c r="AW112" i="1"/>
  <c r="AX112" i="1"/>
  <c r="AY112" i="1"/>
  <c r="AZ112" i="1"/>
  <c r="BA112" i="1"/>
  <c r="B113" i="1"/>
  <c r="C113" i="1"/>
  <c r="D113" i="1"/>
  <c r="E113" i="1"/>
  <c r="F113" i="1"/>
  <c r="G113" i="1"/>
  <c r="H113" i="1"/>
  <c r="I113" i="1"/>
  <c r="J113" i="1"/>
  <c r="K113" i="1"/>
  <c r="L113" i="1"/>
  <c r="M113" i="1"/>
  <c r="N113" i="1"/>
  <c r="O113" i="1"/>
  <c r="Q113" i="1"/>
  <c r="R113" i="1"/>
  <c r="U113" i="1"/>
  <c r="V113" i="1"/>
  <c r="W113" i="1"/>
  <c r="X113" i="1"/>
  <c r="Y113" i="1"/>
  <c r="AB113" i="1"/>
  <c r="AC113" i="1"/>
  <c r="AD113" i="1"/>
  <c r="AE113" i="1"/>
  <c r="AF113" i="1"/>
  <c r="AG113" i="1"/>
  <c r="AH113" i="1"/>
  <c r="AI113" i="1"/>
  <c r="AJ113" i="1"/>
  <c r="AK113" i="1"/>
  <c r="AL113" i="1"/>
  <c r="AN113" i="1"/>
  <c r="AO113" i="1"/>
  <c r="AP113" i="1"/>
  <c r="AQ113" i="1"/>
  <c r="AS113" i="1"/>
  <c r="AT113" i="1"/>
  <c r="AU113" i="1"/>
  <c r="AV113" i="1"/>
  <c r="AW113" i="1"/>
  <c r="AX113" i="1"/>
  <c r="AY113" i="1"/>
  <c r="AZ113" i="1"/>
  <c r="BA113" i="1"/>
  <c r="B114" i="1"/>
  <c r="C114" i="1"/>
  <c r="D114" i="1"/>
  <c r="E114" i="1"/>
  <c r="F114" i="1"/>
  <c r="G114" i="1"/>
  <c r="H114" i="1"/>
  <c r="I114" i="1"/>
  <c r="J114" i="1"/>
  <c r="K114" i="1"/>
  <c r="L114" i="1"/>
  <c r="M114" i="1"/>
  <c r="N114" i="1"/>
  <c r="O114" i="1"/>
  <c r="Q114" i="1"/>
  <c r="R114" i="1"/>
  <c r="U114" i="1"/>
  <c r="V114" i="1"/>
  <c r="W114" i="1"/>
  <c r="X114" i="1"/>
  <c r="Y114" i="1"/>
  <c r="AB114" i="1"/>
  <c r="AC114" i="1"/>
  <c r="AD114" i="1"/>
  <c r="AE114" i="1"/>
  <c r="AF114" i="1"/>
  <c r="AG114" i="1"/>
  <c r="AH114" i="1"/>
  <c r="AI114" i="1"/>
  <c r="AJ114" i="1"/>
  <c r="AK114" i="1"/>
  <c r="AL114" i="1"/>
  <c r="AN114" i="1"/>
  <c r="AO114" i="1"/>
  <c r="AP114" i="1"/>
  <c r="AQ114" i="1"/>
  <c r="AS114" i="1"/>
  <c r="AT114" i="1"/>
  <c r="AU114" i="1"/>
  <c r="AV114" i="1"/>
  <c r="AW114" i="1"/>
  <c r="AX114" i="1"/>
  <c r="AY114" i="1"/>
  <c r="AZ114" i="1"/>
  <c r="BA114" i="1"/>
  <c r="B115" i="1"/>
  <c r="C115" i="1"/>
  <c r="D115" i="1"/>
  <c r="E115" i="1"/>
  <c r="F115" i="1"/>
  <c r="G115" i="1"/>
  <c r="H115" i="1"/>
  <c r="I115" i="1"/>
  <c r="J115" i="1"/>
  <c r="K115" i="1"/>
  <c r="L115" i="1"/>
  <c r="M115" i="1"/>
  <c r="N115" i="1"/>
  <c r="O115" i="1"/>
  <c r="Q115" i="1"/>
  <c r="R115" i="1"/>
  <c r="U115" i="1"/>
  <c r="V115" i="1"/>
  <c r="W115" i="1"/>
  <c r="X115" i="1"/>
  <c r="Y115" i="1"/>
  <c r="AB115" i="1"/>
  <c r="AC115" i="1"/>
  <c r="AD115" i="1"/>
  <c r="AE115" i="1"/>
  <c r="AF115" i="1"/>
  <c r="AG115" i="1"/>
  <c r="AH115" i="1"/>
  <c r="AI115" i="1"/>
  <c r="AJ115" i="1"/>
  <c r="AK115" i="1"/>
  <c r="AL115" i="1"/>
  <c r="AN115" i="1"/>
  <c r="AO115" i="1"/>
  <c r="AP115" i="1"/>
  <c r="AQ115" i="1"/>
  <c r="AS115" i="1"/>
  <c r="AT115" i="1"/>
  <c r="AU115" i="1"/>
  <c r="AV115" i="1"/>
  <c r="AW115" i="1"/>
  <c r="AX115" i="1"/>
  <c r="AY115" i="1"/>
  <c r="AZ115" i="1"/>
  <c r="BA115" i="1"/>
  <c r="B116" i="1"/>
  <c r="C116" i="1"/>
  <c r="D116" i="1"/>
  <c r="E116" i="1"/>
  <c r="F116" i="1"/>
  <c r="G116" i="1"/>
  <c r="H116" i="1"/>
  <c r="I116" i="1"/>
  <c r="J116" i="1"/>
  <c r="K116" i="1"/>
  <c r="L116" i="1"/>
  <c r="M116" i="1"/>
  <c r="N116" i="1"/>
  <c r="O116" i="1"/>
  <c r="Q116" i="1"/>
  <c r="R116" i="1"/>
  <c r="U116" i="1"/>
  <c r="V116" i="1"/>
  <c r="W116" i="1"/>
  <c r="X116" i="1"/>
  <c r="Y116" i="1"/>
  <c r="AB116" i="1"/>
  <c r="AC116" i="1"/>
  <c r="AD116" i="1"/>
  <c r="AE116" i="1"/>
  <c r="AF116" i="1"/>
  <c r="AG116" i="1"/>
  <c r="AH116" i="1"/>
  <c r="AI116" i="1"/>
  <c r="AJ116" i="1"/>
  <c r="AK116" i="1"/>
  <c r="AL116" i="1"/>
  <c r="AN116" i="1"/>
  <c r="AO116" i="1"/>
  <c r="AP116" i="1"/>
  <c r="AQ116" i="1"/>
  <c r="AS116" i="1"/>
  <c r="AT116" i="1"/>
  <c r="AU116" i="1"/>
  <c r="AV116" i="1"/>
  <c r="AW116" i="1"/>
  <c r="AX116" i="1"/>
  <c r="AY116" i="1"/>
  <c r="AZ116" i="1"/>
  <c r="BA116" i="1"/>
  <c r="B117" i="1"/>
  <c r="C117" i="1"/>
  <c r="D117" i="1"/>
  <c r="E117" i="1"/>
  <c r="F117" i="1"/>
  <c r="G117" i="1"/>
  <c r="H117" i="1"/>
  <c r="I117" i="1"/>
  <c r="J117" i="1"/>
  <c r="K117" i="1"/>
  <c r="L117" i="1"/>
  <c r="M117" i="1"/>
  <c r="N117" i="1"/>
  <c r="O117" i="1"/>
  <c r="Q117" i="1"/>
  <c r="R117" i="1"/>
  <c r="U117" i="1"/>
  <c r="V117" i="1"/>
  <c r="W117" i="1"/>
  <c r="X117" i="1"/>
  <c r="Y117" i="1"/>
  <c r="AB117" i="1"/>
  <c r="AC117" i="1"/>
  <c r="AD117" i="1"/>
  <c r="AE117" i="1"/>
  <c r="AF117" i="1"/>
  <c r="AG117" i="1"/>
  <c r="AH117" i="1"/>
  <c r="AI117" i="1"/>
  <c r="AJ117" i="1"/>
  <c r="AK117" i="1"/>
  <c r="AL117" i="1"/>
  <c r="AN117" i="1"/>
  <c r="AO117" i="1"/>
  <c r="AP117" i="1"/>
  <c r="AQ117" i="1"/>
  <c r="AS117" i="1"/>
  <c r="AT117" i="1"/>
  <c r="AU117" i="1"/>
  <c r="AV117" i="1"/>
  <c r="AW117" i="1"/>
  <c r="AX117" i="1"/>
  <c r="AY117" i="1"/>
  <c r="AZ117" i="1"/>
  <c r="BA117" i="1"/>
  <c r="B118" i="1"/>
  <c r="C118" i="1"/>
  <c r="D118" i="1"/>
  <c r="E118" i="1"/>
  <c r="F118" i="1"/>
  <c r="G118" i="1"/>
  <c r="H118" i="1"/>
  <c r="I118" i="1"/>
  <c r="J118" i="1"/>
  <c r="K118" i="1"/>
  <c r="L118" i="1"/>
  <c r="M118" i="1"/>
  <c r="N118" i="1"/>
  <c r="O118" i="1"/>
  <c r="Q118" i="1"/>
  <c r="R118" i="1"/>
  <c r="U118" i="1"/>
  <c r="V118" i="1"/>
  <c r="W118" i="1"/>
  <c r="X118" i="1"/>
  <c r="Y118" i="1"/>
  <c r="AB118" i="1"/>
  <c r="AC118" i="1"/>
  <c r="AD118" i="1"/>
  <c r="AE118" i="1"/>
  <c r="AF118" i="1"/>
  <c r="AG118" i="1"/>
  <c r="AH118" i="1"/>
  <c r="AI118" i="1"/>
  <c r="AJ118" i="1"/>
  <c r="AK118" i="1"/>
  <c r="AL118" i="1"/>
  <c r="AN118" i="1"/>
  <c r="AO118" i="1"/>
  <c r="AP118" i="1"/>
  <c r="AQ118" i="1"/>
  <c r="AS118" i="1"/>
  <c r="AT118" i="1"/>
  <c r="AU118" i="1"/>
  <c r="AV118" i="1"/>
  <c r="AW118" i="1"/>
  <c r="AX118" i="1"/>
  <c r="AY118" i="1"/>
  <c r="AZ118" i="1"/>
  <c r="BA118" i="1"/>
  <c r="B119" i="1"/>
  <c r="C119" i="1"/>
  <c r="D119" i="1"/>
  <c r="E119" i="1"/>
  <c r="F119" i="1"/>
  <c r="G119" i="1"/>
  <c r="H119" i="1"/>
  <c r="I119" i="1"/>
  <c r="J119" i="1"/>
  <c r="K119" i="1"/>
  <c r="L119" i="1"/>
  <c r="M119" i="1"/>
  <c r="N119" i="1"/>
  <c r="O119" i="1"/>
  <c r="Q119" i="1"/>
  <c r="R119" i="1"/>
  <c r="U119" i="1"/>
  <c r="V119" i="1"/>
  <c r="W119" i="1"/>
  <c r="X119" i="1"/>
  <c r="Y119" i="1"/>
  <c r="AB119" i="1"/>
  <c r="AC119" i="1"/>
  <c r="AD119" i="1"/>
  <c r="AE119" i="1"/>
  <c r="AF119" i="1"/>
  <c r="AG119" i="1"/>
  <c r="AH119" i="1"/>
  <c r="AI119" i="1"/>
  <c r="AJ119" i="1"/>
  <c r="AK119" i="1"/>
  <c r="AL119" i="1"/>
  <c r="AN119" i="1"/>
  <c r="AO119" i="1"/>
  <c r="AP119" i="1"/>
  <c r="AQ119" i="1"/>
  <c r="AS119" i="1"/>
  <c r="AT119" i="1"/>
  <c r="AU119" i="1"/>
  <c r="AV119" i="1"/>
  <c r="AW119" i="1"/>
  <c r="AX119" i="1"/>
  <c r="AY119" i="1"/>
  <c r="AZ119" i="1"/>
  <c r="BA119" i="1"/>
  <c r="B120" i="1"/>
  <c r="C120" i="1"/>
  <c r="D120" i="1"/>
  <c r="E120" i="1"/>
  <c r="F120" i="1"/>
  <c r="G120" i="1"/>
  <c r="H120" i="1"/>
  <c r="I120" i="1"/>
  <c r="J120" i="1"/>
  <c r="K120" i="1"/>
  <c r="L120" i="1"/>
  <c r="M120" i="1"/>
  <c r="N120" i="1"/>
  <c r="O120" i="1"/>
  <c r="Q120" i="1"/>
  <c r="R120" i="1"/>
  <c r="U120" i="1"/>
  <c r="V120" i="1"/>
  <c r="W120" i="1"/>
  <c r="X120" i="1"/>
  <c r="Y120" i="1"/>
  <c r="AB120" i="1"/>
  <c r="AC120" i="1"/>
  <c r="AD120" i="1"/>
  <c r="AE120" i="1"/>
  <c r="AF120" i="1"/>
  <c r="AG120" i="1"/>
  <c r="AH120" i="1"/>
  <c r="AI120" i="1"/>
  <c r="AJ120" i="1"/>
  <c r="AK120" i="1"/>
  <c r="AL120" i="1"/>
  <c r="AN120" i="1"/>
  <c r="AO120" i="1"/>
  <c r="AP120" i="1"/>
  <c r="AQ120" i="1"/>
  <c r="AS120" i="1"/>
  <c r="AT120" i="1"/>
  <c r="AU120" i="1"/>
  <c r="AV120" i="1"/>
  <c r="AW120" i="1"/>
  <c r="AX120" i="1"/>
  <c r="AY120" i="1"/>
  <c r="AZ120" i="1"/>
  <c r="BA120" i="1"/>
  <c r="B121" i="1"/>
  <c r="C121" i="1"/>
  <c r="D121" i="1"/>
  <c r="E121" i="1"/>
  <c r="F121" i="1"/>
  <c r="G121" i="1"/>
  <c r="H121" i="1"/>
  <c r="I121" i="1"/>
  <c r="J121" i="1"/>
  <c r="K121" i="1"/>
  <c r="L121" i="1"/>
  <c r="M121" i="1"/>
  <c r="N121" i="1"/>
  <c r="O121" i="1"/>
  <c r="Q121" i="1"/>
  <c r="R121" i="1"/>
  <c r="U121" i="1"/>
  <c r="V121" i="1"/>
  <c r="W121" i="1"/>
  <c r="X121" i="1"/>
  <c r="Y121" i="1"/>
  <c r="AB121" i="1"/>
  <c r="AC121" i="1"/>
  <c r="AD121" i="1"/>
  <c r="AE121" i="1"/>
  <c r="AF121" i="1"/>
  <c r="AG121" i="1"/>
  <c r="AH121" i="1"/>
  <c r="AI121" i="1"/>
  <c r="AJ121" i="1"/>
  <c r="AK121" i="1"/>
  <c r="AL121" i="1"/>
  <c r="AN121" i="1"/>
  <c r="AO121" i="1"/>
  <c r="AP121" i="1"/>
  <c r="AQ121" i="1"/>
  <c r="AS121" i="1"/>
  <c r="AT121" i="1"/>
  <c r="AU121" i="1"/>
  <c r="AV121" i="1"/>
  <c r="AW121" i="1"/>
  <c r="AX121" i="1"/>
  <c r="AY121" i="1"/>
  <c r="AZ121" i="1"/>
  <c r="BA121" i="1"/>
  <c r="B122" i="1"/>
  <c r="C122" i="1"/>
  <c r="D122" i="1"/>
  <c r="E122" i="1"/>
  <c r="F122" i="1"/>
  <c r="G122" i="1"/>
  <c r="H122" i="1"/>
  <c r="I122" i="1"/>
  <c r="J122" i="1"/>
  <c r="K122" i="1"/>
  <c r="L122" i="1"/>
  <c r="M122" i="1"/>
  <c r="N122" i="1"/>
  <c r="O122" i="1"/>
  <c r="Q122" i="1"/>
  <c r="R122" i="1"/>
  <c r="U122" i="1"/>
  <c r="V122" i="1"/>
  <c r="W122" i="1"/>
  <c r="X122" i="1"/>
  <c r="Y122" i="1"/>
  <c r="AB122" i="1"/>
  <c r="AC122" i="1"/>
  <c r="AD122" i="1"/>
  <c r="AE122" i="1"/>
  <c r="AF122" i="1"/>
  <c r="AG122" i="1"/>
  <c r="AH122" i="1"/>
  <c r="AI122" i="1"/>
  <c r="AJ122" i="1"/>
  <c r="AK122" i="1"/>
  <c r="AL122" i="1"/>
  <c r="AN122" i="1"/>
  <c r="AO122" i="1"/>
  <c r="AP122" i="1"/>
  <c r="AQ122" i="1"/>
  <c r="AS122" i="1"/>
  <c r="AT122" i="1"/>
  <c r="AU122" i="1"/>
  <c r="AV122" i="1"/>
  <c r="AW122" i="1"/>
  <c r="AX122" i="1"/>
  <c r="AY122" i="1"/>
  <c r="AZ122" i="1"/>
  <c r="BA122" i="1"/>
  <c r="B123" i="1"/>
  <c r="C123" i="1"/>
  <c r="D123" i="1"/>
  <c r="E123" i="1"/>
  <c r="F123" i="1"/>
  <c r="G123" i="1"/>
  <c r="H123" i="1"/>
  <c r="I123" i="1"/>
  <c r="J123" i="1"/>
  <c r="K123" i="1"/>
  <c r="L123" i="1"/>
  <c r="M123" i="1"/>
  <c r="N123" i="1"/>
  <c r="O123" i="1"/>
  <c r="Q123" i="1"/>
  <c r="R123" i="1"/>
  <c r="U123" i="1"/>
  <c r="V123" i="1"/>
  <c r="W123" i="1"/>
  <c r="X123" i="1"/>
  <c r="Y123" i="1"/>
  <c r="AB123" i="1"/>
  <c r="AC123" i="1"/>
  <c r="AD123" i="1"/>
  <c r="AE123" i="1"/>
  <c r="AF123" i="1"/>
  <c r="AG123" i="1"/>
  <c r="AH123" i="1"/>
  <c r="AI123" i="1"/>
  <c r="AJ123" i="1"/>
  <c r="AK123" i="1"/>
  <c r="AL123" i="1"/>
  <c r="AN123" i="1"/>
  <c r="AO123" i="1"/>
  <c r="AP123" i="1"/>
  <c r="AQ123" i="1"/>
  <c r="AS123" i="1"/>
  <c r="AT123" i="1"/>
  <c r="AU123" i="1"/>
  <c r="AV123" i="1"/>
  <c r="AW123" i="1"/>
  <c r="AX123" i="1"/>
  <c r="AY123" i="1"/>
  <c r="AZ123" i="1"/>
  <c r="BA123" i="1"/>
  <c r="B124" i="1"/>
  <c r="C124" i="1"/>
  <c r="D124" i="1"/>
  <c r="E124" i="1"/>
  <c r="F124" i="1"/>
  <c r="G124" i="1"/>
  <c r="H124" i="1"/>
  <c r="I124" i="1"/>
  <c r="J124" i="1"/>
  <c r="K124" i="1"/>
  <c r="L124" i="1"/>
  <c r="M124" i="1"/>
  <c r="N124" i="1"/>
  <c r="O124" i="1"/>
  <c r="Q124" i="1"/>
  <c r="R124" i="1"/>
  <c r="U124" i="1"/>
  <c r="V124" i="1"/>
  <c r="W124" i="1"/>
  <c r="X124" i="1"/>
  <c r="Y124" i="1"/>
  <c r="AB124" i="1"/>
  <c r="AC124" i="1"/>
  <c r="AD124" i="1"/>
  <c r="AE124" i="1"/>
  <c r="AF124" i="1"/>
  <c r="AG124" i="1"/>
  <c r="AH124" i="1"/>
  <c r="AI124" i="1"/>
  <c r="AJ124" i="1"/>
  <c r="AK124" i="1"/>
  <c r="AL124" i="1"/>
  <c r="AN124" i="1"/>
  <c r="AO124" i="1"/>
  <c r="AP124" i="1"/>
  <c r="AQ124" i="1"/>
  <c r="AS124" i="1"/>
  <c r="AT124" i="1"/>
  <c r="AU124" i="1"/>
  <c r="AV124" i="1"/>
  <c r="AW124" i="1"/>
  <c r="AX124" i="1"/>
  <c r="AY124" i="1"/>
  <c r="AZ124" i="1"/>
  <c r="BA124" i="1"/>
  <c r="B125" i="1"/>
  <c r="C125" i="1"/>
  <c r="D125" i="1"/>
  <c r="E125" i="1"/>
  <c r="F125" i="1"/>
  <c r="G125" i="1"/>
  <c r="H125" i="1"/>
  <c r="I125" i="1"/>
  <c r="J125" i="1"/>
  <c r="K125" i="1"/>
  <c r="L125" i="1"/>
  <c r="M125" i="1"/>
  <c r="N125" i="1"/>
  <c r="O125" i="1"/>
  <c r="Q125" i="1"/>
  <c r="R125" i="1"/>
  <c r="U125" i="1"/>
  <c r="V125" i="1"/>
  <c r="W125" i="1"/>
  <c r="X125" i="1"/>
  <c r="Y125" i="1"/>
  <c r="AB125" i="1"/>
  <c r="AC125" i="1"/>
  <c r="AD125" i="1"/>
  <c r="AE125" i="1"/>
  <c r="AF125" i="1"/>
  <c r="AG125" i="1"/>
  <c r="AH125" i="1"/>
  <c r="AI125" i="1"/>
  <c r="AJ125" i="1"/>
  <c r="AK125" i="1"/>
  <c r="AL125" i="1"/>
  <c r="AN125" i="1"/>
  <c r="AO125" i="1"/>
  <c r="AP125" i="1"/>
  <c r="AQ125" i="1"/>
  <c r="AS125" i="1"/>
  <c r="AT125" i="1"/>
  <c r="AU125" i="1"/>
  <c r="AV125" i="1"/>
  <c r="AW125" i="1"/>
  <c r="AX125" i="1"/>
  <c r="AY125" i="1"/>
  <c r="AZ125" i="1"/>
  <c r="BA125" i="1"/>
  <c r="B126" i="1"/>
  <c r="C126" i="1"/>
  <c r="D126" i="1"/>
  <c r="E126" i="1"/>
  <c r="F126" i="1"/>
  <c r="G126" i="1"/>
  <c r="H126" i="1"/>
  <c r="I126" i="1"/>
  <c r="J126" i="1"/>
  <c r="K126" i="1"/>
  <c r="L126" i="1"/>
  <c r="M126" i="1"/>
  <c r="N126" i="1"/>
  <c r="O126" i="1"/>
  <c r="Q126" i="1"/>
  <c r="R126" i="1"/>
  <c r="U126" i="1"/>
  <c r="V126" i="1"/>
  <c r="W126" i="1"/>
  <c r="X126" i="1"/>
  <c r="Y126" i="1"/>
  <c r="AB126" i="1"/>
  <c r="AC126" i="1"/>
  <c r="AD126" i="1"/>
  <c r="AE126" i="1"/>
  <c r="AF126" i="1"/>
  <c r="AG126" i="1"/>
  <c r="AH126" i="1"/>
  <c r="AI126" i="1"/>
  <c r="AJ126" i="1"/>
  <c r="AK126" i="1"/>
  <c r="AL126" i="1"/>
  <c r="AN126" i="1"/>
  <c r="AO126" i="1"/>
  <c r="AP126" i="1"/>
  <c r="AQ126" i="1"/>
  <c r="AS126" i="1"/>
  <c r="AT126" i="1"/>
  <c r="AU126" i="1"/>
  <c r="AV126" i="1"/>
  <c r="AW126" i="1"/>
  <c r="AX126" i="1"/>
  <c r="AY126" i="1"/>
  <c r="AZ126" i="1"/>
  <c r="BA126" i="1"/>
  <c r="B127" i="1"/>
  <c r="C127" i="1"/>
  <c r="D127" i="1"/>
  <c r="E127" i="1"/>
  <c r="F127" i="1"/>
  <c r="G127" i="1"/>
  <c r="H127" i="1"/>
  <c r="I127" i="1"/>
  <c r="J127" i="1"/>
  <c r="K127" i="1"/>
  <c r="L127" i="1"/>
  <c r="M127" i="1"/>
  <c r="N127" i="1"/>
  <c r="O127" i="1"/>
  <c r="Q127" i="1"/>
  <c r="R127" i="1"/>
  <c r="U127" i="1"/>
  <c r="V127" i="1"/>
  <c r="W127" i="1"/>
  <c r="X127" i="1"/>
  <c r="Y127" i="1"/>
  <c r="AB127" i="1"/>
  <c r="AC127" i="1"/>
  <c r="AD127" i="1"/>
  <c r="AE127" i="1"/>
  <c r="AF127" i="1"/>
  <c r="AG127" i="1"/>
  <c r="AH127" i="1"/>
  <c r="AI127" i="1"/>
  <c r="AJ127" i="1"/>
  <c r="AK127" i="1"/>
  <c r="AL127" i="1"/>
  <c r="AN127" i="1"/>
  <c r="AO127" i="1"/>
  <c r="AP127" i="1"/>
  <c r="AQ127" i="1"/>
  <c r="AS127" i="1"/>
  <c r="AT127" i="1"/>
  <c r="AU127" i="1"/>
  <c r="AV127" i="1"/>
  <c r="AW127" i="1"/>
  <c r="AX127" i="1"/>
  <c r="AY127" i="1"/>
  <c r="AZ127" i="1"/>
  <c r="BA127" i="1"/>
  <c r="B128" i="1"/>
  <c r="C128" i="1"/>
  <c r="D128" i="1"/>
  <c r="E128" i="1"/>
  <c r="F128" i="1"/>
  <c r="G128" i="1"/>
  <c r="H128" i="1"/>
  <c r="I128" i="1"/>
  <c r="J128" i="1"/>
  <c r="K128" i="1"/>
  <c r="L128" i="1"/>
  <c r="M128" i="1"/>
  <c r="N128" i="1"/>
  <c r="O128" i="1"/>
  <c r="Q128" i="1"/>
  <c r="R128" i="1"/>
  <c r="U128" i="1"/>
  <c r="V128" i="1"/>
  <c r="W128" i="1"/>
  <c r="X128" i="1"/>
  <c r="Y128" i="1"/>
  <c r="AB128" i="1"/>
  <c r="AC128" i="1"/>
  <c r="AD128" i="1"/>
  <c r="AE128" i="1"/>
  <c r="AF128" i="1"/>
  <c r="AG128" i="1"/>
  <c r="AH128" i="1"/>
  <c r="AI128" i="1"/>
  <c r="AJ128" i="1"/>
  <c r="AK128" i="1"/>
  <c r="AL128" i="1"/>
  <c r="AN128" i="1"/>
  <c r="AO128" i="1"/>
  <c r="AP128" i="1"/>
  <c r="AQ128" i="1"/>
  <c r="AS128" i="1"/>
  <c r="AT128" i="1"/>
  <c r="AU128" i="1"/>
  <c r="AV128" i="1"/>
  <c r="AW128" i="1"/>
  <c r="AX128" i="1"/>
  <c r="AY128" i="1"/>
  <c r="AZ128" i="1"/>
  <c r="BA128" i="1"/>
  <c r="B129" i="1"/>
  <c r="C129" i="1"/>
  <c r="D129" i="1"/>
  <c r="E129" i="1"/>
  <c r="F129" i="1"/>
  <c r="G129" i="1"/>
  <c r="H129" i="1"/>
  <c r="I129" i="1"/>
  <c r="J129" i="1"/>
  <c r="K129" i="1"/>
  <c r="L129" i="1"/>
  <c r="M129" i="1"/>
  <c r="N129" i="1"/>
  <c r="O129" i="1"/>
  <c r="Q129" i="1"/>
  <c r="R129" i="1"/>
  <c r="U129" i="1"/>
  <c r="V129" i="1"/>
  <c r="W129" i="1"/>
  <c r="X129" i="1"/>
  <c r="Y129" i="1"/>
  <c r="AB129" i="1"/>
  <c r="AC129" i="1"/>
  <c r="AD129" i="1"/>
  <c r="AE129" i="1"/>
  <c r="AF129" i="1"/>
  <c r="AG129" i="1"/>
  <c r="AH129" i="1"/>
  <c r="AI129" i="1"/>
  <c r="AJ129" i="1"/>
  <c r="AK129" i="1"/>
  <c r="AL129" i="1"/>
  <c r="AN129" i="1"/>
  <c r="AO129" i="1"/>
  <c r="AP129" i="1"/>
  <c r="AQ129" i="1"/>
  <c r="AS129" i="1"/>
  <c r="AT129" i="1"/>
  <c r="AU129" i="1"/>
  <c r="AV129" i="1"/>
  <c r="AW129" i="1"/>
  <c r="AX129" i="1"/>
  <c r="AY129" i="1"/>
  <c r="AZ129" i="1"/>
  <c r="BA129" i="1"/>
  <c r="B130" i="1"/>
  <c r="C130" i="1"/>
  <c r="D130" i="1"/>
  <c r="E130" i="1"/>
  <c r="F130" i="1"/>
  <c r="G130" i="1"/>
  <c r="H130" i="1"/>
  <c r="I130" i="1"/>
  <c r="J130" i="1"/>
  <c r="K130" i="1"/>
  <c r="L130" i="1"/>
  <c r="M130" i="1"/>
  <c r="N130" i="1"/>
  <c r="O130" i="1"/>
  <c r="Q130" i="1"/>
  <c r="R130" i="1"/>
  <c r="U130" i="1"/>
  <c r="V130" i="1"/>
  <c r="W130" i="1"/>
  <c r="X130" i="1"/>
  <c r="Y130" i="1"/>
  <c r="AB130" i="1"/>
  <c r="AC130" i="1"/>
  <c r="AD130" i="1"/>
  <c r="AE130" i="1"/>
  <c r="AF130" i="1"/>
  <c r="AG130" i="1"/>
  <c r="AH130" i="1"/>
  <c r="AI130" i="1"/>
  <c r="AJ130" i="1"/>
  <c r="AK130" i="1"/>
  <c r="AL130" i="1"/>
  <c r="AN130" i="1"/>
  <c r="AO130" i="1"/>
  <c r="AP130" i="1"/>
  <c r="AQ130" i="1"/>
  <c r="AS130" i="1"/>
  <c r="AT130" i="1"/>
  <c r="AU130" i="1"/>
  <c r="AV130" i="1"/>
  <c r="AW130" i="1"/>
  <c r="AX130" i="1"/>
  <c r="AY130" i="1"/>
  <c r="AZ130" i="1"/>
  <c r="BA130" i="1"/>
  <c r="B131" i="1"/>
  <c r="C131" i="1"/>
  <c r="D131" i="1"/>
  <c r="E131" i="1"/>
  <c r="F131" i="1"/>
  <c r="G131" i="1"/>
  <c r="H131" i="1"/>
  <c r="I131" i="1"/>
  <c r="J131" i="1"/>
  <c r="K131" i="1"/>
  <c r="L131" i="1"/>
  <c r="M131" i="1"/>
  <c r="N131" i="1"/>
  <c r="O131" i="1"/>
  <c r="Q131" i="1"/>
  <c r="R131" i="1"/>
  <c r="U131" i="1"/>
  <c r="V131" i="1"/>
  <c r="W131" i="1"/>
  <c r="X131" i="1"/>
  <c r="Y131" i="1"/>
  <c r="AB131" i="1"/>
  <c r="AC131" i="1"/>
  <c r="AD131" i="1"/>
  <c r="AE131" i="1"/>
  <c r="AF131" i="1"/>
  <c r="AG131" i="1"/>
  <c r="AH131" i="1"/>
  <c r="AI131" i="1"/>
  <c r="AJ131" i="1"/>
  <c r="AK131" i="1"/>
  <c r="AL131" i="1"/>
  <c r="AN131" i="1"/>
  <c r="AO131" i="1"/>
  <c r="AP131" i="1"/>
  <c r="AQ131" i="1"/>
  <c r="AS131" i="1"/>
  <c r="AT131" i="1"/>
  <c r="AU131" i="1"/>
  <c r="AV131" i="1"/>
  <c r="AW131" i="1"/>
  <c r="AX131" i="1"/>
  <c r="AY131" i="1"/>
  <c r="AZ131" i="1"/>
  <c r="BA131" i="1"/>
  <c r="B132" i="1"/>
  <c r="C132" i="1"/>
  <c r="D132" i="1"/>
  <c r="E132" i="1"/>
  <c r="F132" i="1"/>
  <c r="G132" i="1"/>
  <c r="H132" i="1"/>
  <c r="I132" i="1"/>
  <c r="J132" i="1"/>
  <c r="K132" i="1"/>
  <c r="L132" i="1"/>
  <c r="M132" i="1"/>
  <c r="N132" i="1"/>
  <c r="O132" i="1"/>
  <c r="Q132" i="1"/>
  <c r="R132" i="1"/>
  <c r="U132" i="1"/>
  <c r="V132" i="1"/>
  <c r="W132" i="1"/>
  <c r="X132" i="1"/>
  <c r="Y132" i="1"/>
  <c r="AB132" i="1"/>
  <c r="AC132" i="1"/>
  <c r="AD132" i="1"/>
  <c r="AE132" i="1"/>
  <c r="AF132" i="1"/>
  <c r="AG132" i="1"/>
  <c r="AH132" i="1"/>
  <c r="AI132" i="1"/>
  <c r="AJ132" i="1"/>
  <c r="AK132" i="1"/>
  <c r="AL132" i="1"/>
  <c r="AN132" i="1"/>
  <c r="AO132" i="1"/>
  <c r="AP132" i="1"/>
  <c r="AQ132" i="1"/>
  <c r="AS132" i="1"/>
  <c r="AT132" i="1"/>
  <c r="AU132" i="1"/>
  <c r="AV132" i="1"/>
  <c r="AW132" i="1"/>
  <c r="AX132" i="1"/>
  <c r="AY132" i="1"/>
  <c r="AZ132" i="1"/>
  <c r="BA132" i="1"/>
  <c r="B133" i="1"/>
  <c r="C133" i="1"/>
  <c r="D133" i="1"/>
  <c r="E133" i="1"/>
  <c r="F133" i="1"/>
  <c r="G133" i="1"/>
  <c r="H133" i="1"/>
  <c r="I133" i="1"/>
  <c r="J133" i="1"/>
  <c r="K133" i="1"/>
  <c r="L133" i="1"/>
  <c r="M133" i="1"/>
  <c r="N133" i="1"/>
  <c r="O133" i="1"/>
  <c r="Q133" i="1"/>
  <c r="R133" i="1"/>
  <c r="U133" i="1"/>
  <c r="V133" i="1"/>
  <c r="W133" i="1"/>
  <c r="X133" i="1"/>
  <c r="Y133" i="1"/>
  <c r="AB133" i="1"/>
  <c r="AC133" i="1"/>
  <c r="AD133" i="1"/>
  <c r="AE133" i="1"/>
  <c r="AF133" i="1"/>
  <c r="AG133" i="1"/>
  <c r="AH133" i="1"/>
  <c r="AI133" i="1"/>
  <c r="AJ133" i="1"/>
  <c r="AK133" i="1"/>
  <c r="AL133" i="1"/>
  <c r="AN133" i="1"/>
  <c r="AO133" i="1"/>
  <c r="AP133" i="1"/>
  <c r="AQ133" i="1"/>
  <c r="AS133" i="1"/>
  <c r="AT133" i="1"/>
  <c r="AU133" i="1"/>
  <c r="AV133" i="1"/>
  <c r="AW133" i="1"/>
  <c r="AX133" i="1"/>
  <c r="AY133" i="1"/>
  <c r="AZ133" i="1"/>
  <c r="BA133" i="1"/>
  <c r="B134" i="1"/>
  <c r="C134" i="1"/>
  <c r="D134" i="1"/>
  <c r="E134" i="1"/>
  <c r="F134" i="1"/>
  <c r="G134" i="1"/>
  <c r="H134" i="1"/>
  <c r="I134" i="1"/>
  <c r="J134" i="1"/>
  <c r="K134" i="1"/>
  <c r="L134" i="1"/>
  <c r="M134" i="1"/>
  <c r="N134" i="1"/>
  <c r="O134" i="1"/>
  <c r="Q134" i="1"/>
  <c r="R134" i="1"/>
  <c r="U134" i="1"/>
  <c r="V134" i="1"/>
  <c r="W134" i="1"/>
  <c r="X134" i="1"/>
  <c r="Y134" i="1"/>
  <c r="AB134" i="1"/>
  <c r="AC134" i="1"/>
  <c r="AD134" i="1"/>
  <c r="AE134" i="1"/>
  <c r="AF134" i="1"/>
  <c r="AG134" i="1"/>
  <c r="AH134" i="1"/>
  <c r="AI134" i="1"/>
  <c r="AJ134" i="1"/>
  <c r="AK134" i="1"/>
  <c r="AL134" i="1"/>
  <c r="AN134" i="1"/>
  <c r="AO134" i="1"/>
  <c r="AP134" i="1"/>
  <c r="AQ134" i="1"/>
  <c r="AS134" i="1"/>
  <c r="AT134" i="1"/>
  <c r="AU134" i="1"/>
  <c r="AV134" i="1"/>
  <c r="AW134" i="1"/>
  <c r="AX134" i="1"/>
  <c r="AY134" i="1"/>
  <c r="AZ134" i="1"/>
  <c r="BA134" i="1"/>
  <c r="B135" i="1"/>
  <c r="C135" i="1"/>
  <c r="D135" i="1"/>
  <c r="E135" i="1"/>
  <c r="F135" i="1"/>
  <c r="G135" i="1"/>
  <c r="H135" i="1"/>
  <c r="I135" i="1"/>
  <c r="J135" i="1"/>
  <c r="K135" i="1"/>
  <c r="L135" i="1"/>
  <c r="M135" i="1"/>
  <c r="N135" i="1"/>
  <c r="O135" i="1"/>
  <c r="Q135" i="1"/>
  <c r="R135" i="1"/>
  <c r="U135" i="1"/>
  <c r="V135" i="1"/>
  <c r="W135" i="1"/>
  <c r="X135" i="1"/>
  <c r="Y135" i="1"/>
  <c r="AB135" i="1"/>
  <c r="AC135" i="1"/>
  <c r="AD135" i="1"/>
  <c r="AE135" i="1"/>
  <c r="AF135" i="1"/>
  <c r="AG135" i="1"/>
  <c r="AH135" i="1"/>
  <c r="AI135" i="1"/>
  <c r="AJ135" i="1"/>
  <c r="AK135" i="1"/>
  <c r="AL135" i="1"/>
  <c r="AN135" i="1"/>
  <c r="AO135" i="1"/>
  <c r="AP135" i="1"/>
  <c r="AQ135" i="1"/>
  <c r="AS135" i="1"/>
  <c r="AT135" i="1"/>
  <c r="AU135" i="1"/>
  <c r="AV135" i="1"/>
  <c r="AW135" i="1"/>
  <c r="AX135" i="1"/>
  <c r="AY135" i="1"/>
  <c r="AZ135" i="1"/>
  <c r="BA135" i="1"/>
  <c r="B136" i="1"/>
  <c r="C136" i="1"/>
  <c r="D136" i="1"/>
  <c r="E136" i="1"/>
  <c r="F136" i="1"/>
  <c r="G136" i="1"/>
  <c r="H136" i="1"/>
  <c r="I136" i="1"/>
  <c r="J136" i="1"/>
  <c r="K136" i="1"/>
  <c r="L136" i="1"/>
  <c r="M136" i="1"/>
  <c r="N136" i="1"/>
  <c r="O136" i="1"/>
  <c r="Q136" i="1"/>
  <c r="R136" i="1"/>
  <c r="U136" i="1"/>
  <c r="V136" i="1"/>
  <c r="W136" i="1"/>
  <c r="X136" i="1"/>
  <c r="Y136" i="1"/>
  <c r="AB136" i="1"/>
  <c r="AC136" i="1"/>
  <c r="AD136" i="1"/>
  <c r="AE136" i="1"/>
  <c r="AF136" i="1"/>
  <c r="AG136" i="1"/>
  <c r="AH136" i="1"/>
  <c r="AI136" i="1"/>
  <c r="AJ136" i="1"/>
  <c r="AK136" i="1"/>
  <c r="AL136" i="1"/>
  <c r="AN136" i="1"/>
  <c r="AO136" i="1"/>
  <c r="AP136" i="1"/>
  <c r="AQ136" i="1"/>
  <c r="AS136" i="1"/>
  <c r="AT136" i="1"/>
  <c r="AU136" i="1"/>
  <c r="AV136" i="1"/>
  <c r="AW136" i="1"/>
  <c r="AX136" i="1"/>
  <c r="AY136" i="1"/>
  <c r="AZ136" i="1"/>
  <c r="BA136" i="1"/>
  <c r="B137" i="1"/>
  <c r="C137" i="1"/>
  <c r="D137" i="1"/>
  <c r="E137" i="1"/>
  <c r="F137" i="1"/>
  <c r="G137" i="1"/>
  <c r="H137" i="1"/>
  <c r="I137" i="1"/>
  <c r="J137" i="1"/>
  <c r="K137" i="1"/>
  <c r="L137" i="1"/>
  <c r="M137" i="1"/>
  <c r="N137" i="1"/>
  <c r="O137" i="1"/>
  <c r="Q137" i="1"/>
  <c r="R137" i="1"/>
  <c r="U137" i="1"/>
  <c r="V137" i="1"/>
  <c r="W137" i="1"/>
  <c r="X137" i="1"/>
  <c r="Y137" i="1"/>
  <c r="AB137" i="1"/>
  <c r="AC137" i="1"/>
  <c r="AD137" i="1"/>
  <c r="AE137" i="1"/>
  <c r="AF137" i="1"/>
  <c r="AG137" i="1"/>
  <c r="AH137" i="1"/>
  <c r="AI137" i="1"/>
  <c r="AJ137" i="1"/>
  <c r="AK137" i="1"/>
  <c r="AL137" i="1"/>
  <c r="AN137" i="1"/>
  <c r="AO137" i="1"/>
  <c r="AP137" i="1"/>
  <c r="AQ137" i="1"/>
  <c r="AS137" i="1"/>
  <c r="AT137" i="1"/>
  <c r="AU137" i="1"/>
  <c r="AV137" i="1"/>
  <c r="AW137" i="1"/>
  <c r="AX137" i="1"/>
  <c r="AY137" i="1"/>
  <c r="AZ137" i="1"/>
  <c r="BA137" i="1"/>
  <c r="B138" i="1"/>
  <c r="C138" i="1"/>
  <c r="D138" i="1"/>
  <c r="E138" i="1"/>
  <c r="F138" i="1"/>
  <c r="G138" i="1"/>
  <c r="H138" i="1"/>
  <c r="I138" i="1"/>
  <c r="J138" i="1"/>
  <c r="K138" i="1"/>
  <c r="L138" i="1"/>
  <c r="M138" i="1"/>
  <c r="N138" i="1"/>
  <c r="O138" i="1"/>
  <c r="Q138" i="1"/>
  <c r="R138" i="1"/>
  <c r="U138" i="1"/>
  <c r="V138" i="1"/>
  <c r="W138" i="1"/>
  <c r="X138" i="1"/>
  <c r="Y138" i="1"/>
  <c r="AB138" i="1"/>
  <c r="AC138" i="1"/>
  <c r="AD138" i="1"/>
  <c r="AE138" i="1"/>
  <c r="AF138" i="1"/>
  <c r="AG138" i="1"/>
  <c r="AH138" i="1"/>
  <c r="AI138" i="1"/>
  <c r="AJ138" i="1"/>
  <c r="AK138" i="1"/>
  <c r="AL138" i="1"/>
  <c r="AN138" i="1"/>
  <c r="AO138" i="1"/>
  <c r="AP138" i="1"/>
  <c r="AQ138" i="1"/>
  <c r="AS138" i="1"/>
  <c r="AT138" i="1"/>
  <c r="AU138" i="1"/>
  <c r="AV138" i="1"/>
  <c r="AW138" i="1"/>
  <c r="AX138" i="1"/>
  <c r="AY138" i="1"/>
  <c r="AZ138" i="1"/>
  <c r="BA138" i="1"/>
  <c r="B139" i="1"/>
  <c r="C139" i="1"/>
  <c r="D139" i="1"/>
  <c r="E139" i="1"/>
  <c r="F139" i="1"/>
  <c r="G139" i="1"/>
  <c r="H139" i="1"/>
  <c r="I139" i="1"/>
  <c r="J139" i="1"/>
  <c r="K139" i="1"/>
  <c r="L139" i="1"/>
  <c r="M139" i="1"/>
  <c r="N139" i="1"/>
  <c r="O139" i="1"/>
  <c r="Q139" i="1"/>
  <c r="R139" i="1"/>
  <c r="U139" i="1"/>
  <c r="V139" i="1"/>
  <c r="W139" i="1"/>
  <c r="X139" i="1"/>
  <c r="Y139" i="1"/>
  <c r="AB139" i="1"/>
  <c r="AC139" i="1"/>
  <c r="AD139" i="1"/>
  <c r="AE139" i="1"/>
  <c r="AF139" i="1"/>
  <c r="AG139" i="1"/>
  <c r="AH139" i="1"/>
  <c r="AI139" i="1"/>
  <c r="AJ139" i="1"/>
  <c r="AK139" i="1"/>
  <c r="AL139" i="1"/>
  <c r="AN139" i="1"/>
  <c r="AO139" i="1"/>
  <c r="AP139" i="1"/>
  <c r="AQ139" i="1"/>
  <c r="AS139" i="1"/>
  <c r="AT139" i="1"/>
  <c r="AU139" i="1"/>
  <c r="AV139" i="1"/>
  <c r="AW139" i="1"/>
  <c r="AX139" i="1"/>
  <c r="AY139" i="1"/>
  <c r="AZ139" i="1"/>
  <c r="BA139" i="1"/>
  <c r="B140" i="1"/>
  <c r="C140" i="1"/>
  <c r="D140" i="1"/>
  <c r="E140" i="1"/>
  <c r="F140" i="1"/>
  <c r="G140" i="1"/>
  <c r="H140" i="1"/>
  <c r="I140" i="1"/>
  <c r="J140" i="1"/>
  <c r="K140" i="1"/>
  <c r="L140" i="1"/>
  <c r="M140" i="1"/>
  <c r="N140" i="1"/>
  <c r="O140" i="1"/>
  <c r="Q140" i="1"/>
  <c r="R140" i="1"/>
  <c r="U140" i="1"/>
  <c r="V140" i="1"/>
  <c r="W140" i="1"/>
  <c r="X140" i="1"/>
  <c r="Y140" i="1"/>
  <c r="AB140" i="1"/>
  <c r="AC140" i="1"/>
  <c r="AD140" i="1"/>
  <c r="AE140" i="1"/>
  <c r="AF140" i="1"/>
  <c r="AG140" i="1"/>
  <c r="AH140" i="1"/>
  <c r="AI140" i="1"/>
  <c r="AJ140" i="1"/>
  <c r="AK140" i="1"/>
  <c r="AL140" i="1"/>
  <c r="AN140" i="1"/>
  <c r="AO140" i="1"/>
  <c r="AP140" i="1"/>
  <c r="AQ140" i="1"/>
  <c r="AS140" i="1"/>
  <c r="AT140" i="1"/>
  <c r="AU140" i="1"/>
  <c r="AV140" i="1"/>
  <c r="AW140" i="1"/>
  <c r="AX140" i="1"/>
  <c r="AY140" i="1"/>
  <c r="AZ140" i="1"/>
  <c r="BA140" i="1"/>
  <c r="B141" i="1"/>
  <c r="C141" i="1"/>
  <c r="D141" i="1"/>
  <c r="E141" i="1"/>
  <c r="F141" i="1"/>
  <c r="G141" i="1"/>
  <c r="H141" i="1"/>
  <c r="I141" i="1"/>
  <c r="J141" i="1"/>
  <c r="K141" i="1"/>
  <c r="L141" i="1"/>
  <c r="M141" i="1"/>
  <c r="N141" i="1"/>
  <c r="O141" i="1"/>
  <c r="Q141" i="1"/>
  <c r="R141" i="1"/>
  <c r="U141" i="1"/>
  <c r="V141" i="1"/>
  <c r="W141" i="1"/>
  <c r="X141" i="1"/>
  <c r="Y141" i="1"/>
  <c r="AB141" i="1"/>
  <c r="AC141" i="1"/>
  <c r="AD141" i="1"/>
  <c r="AE141" i="1"/>
  <c r="AF141" i="1"/>
  <c r="AG141" i="1"/>
  <c r="AH141" i="1"/>
  <c r="AI141" i="1"/>
  <c r="AJ141" i="1"/>
  <c r="AK141" i="1"/>
  <c r="AL141" i="1"/>
  <c r="AN141" i="1"/>
  <c r="AO141" i="1"/>
  <c r="AP141" i="1"/>
  <c r="AQ141" i="1"/>
  <c r="AS141" i="1"/>
  <c r="AT141" i="1"/>
  <c r="AU141" i="1"/>
  <c r="AV141" i="1"/>
  <c r="AW141" i="1"/>
  <c r="AX141" i="1"/>
  <c r="AY141" i="1"/>
  <c r="AZ141" i="1"/>
  <c r="BA141" i="1"/>
  <c r="B142" i="1"/>
  <c r="C142" i="1"/>
  <c r="D142" i="1"/>
  <c r="E142" i="1"/>
  <c r="F142" i="1"/>
  <c r="G142" i="1"/>
  <c r="H142" i="1"/>
  <c r="I142" i="1"/>
  <c r="J142" i="1"/>
  <c r="K142" i="1"/>
  <c r="L142" i="1"/>
  <c r="M142" i="1"/>
  <c r="N142" i="1"/>
  <c r="O142" i="1"/>
  <c r="Q142" i="1"/>
  <c r="R142" i="1"/>
  <c r="U142" i="1"/>
  <c r="V142" i="1"/>
  <c r="W142" i="1"/>
  <c r="X142" i="1"/>
  <c r="Y142" i="1"/>
  <c r="AB142" i="1"/>
  <c r="AC142" i="1"/>
  <c r="AD142" i="1"/>
  <c r="AE142" i="1"/>
  <c r="AF142" i="1"/>
  <c r="AG142" i="1"/>
  <c r="AH142" i="1"/>
  <c r="AI142" i="1"/>
  <c r="AJ142" i="1"/>
  <c r="AK142" i="1"/>
  <c r="AL142" i="1"/>
  <c r="AN142" i="1"/>
  <c r="AO142" i="1"/>
  <c r="AP142" i="1"/>
  <c r="AQ142" i="1"/>
  <c r="AS142" i="1"/>
  <c r="AT142" i="1"/>
  <c r="AU142" i="1"/>
  <c r="AV142" i="1"/>
  <c r="AW142" i="1"/>
  <c r="AX142" i="1"/>
  <c r="AY142" i="1"/>
  <c r="AZ142" i="1"/>
  <c r="BA142" i="1"/>
  <c r="B143" i="1"/>
  <c r="C143" i="1"/>
  <c r="D143" i="1"/>
  <c r="E143" i="1"/>
  <c r="F143" i="1"/>
  <c r="G143" i="1"/>
  <c r="H143" i="1"/>
  <c r="I143" i="1"/>
  <c r="J143" i="1"/>
  <c r="K143" i="1"/>
  <c r="L143" i="1"/>
  <c r="M143" i="1"/>
  <c r="N143" i="1"/>
  <c r="O143" i="1"/>
  <c r="Q143" i="1"/>
  <c r="R143" i="1"/>
  <c r="U143" i="1"/>
  <c r="V143" i="1"/>
  <c r="W143" i="1"/>
  <c r="X143" i="1"/>
  <c r="Y143" i="1"/>
  <c r="AB143" i="1"/>
  <c r="AC143" i="1"/>
  <c r="AD143" i="1"/>
  <c r="AE143" i="1"/>
  <c r="AF143" i="1"/>
  <c r="AG143" i="1"/>
  <c r="AH143" i="1"/>
  <c r="AI143" i="1"/>
  <c r="AJ143" i="1"/>
  <c r="AK143" i="1"/>
  <c r="AL143" i="1"/>
  <c r="AN143" i="1"/>
  <c r="AO143" i="1"/>
  <c r="AP143" i="1"/>
  <c r="AQ143" i="1"/>
  <c r="AS143" i="1"/>
  <c r="AT143" i="1"/>
  <c r="AU143" i="1"/>
  <c r="AV143" i="1"/>
  <c r="AW143" i="1"/>
  <c r="AX143" i="1"/>
  <c r="AY143" i="1"/>
  <c r="AZ143" i="1"/>
  <c r="BA143" i="1"/>
  <c r="B144" i="1"/>
  <c r="C144" i="1"/>
  <c r="D144" i="1"/>
  <c r="E144" i="1"/>
  <c r="F144" i="1"/>
  <c r="G144" i="1"/>
  <c r="H144" i="1"/>
  <c r="I144" i="1"/>
  <c r="J144" i="1"/>
  <c r="K144" i="1"/>
  <c r="L144" i="1"/>
  <c r="M144" i="1"/>
  <c r="N144" i="1"/>
  <c r="O144" i="1"/>
  <c r="Q144" i="1"/>
  <c r="R144" i="1"/>
  <c r="U144" i="1"/>
  <c r="V144" i="1"/>
  <c r="W144" i="1"/>
  <c r="X144" i="1"/>
  <c r="Y144" i="1"/>
  <c r="AB144" i="1"/>
  <c r="AC144" i="1"/>
  <c r="AD144" i="1"/>
  <c r="AE144" i="1"/>
  <c r="AF144" i="1"/>
  <c r="AG144" i="1"/>
  <c r="AH144" i="1"/>
  <c r="AI144" i="1"/>
  <c r="AJ144" i="1"/>
  <c r="AK144" i="1"/>
  <c r="AL144" i="1"/>
  <c r="AN144" i="1"/>
  <c r="AO144" i="1"/>
  <c r="AP144" i="1"/>
  <c r="AQ144" i="1"/>
  <c r="AS144" i="1"/>
  <c r="AT144" i="1"/>
  <c r="AU144" i="1"/>
  <c r="AV144" i="1"/>
  <c r="AW144" i="1"/>
  <c r="AX144" i="1"/>
  <c r="AY144" i="1"/>
  <c r="AZ144" i="1"/>
  <c r="BA144" i="1"/>
  <c r="B145" i="1"/>
  <c r="C145" i="1"/>
  <c r="D145" i="1"/>
  <c r="E145" i="1"/>
  <c r="F145" i="1"/>
  <c r="G145" i="1"/>
  <c r="H145" i="1"/>
  <c r="I145" i="1"/>
  <c r="J145" i="1"/>
  <c r="K145" i="1"/>
  <c r="L145" i="1"/>
  <c r="M145" i="1"/>
  <c r="N145" i="1"/>
  <c r="O145" i="1"/>
  <c r="Q145" i="1"/>
  <c r="R145" i="1"/>
  <c r="U145" i="1"/>
  <c r="V145" i="1"/>
  <c r="W145" i="1"/>
  <c r="X145" i="1"/>
  <c r="Y145" i="1"/>
  <c r="AB145" i="1"/>
  <c r="AC145" i="1"/>
  <c r="AD145" i="1"/>
  <c r="AE145" i="1"/>
  <c r="AF145" i="1"/>
  <c r="AG145" i="1"/>
  <c r="AH145" i="1"/>
  <c r="AI145" i="1"/>
  <c r="AJ145" i="1"/>
  <c r="AK145" i="1"/>
  <c r="AL145" i="1"/>
  <c r="AN145" i="1"/>
  <c r="AO145" i="1"/>
  <c r="AP145" i="1"/>
  <c r="AQ145" i="1"/>
  <c r="AS145" i="1"/>
  <c r="AT145" i="1"/>
  <c r="AU145" i="1"/>
  <c r="AV145" i="1"/>
  <c r="AW145" i="1"/>
  <c r="AX145" i="1"/>
  <c r="AY145" i="1"/>
  <c r="AZ145" i="1"/>
  <c r="BA145" i="1"/>
  <c r="B146" i="1"/>
  <c r="C146" i="1"/>
  <c r="D146" i="1"/>
  <c r="E146" i="1"/>
  <c r="F146" i="1"/>
  <c r="G146" i="1"/>
  <c r="H146" i="1"/>
  <c r="I146" i="1"/>
  <c r="J146" i="1"/>
  <c r="K146" i="1"/>
  <c r="L146" i="1"/>
  <c r="M146" i="1"/>
  <c r="N146" i="1"/>
  <c r="O146" i="1"/>
  <c r="Q146" i="1"/>
  <c r="R146" i="1"/>
  <c r="U146" i="1"/>
  <c r="V146" i="1"/>
  <c r="W146" i="1"/>
  <c r="X146" i="1"/>
  <c r="Y146" i="1"/>
  <c r="AB146" i="1"/>
  <c r="AC146" i="1"/>
  <c r="AD146" i="1"/>
  <c r="AE146" i="1"/>
  <c r="AF146" i="1"/>
  <c r="AG146" i="1"/>
  <c r="AH146" i="1"/>
  <c r="AI146" i="1"/>
  <c r="AJ146" i="1"/>
  <c r="AK146" i="1"/>
  <c r="AL146" i="1"/>
  <c r="AN146" i="1"/>
  <c r="AO146" i="1"/>
  <c r="AP146" i="1"/>
  <c r="AQ146" i="1"/>
  <c r="AS146" i="1"/>
  <c r="AT146" i="1"/>
  <c r="AU146" i="1"/>
  <c r="AV146" i="1"/>
  <c r="AW146" i="1"/>
  <c r="AX146" i="1"/>
  <c r="AY146" i="1"/>
  <c r="AZ146" i="1"/>
  <c r="BA146" i="1"/>
  <c r="B147" i="1"/>
  <c r="C147" i="1"/>
  <c r="D147" i="1"/>
  <c r="E147" i="1"/>
  <c r="F147" i="1"/>
  <c r="G147" i="1"/>
  <c r="H147" i="1"/>
  <c r="I147" i="1"/>
  <c r="J147" i="1"/>
  <c r="K147" i="1"/>
  <c r="L147" i="1"/>
  <c r="M147" i="1"/>
  <c r="N147" i="1"/>
  <c r="O147" i="1"/>
  <c r="Q147" i="1"/>
  <c r="R147" i="1"/>
  <c r="U147" i="1"/>
  <c r="V147" i="1"/>
  <c r="W147" i="1"/>
  <c r="X147" i="1"/>
  <c r="Y147" i="1"/>
  <c r="AB147" i="1"/>
  <c r="AC147" i="1"/>
  <c r="AD147" i="1"/>
  <c r="AE147" i="1"/>
  <c r="AF147" i="1"/>
  <c r="AG147" i="1"/>
  <c r="AH147" i="1"/>
  <c r="AI147" i="1"/>
  <c r="AJ147" i="1"/>
  <c r="AK147" i="1"/>
  <c r="AL147" i="1"/>
  <c r="AN147" i="1"/>
  <c r="AO147" i="1"/>
  <c r="AP147" i="1"/>
  <c r="AQ147" i="1"/>
  <c r="AS147" i="1"/>
  <c r="AT147" i="1"/>
  <c r="AU147" i="1"/>
  <c r="AV147" i="1"/>
  <c r="AW147" i="1"/>
  <c r="AX147" i="1"/>
  <c r="AY147" i="1"/>
  <c r="AZ147" i="1"/>
  <c r="BA147" i="1"/>
  <c r="B148" i="1"/>
  <c r="C148" i="1"/>
  <c r="D148" i="1"/>
  <c r="E148" i="1"/>
  <c r="F148" i="1"/>
  <c r="G148" i="1"/>
  <c r="H148" i="1"/>
  <c r="I148" i="1"/>
  <c r="J148" i="1"/>
  <c r="K148" i="1"/>
  <c r="L148" i="1"/>
  <c r="M148" i="1"/>
  <c r="N148" i="1"/>
  <c r="O148" i="1"/>
  <c r="Q148" i="1"/>
  <c r="R148" i="1"/>
  <c r="U148" i="1"/>
  <c r="V148" i="1"/>
  <c r="W148" i="1"/>
  <c r="X148" i="1"/>
  <c r="Y148" i="1"/>
  <c r="AB148" i="1"/>
  <c r="AC148" i="1"/>
  <c r="AD148" i="1"/>
  <c r="AE148" i="1"/>
  <c r="AF148" i="1"/>
  <c r="AG148" i="1"/>
  <c r="AH148" i="1"/>
  <c r="AI148" i="1"/>
  <c r="AJ148" i="1"/>
  <c r="AK148" i="1"/>
  <c r="AL148" i="1"/>
  <c r="AN148" i="1"/>
  <c r="AO148" i="1"/>
  <c r="AP148" i="1"/>
  <c r="AQ148" i="1"/>
  <c r="AS148" i="1"/>
  <c r="AT148" i="1"/>
  <c r="AU148" i="1"/>
  <c r="AV148" i="1"/>
  <c r="AW148" i="1"/>
  <c r="AX148" i="1"/>
  <c r="AY148" i="1"/>
  <c r="AZ148" i="1"/>
  <c r="BA148" i="1"/>
  <c r="B149" i="1"/>
  <c r="C149" i="1"/>
  <c r="D149" i="1"/>
  <c r="E149" i="1"/>
  <c r="F149" i="1"/>
  <c r="G149" i="1"/>
  <c r="H149" i="1"/>
  <c r="I149" i="1"/>
  <c r="J149" i="1"/>
  <c r="K149" i="1"/>
  <c r="L149" i="1"/>
  <c r="M149" i="1"/>
  <c r="N149" i="1"/>
  <c r="O149" i="1"/>
  <c r="Q149" i="1"/>
  <c r="R149" i="1"/>
  <c r="U149" i="1"/>
  <c r="V149" i="1"/>
  <c r="W149" i="1"/>
  <c r="X149" i="1"/>
  <c r="Y149" i="1"/>
  <c r="AB149" i="1"/>
  <c r="AC149" i="1"/>
  <c r="AD149" i="1"/>
  <c r="AE149" i="1"/>
  <c r="AF149" i="1"/>
  <c r="AG149" i="1"/>
  <c r="AH149" i="1"/>
  <c r="AI149" i="1"/>
  <c r="AJ149" i="1"/>
  <c r="AK149" i="1"/>
  <c r="AL149" i="1"/>
  <c r="AN149" i="1"/>
  <c r="AO149" i="1"/>
  <c r="AP149" i="1"/>
  <c r="AQ149" i="1"/>
  <c r="AS149" i="1"/>
  <c r="AT149" i="1"/>
  <c r="AU149" i="1"/>
  <c r="AV149" i="1"/>
  <c r="AW149" i="1"/>
  <c r="AX149" i="1"/>
  <c r="AY149" i="1"/>
  <c r="AZ149" i="1"/>
  <c r="BA149" i="1"/>
  <c r="B150" i="1"/>
  <c r="C150" i="1"/>
  <c r="D150" i="1"/>
  <c r="E150" i="1"/>
  <c r="F150" i="1"/>
  <c r="G150" i="1"/>
  <c r="H150" i="1"/>
  <c r="I150" i="1"/>
  <c r="J150" i="1"/>
  <c r="K150" i="1"/>
  <c r="L150" i="1"/>
  <c r="M150" i="1"/>
  <c r="N150" i="1"/>
  <c r="O150" i="1"/>
  <c r="Q150" i="1"/>
  <c r="R150" i="1"/>
  <c r="U150" i="1"/>
  <c r="V150" i="1"/>
  <c r="W150" i="1"/>
  <c r="X150" i="1"/>
  <c r="Y150" i="1"/>
  <c r="AB150" i="1"/>
  <c r="AC150" i="1"/>
  <c r="AD150" i="1"/>
  <c r="AE150" i="1"/>
  <c r="AF150" i="1"/>
  <c r="AG150" i="1"/>
  <c r="AH150" i="1"/>
  <c r="AI150" i="1"/>
  <c r="AJ150" i="1"/>
  <c r="AK150" i="1"/>
  <c r="AL150" i="1"/>
  <c r="AN150" i="1"/>
  <c r="AO150" i="1"/>
  <c r="AP150" i="1"/>
  <c r="AQ150" i="1"/>
  <c r="AS150" i="1"/>
  <c r="AT150" i="1"/>
  <c r="AU150" i="1"/>
  <c r="AV150" i="1"/>
  <c r="AW150" i="1"/>
  <c r="AX150" i="1"/>
  <c r="AY150" i="1"/>
  <c r="AZ150" i="1"/>
  <c r="BA150" i="1"/>
  <c r="B151" i="1"/>
  <c r="C151" i="1"/>
  <c r="D151" i="1"/>
  <c r="E151" i="1"/>
  <c r="F151" i="1"/>
  <c r="G151" i="1"/>
  <c r="H151" i="1"/>
  <c r="I151" i="1"/>
  <c r="J151" i="1"/>
  <c r="K151" i="1"/>
  <c r="L151" i="1"/>
  <c r="M151" i="1"/>
  <c r="N151" i="1"/>
  <c r="O151" i="1"/>
  <c r="Q151" i="1"/>
  <c r="R151" i="1"/>
  <c r="U151" i="1"/>
  <c r="V151" i="1"/>
  <c r="W151" i="1"/>
  <c r="X151" i="1"/>
  <c r="Y151" i="1"/>
  <c r="AB151" i="1"/>
  <c r="AC151" i="1"/>
  <c r="AD151" i="1"/>
  <c r="AE151" i="1"/>
  <c r="AF151" i="1"/>
  <c r="AG151" i="1"/>
  <c r="AH151" i="1"/>
  <c r="AI151" i="1"/>
  <c r="AJ151" i="1"/>
  <c r="AK151" i="1"/>
  <c r="AL151" i="1"/>
  <c r="AN151" i="1"/>
  <c r="AO151" i="1"/>
  <c r="AP151" i="1"/>
  <c r="AQ151" i="1"/>
  <c r="AS151" i="1"/>
  <c r="AT151" i="1"/>
  <c r="AU151" i="1"/>
  <c r="AV151" i="1"/>
  <c r="AW151" i="1"/>
  <c r="AX151" i="1"/>
  <c r="AY151" i="1"/>
  <c r="AZ151" i="1"/>
  <c r="BA151" i="1"/>
  <c r="B152" i="1"/>
  <c r="C152" i="1"/>
  <c r="D152" i="1"/>
  <c r="E152" i="1"/>
  <c r="F152" i="1"/>
  <c r="G152" i="1"/>
  <c r="H152" i="1"/>
  <c r="I152" i="1"/>
  <c r="J152" i="1"/>
  <c r="K152" i="1"/>
  <c r="L152" i="1"/>
  <c r="M152" i="1"/>
  <c r="N152" i="1"/>
  <c r="O152" i="1"/>
  <c r="Q152" i="1"/>
  <c r="R152" i="1"/>
  <c r="U152" i="1"/>
  <c r="V152" i="1"/>
  <c r="W152" i="1"/>
  <c r="X152" i="1"/>
  <c r="Y152" i="1"/>
  <c r="AB152" i="1"/>
  <c r="AC152" i="1"/>
  <c r="AD152" i="1"/>
  <c r="AE152" i="1"/>
  <c r="AF152" i="1"/>
  <c r="AG152" i="1"/>
  <c r="AH152" i="1"/>
  <c r="AI152" i="1"/>
  <c r="AJ152" i="1"/>
  <c r="AK152" i="1"/>
  <c r="AL152" i="1"/>
  <c r="AN152" i="1"/>
  <c r="AO152" i="1"/>
  <c r="AP152" i="1"/>
  <c r="AQ152" i="1"/>
  <c r="AS152" i="1"/>
  <c r="AT152" i="1"/>
  <c r="AU152" i="1"/>
  <c r="AV152" i="1"/>
  <c r="AW152" i="1"/>
  <c r="AX152" i="1"/>
  <c r="AY152" i="1"/>
  <c r="AZ152" i="1"/>
  <c r="BA152" i="1"/>
  <c r="B153" i="1"/>
  <c r="C153" i="1"/>
  <c r="D153" i="1"/>
  <c r="E153" i="1"/>
  <c r="F153" i="1"/>
  <c r="G153" i="1"/>
  <c r="H153" i="1"/>
  <c r="I153" i="1"/>
  <c r="J153" i="1"/>
  <c r="K153" i="1"/>
  <c r="L153" i="1"/>
  <c r="M153" i="1"/>
  <c r="N153" i="1"/>
  <c r="O153" i="1"/>
  <c r="Q153" i="1"/>
  <c r="R153" i="1"/>
  <c r="U153" i="1"/>
  <c r="V153" i="1"/>
  <c r="W153" i="1"/>
  <c r="X153" i="1"/>
  <c r="Y153" i="1"/>
  <c r="AB153" i="1"/>
  <c r="AC153" i="1"/>
  <c r="AD153" i="1"/>
  <c r="AE153" i="1"/>
  <c r="AF153" i="1"/>
  <c r="AG153" i="1"/>
  <c r="AH153" i="1"/>
  <c r="AI153" i="1"/>
  <c r="AJ153" i="1"/>
  <c r="AK153" i="1"/>
  <c r="AL153" i="1"/>
  <c r="AN153" i="1"/>
  <c r="AO153" i="1"/>
  <c r="AP153" i="1"/>
  <c r="AQ153" i="1"/>
  <c r="AS153" i="1"/>
  <c r="AT153" i="1"/>
  <c r="AU153" i="1"/>
  <c r="AV153" i="1"/>
  <c r="AW153" i="1"/>
  <c r="AX153" i="1"/>
  <c r="AY153" i="1"/>
  <c r="AZ153" i="1"/>
  <c r="BA153" i="1"/>
  <c r="B154" i="1"/>
  <c r="C154" i="1"/>
  <c r="D154" i="1"/>
  <c r="E154" i="1"/>
  <c r="F154" i="1"/>
  <c r="G154" i="1"/>
  <c r="H154" i="1"/>
  <c r="I154" i="1"/>
  <c r="J154" i="1"/>
  <c r="K154" i="1"/>
  <c r="L154" i="1"/>
  <c r="M154" i="1"/>
  <c r="N154" i="1"/>
  <c r="O154" i="1"/>
  <c r="Q154" i="1"/>
  <c r="R154" i="1"/>
  <c r="U154" i="1"/>
  <c r="V154" i="1"/>
  <c r="W154" i="1"/>
  <c r="X154" i="1"/>
  <c r="Y154" i="1"/>
  <c r="AB154" i="1"/>
  <c r="AC154" i="1"/>
  <c r="AD154" i="1"/>
  <c r="AE154" i="1"/>
  <c r="AF154" i="1"/>
  <c r="AG154" i="1"/>
  <c r="AH154" i="1"/>
  <c r="AI154" i="1"/>
  <c r="AJ154" i="1"/>
  <c r="AK154" i="1"/>
  <c r="AL154" i="1"/>
  <c r="AN154" i="1"/>
  <c r="AO154" i="1"/>
  <c r="AP154" i="1"/>
  <c r="AQ154" i="1"/>
  <c r="AS154" i="1"/>
  <c r="AT154" i="1"/>
  <c r="AU154" i="1"/>
  <c r="AV154" i="1"/>
  <c r="AW154" i="1"/>
  <c r="AX154" i="1"/>
  <c r="AY154" i="1"/>
  <c r="AZ154" i="1"/>
  <c r="BA154" i="1"/>
  <c r="B155" i="1"/>
  <c r="C155" i="1"/>
  <c r="D155" i="1"/>
  <c r="E155" i="1"/>
  <c r="F155" i="1"/>
  <c r="G155" i="1"/>
  <c r="H155" i="1"/>
  <c r="I155" i="1"/>
  <c r="J155" i="1"/>
  <c r="K155" i="1"/>
  <c r="L155" i="1"/>
  <c r="M155" i="1"/>
  <c r="N155" i="1"/>
  <c r="O155" i="1"/>
  <c r="Q155" i="1"/>
  <c r="R155" i="1"/>
  <c r="U155" i="1"/>
  <c r="V155" i="1"/>
  <c r="W155" i="1"/>
  <c r="X155" i="1"/>
  <c r="Y155" i="1"/>
  <c r="AB155" i="1"/>
  <c r="AC155" i="1"/>
  <c r="AD155" i="1"/>
  <c r="AE155" i="1"/>
  <c r="AF155" i="1"/>
  <c r="AG155" i="1"/>
  <c r="AH155" i="1"/>
  <c r="AI155" i="1"/>
  <c r="AJ155" i="1"/>
  <c r="AK155" i="1"/>
  <c r="AL155" i="1"/>
  <c r="AN155" i="1"/>
  <c r="AO155" i="1"/>
  <c r="AP155" i="1"/>
  <c r="AQ155" i="1"/>
  <c r="AR155" i="1"/>
  <c r="AS155" i="1"/>
  <c r="AT155" i="1"/>
  <c r="AU155" i="1"/>
  <c r="AV155" i="1"/>
  <c r="AW155" i="1"/>
  <c r="AX155" i="1"/>
  <c r="AY155" i="1"/>
  <c r="AZ155" i="1"/>
  <c r="BA155" i="1"/>
  <c r="B156" i="1"/>
  <c r="C156" i="1"/>
  <c r="D156" i="1"/>
  <c r="E156" i="1"/>
  <c r="F156" i="1"/>
  <c r="G156" i="1"/>
  <c r="H156" i="1"/>
  <c r="I156" i="1"/>
  <c r="J156" i="1"/>
  <c r="K156" i="1"/>
  <c r="L156" i="1"/>
  <c r="M156" i="1"/>
  <c r="N156" i="1"/>
  <c r="O156" i="1"/>
  <c r="Q156" i="1"/>
  <c r="R156" i="1"/>
  <c r="U156" i="1"/>
  <c r="V156" i="1"/>
  <c r="W156" i="1"/>
  <c r="X156" i="1"/>
  <c r="Y156" i="1"/>
  <c r="AB156" i="1"/>
  <c r="AC156" i="1"/>
  <c r="AD156" i="1"/>
  <c r="AE156" i="1"/>
  <c r="AF156" i="1"/>
  <c r="AG156" i="1"/>
  <c r="AH156" i="1"/>
  <c r="AI156" i="1"/>
  <c r="AJ156" i="1"/>
  <c r="AK156" i="1"/>
  <c r="AL156" i="1"/>
  <c r="AN156" i="1"/>
  <c r="AO156" i="1"/>
  <c r="AP156" i="1"/>
  <c r="AQ156" i="1"/>
  <c r="AR156" i="1"/>
  <c r="AS156" i="1"/>
  <c r="AT156" i="1"/>
  <c r="AU156" i="1"/>
  <c r="AV156" i="1"/>
  <c r="AW156" i="1"/>
  <c r="AX156" i="1"/>
  <c r="AY156" i="1"/>
  <c r="AZ156" i="1"/>
  <c r="BA156" i="1"/>
  <c r="B157" i="1"/>
  <c r="C157" i="1"/>
  <c r="D157" i="1"/>
  <c r="E157" i="1"/>
  <c r="F157" i="1"/>
  <c r="G157" i="1"/>
  <c r="H157" i="1"/>
  <c r="I157" i="1"/>
  <c r="J157" i="1"/>
  <c r="K157" i="1"/>
  <c r="L157" i="1"/>
  <c r="M157" i="1"/>
  <c r="N157" i="1"/>
  <c r="O157" i="1"/>
  <c r="Q157" i="1"/>
  <c r="R157" i="1"/>
  <c r="U157" i="1"/>
  <c r="V157" i="1"/>
  <c r="W157" i="1"/>
  <c r="X157" i="1"/>
  <c r="Y157" i="1"/>
  <c r="AB157" i="1"/>
  <c r="AC157" i="1"/>
  <c r="AD157" i="1"/>
  <c r="AE157" i="1"/>
  <c r="AF157" i="1"/>
  <c r="AG157" i="1"/>
  <c r="AH157" i="1"/>
  <c r="AI157" i="1"/>
  <c r="AJ157" i="1"/>
  <c r="AK157" i="1"/>
  <c r="AL157" i="1"/>
  <c r="AN157" i="1"/>
  <c r="AO157" i="1"/>
  <c r="AP157" i="1"/>
  <c r="AQ157" i="1"/>
  <c r="AR157" i="1"/>
  <c r="AS157" i="1"/>
  <c r="AT157" i="1"/>
  <c r="AU157" i="1"/>
  <c r="AV157" i="1"/>
  <c r="AW157" i="1"/>
  <c r="AX157" i="1"/>
  <c r="AY157" i="1"/>
  <c r="AZ157" i="1"/>
  <c r="BA157" i="1"/>
  <c r="B158" i="1"/>
  <c r="C158" i="1"/>
  <c r="D158" i="1"/>
  <c r="E158" i="1"/>
  <c r="F158" i="1"/>
  <c r="G158" i="1"/>
  <c r="H158" i="1"/>
  <c r="I158" i="1"/>
  <c r="J158" i="1"/>
  <c r="K158" i="1"/>
  <c r="L158" i="1"/>
  <c r="M158" i="1"/>
  <c r="N158" i="1"/>
  <c r="O158" i="1"/>
  <c r="Q158" i="1"/>
  <c r="R158" i="1"/>
  <c r="U158" i="1"/>
  <c r="V158" i="1"/>
  <c r="W158" i="1"/>
  <c r="X158" i="1"/>
  <c r="Y158" i="1"/>
  <c r="AB158" i="1"/>
  <c r="AC158" i="1"/>
  <c r="AD158" i="1"/>
  <c r="AE158" i="1"/>
  <c r="AF158" i="1"/>
  <c r="AG158" i="1"/>
  <c r="AH158" i="1"/>
  <c r="AI158" i="1"/>
  <c r="AJ158" i="1"/>
  <c r="AK158" i="1"/>
  <c r="AL158" i="1"/>
  <c r="AN158" i="1"/>
  <c r="AO158" i="1"/>
  <c r="AP158" i="1"/>
  <c r="AQ158" i="1"/>
  <c r="AR158" i="1"/>
  <c r="AS158" i="1"/>
  <c r="AT158" i="1"/>
  <c r="AU158" i="1"/>
  <c r="AV158" i="1"/>
  <c r="AW158" i="1"/>
  <c r="AX158" i="1"/>
  <c r="AY158" i="1"/>
  <c r="AZ158" i="1"/>
  <c r="BA158" i="1"/>
  <c r="B159" i="1"/>
  <c r="C159" i="1"/>
  <c r="D159" i="1"/>
  <c r="E159" i="1"/>
  <c r="F159" i="1"/>
  <c r="G159" i="1"/>
  <c r="H159" i="1"/>
  <c r="I159" i="1"/>
  <c r="J159" i="1"/>
  <c r="K159" i="1"/>
  <c r="L159" i="1"/>
  <c r="M159" i="1"/>
  <c r="N159" i="1"/>
  <c r="O159" i="1"/>
  <c r="Q159" i="1"/>
  <c r="R159" i="1"/>
  <c r="U159" i="1"/>
  <c r="V159" i="1"/>
  <c r="W159" i="1"/>
  <c r="X159" i="1"/>
  <c r="Y159" i="1"/>
  <c r="AB159" i="1"/>
  <c r="AC159" i="1"/>
  <c r="AD159" i="1"/>
  <c r="AE159" i="1"/>
  <c r="AF159" i="1"/>
  <c r="AG159" i="1"/>
  <c r="AH159" i="1"/>
  <c r="AI159" i="1"/>
  <c r="AJ159" i="1"/>
  <c r="AK159" i="1"/>
  <c r="AL159" i="1"/>
  <c r="AN159" i="1"/>
  <c r="AO159" i="1"/>
  <c r="AP159" i="1"/>
  <c r="AQ159" i="1"/>
  <c r="AR159" i="1"/>
  <c r="AS159" i="1"/>
  <c r="AT159" i="1"/>
  <c r="AU159" i="1"/>
  <c r="AV159" i="1"/>
  <c r="AW159" i="1"/>
  <c r="AX159" i="1"/>
  <c r="AY159" i="1"/>
  <c r="AZ159" i="1"/>
  <c r="BA159" i="1"/>
  <c r="B160" i="1"/>
  <c r="C160" i="1"/>
  <c r="D160" i="1"/>
  <c r="E160" i="1"/>
  <c r="F160" i="1"/>
  <c r="G160" i="1"/>
  <c r="H160" i="1"/>
  <c r="I160" i="1"/>
  <c r="J160" i="1"/>
  <c r="K160" i="1"/>
  <c r="L160" i="1"/>
  <c r="M160" i="1"/>
  <c r="N160" i="1"/>
  <c r="O160" i="1"/>
  <c r="Q160" i="1"/>
  <c r="R160" i="1"/>
  <c r="U160" i="1"/>
  <c r="V160" i="1"/>
  <c r="W160" i="1"/>
  <c r="X160" i="1"/>
  <c r="Y160" i="1"/>
  <c r="AB160" i="1"/>
  <c r="AC160" i="1"/>
  <c r="AD160" i="1"/>
  <c r="AE160" i="1"/>
  <c r="AF160" i="1"/>
  <c r="AG160" i="1"/>
  <c r="AH160" i="1"/>
  <c r="AI160" i="1"/>
  <c r="AJ160" i="1"/>
  <c r="AK160" i="1"/>
  <c r="AL160" i="1"/>
  <c r="AN160" i="1"/>
  <c r="AO160" i="1"/>
  <c r="AP160" i="1"/>
  <c r="AQ160" i="1"/>
  <c r="AR160" i="1"/>
  <c r="AS160" i="1"/>
  <c r="AT160" i="1"/>
  <c r="AU160" i="1"/>
  <c r="AV160" i="1"/>
  <c r="AW160" i="1"/>
  <c r="AX160" i="1"/>
  <c r="AY160" i="1"/>
  <c r="AZ160" i="1"/>
  <c r="BA160" i="1"/>
  <c r="B161" i="1"/>
  <c r="C161" i="1"/>
  <c r="D161" i="1"/>
  <c r="E161" i="1"/>
  <c r="F161" i="1"/>
  <c r="G161" i="1"/>
  <c r="H161" i="1"/>
  <c r="I161" i="1"/>
  <c r="J161" i="1"/>
  <c r="K161" i="1"/>
  <c r="L161" i="1"/>
  <c r="M161" i="1"/>
  <c r="N161" i="1"/>
  <c r="O161" i="1"/>
  <c r="P161" i="1"/>
  <c r="Q161" i="1"/>
  <c r="R161" i="1"/>
  <c r="U161" i="1"/>
  <c r="V161" i="1"/>
  <c r="W161" i="1"/>
  <c r="X161" i="1"/>
  <c r="Y161" i="1"/>
  <c r="AB161" i="1"/>
  <c r="AC161" i="1"/>
  <c r="AD161" i="1"/>
  <c r="AE161" i="1"/>
  <c r="AF161" i="1"/>
  <c r="AG161" i="1"/>
  <c r="AH161" i="1"/>
  <c r="AI161" i="1"/>
  <c r="AJ161" i="1"/>
  <c r="AK161" i="1"/>
  <c r="AL161" i="1"/>
  <c r="AN161" i="1"/>
  <c r="AO161" i="1"/>
  <c r="AP161" i="1"/>
  <c r="AQ161" i="1"/>
  <c r="AR161" i="1"/>
  <c r="AS161" i="1"/>
  <c r="AT161" i="1"/>
  <c r="AU161" i="1"/>
  <c r="AV161" i="1"/>
  <c r="AW161" i="1"/>
  <c r="AX161" i="1"/>
  <c r="AY161" i="1"/>
  <c r="AZ161" i="1"/>
  <c r="BA161" i="1"/>
  <c r="B162" i="1"/>
  <c r="C162" i="1"/>
  <c r="D162" i="1"/>
  <c r="E162" i="1"/>
  <c r="F162" i="1"/>
  <c r="G162" i="1"/>
  <c r="H162" i="1"/>
  <c r="I162" i="1"/>
  <c r="J162" i="1"/>
  <c r="K162" i="1"/>
  <c r="L162" i="1"/>
  <c r="M162" i="1"/>
  <c r="N162" i="1"/>
  <c r="O162" i="1"/>
  <c r="P162" i="1"/>
  <c r="Q162" i="1"/>
  <c r="R162" i="1"/>
  <c r="U162" i="1"/>
  <c r="V162" i="1"/>
  <c r="W162" i="1"/>
  <c r="X162" i="1"/>
  <c r="Y162" i="1"/>
  <c r="AB162" i="1"/>
  <c r="AC162" i="1"/>
  <c r="AD162" i="1"/>
  <c r="AE162" i="1"/>
  <c r="AF162" i="1"/>
  <c r="AG162" i="1"/>
  <c r="AH162" i="1"/>
  <c r="AI162" i="1"/>
  <c r="AJ162" i="1"/>
  <c r="AK162" i="1"/>
  <c r="AL162" i="1"/>
  <c r="AN162" i="1"/>
  <c r="AO162" i="1"/>
  <c r="AP162" i="1"/>
  <c r="AQ162" i="1"/>
  <c r="AR162" i="1"/>
  <c r="AS162" i="1"/>
  <c r="AT162" i="1"/>
  <c r="AU162" i="1"/>
  <c r="AV162" i="1"/>
  <c r="AW162" i="1"/>
  <c r="AX162" i="1"/>
  <c r="AY162" i="1"/>
  <c r="AZ162" i="1"/>
  <c r="BA162" i="1"/>
  <c r="B163" i="1"/>
  <c r="C163" i="1"/>
  <c r="D163" i="1"/>
  <c r="E163" i="1"/>
  <c r="F163" i="1"/>
  <c r="G163" i="1"/>
  <c r="H163" i="1"/>
  <c r="I163" i="1"/>
  <c r="J163" i="1"/>
  <c r="K163" i="1"/>
  <c r="L163" i="1"/>
  <c r="M163" i="1"/>
  <c r="N163" i="1"/>
  <c r="O163" i="1"/>
  <c r="P163" i="1"/>
  <c r="Q163" i="1"/>
  <c r="R163" i="1"/>
  <c r="U163" i="1"/>
  <c r="V163" i="1"/>
  <c r="W163" i="1"/>
  <c r="X163" i="1"/>
  <c r="Y163" i="1"/>
  <c r="AB163" i="1"/>
  <c r="AC163" i="1"/>
  <c r="AD163" i="1"/>
  <c r="AE163" i="1"/>
  <c r="AF163" i="1"/>
  <c r="AG163" i="1"/>
  <c r="AH163" i="1"/>
  <c r="AI163" i="1"/>
  <c r="AJ163" i="1"/>
  <c r="AK163" i="1"/>
  <c r="AL163" i="1"/>
  <c r="AN163" i="1"/>
  <c r="AO163" i="1"/>
  <c r="AP163" i="1"/>
  <c r="AQ163" i="1"/>
  <c r="AR163" i="1"/>
  <c r="AS163" i="1"/>
  <c r="AT163" i="1"/>
  <c r="AU163" i="1"/>
  <c r="AV163" i="1"/>
  <c r="AW163" i="1"/>
  <c r="AX163" i="1"/>
  <c r="AY163" i="1"/>
  <c r="AZ163" i="1"/>
  <c r="BA163" i="1"/>
  <c r="B164" i="1"/>
  <c r="C164" i="1"/>
  <c r="D164" i="1"/>
  <c r="E164" i="1"/>
  <c r="F164" i="1"/>
  <c r="G164" i="1"/>
  <c r="H164" i="1"/>
  <c r="I164" i="1"/>
  <c r="J164" i="1"/>
  <c r="K164" i="1"/>
  <c r="L164" i="1"/>
  <c r="M164" i="1"/>
  <c r="N164" i="1"/>
  <c r="O164" i="1"/>
  <c r="P164" i="1"/>
  <c r="Q164" i="1"/>
  <c r="R164" i="1"/>
  <c r="U164" i="1"/>
  <c r="V164" i="1"/>
  <c r="W164" i="1"/>
  <c r="X164" i="1"/>
  <c r="Y164" i="1"/>
  <c r="AB164" i="1"/>
  <c r="AC164" i="1"/>
  <c r="AD164" i="1"/>
  <c r="AE164" i="1"/>
  <c r="AF164" i="1"/>
  <c r="AG164" i="1"/>
  <c r="AH164" i="1"/>
  <c r="AI164" i="1"/>
  <c r="AJ164" i="1"/>
  <c r="AK164" i="1"/>
  <c r="AL164" i="1"/>
  <c r="AN164" i="1"/>
  <c r="AO164" i="1"/>
  <c r="AP164" i="1"/>
  <c r="AQ164" i="1"/>
  <c r="AR164" i="1"/>
  <c r="AS164" i="1"/>
  <c r="AT164" i="1"/>
  <c r="AU164" i="1"/>
  <c r="AV164" i="1"/>
  <c r="AW164" i="1"/>
  <c r="AX164" i="1"/>
  <c r="AY164" i="1"/>
  <c r="AZ164" i="1"/>
  <c r="BA164" i="1"/>
  <c r="B165" i="1"/>
  <c r="C165" i="1"/>
  <c r="D165" i="1"/>
  <c r="E165" i="1"/>
  <c r="F165" i="1"/>
  <c r="G165" i="1"/>
  <c r="H165" i="1"/>
  <c r="I165" i="1"/>
  <c r="J165" i="1"/>
  <c r="K165" i="1"/>
  <c r="L165" i="1"/>
  <c r="M165" i="1"/>
  <c r="N165" i="1"/>
  <c r="O165" i="1"/>
  <c r="Q165" i="1"/>
  <c r="R165" i="1"/>
  <c r="U165" i="1"/>
  <c r="V165" i="1"/>
  <c r="W165" i="1"/>
  <c r="X165" i="1"/>
  <c r="Y165" i="1"/>
  <c r="AB165" i="1"/>
  <c r="AC165" i="1"/>
  <c r="AD165" i="1"/>
  <c r="AE165" i="1"/>
  <c r="AF165" i="1"/>
  <c r="AG165" i="1"/>
  <c r="AH165" i="1"/>
  <c r="AI165" i="1"/>
  <c r="AJ165" i="1"/>
  <c r="AK165" i="1"/>
  <c r="AL165" i="1"/>
  <c r="AN165" i="1"/>
  <c r="AO165" i="1"/>
  <c r="AP165" i="1"/>
  <c r="AQ165" i="1"/>
  <c r="AS165" i="1"/>
  <c r="AT165" i="1"/>
  <c r="AU165" i="1"/>
  <c r="AV165" i="1"/>
  <c r="AW165" i="1"/>
  <c r="AX165" i="1"/>
  <c r="AY165" i="1"/>
  <c r="AZ165" i="1"/>
  <c r="BA165" i="1"/>
  <c r="B166" i="1"/>
  <c r="C166" i="1"/>
  <c r="D166" i="1"/>
  <c r="E166" i="1"/>
  <c r="F166" i="1"/>
  <c r="G166" i="1"/>
  <c r="H166" i="1"/>
  <c r="I166" i="1"/>
  <c r="J166" i="1"/>
  <c r="K166" i="1"/>
  <c r="L166" i="1"/>
  <c r="M166" i="1"/>
  <c r="N166" i="1"/>
  <c r="O166" i="1"/>
  <c r="Q166" i="1"/>
  <c r="R166" i="1"/>
  <c r="U166" i="1"/>
  <c r="V166" i="1"/>
  <c r="W166" i="1"/>
  <c r="X166" i="1"/>
  <c r="Y166" i="1"/>
  <c r="AB166" i="1"/>
  <c r="AC166" i="1"/>
  <c r="AD166" i="1"/>
  <c r="AE166" i="1"/>
  <c r="AF166" i="1"/>
  <c r="AG166" i="1"/>
  <c r="AH166" i="1"/>
  <c r="AI166" i="1"/>
  <c r="AJ166" i="1"/>
  <c r="AK166" i="1"/>
  <c r="AL166" i="1"/>
  <c r="AN166" i="1"/>
  <c r="AO166" i="1"/>
  <c r="AP166" i="1"/>
  <c r="AQ166" i="1"/>
  <c r="AS166" i="1"/>
  <c r="AT166" i="1"/>
  <c r="AU166" i="1"/>
  <c r="AV166" i="1"/>
  <c r="AW166" i="1"/>
  <c r="AX166" i="1"/>
  <c r="AY166" i="1"/>
  <c r="AZ166" i="1"/>
  <c r="BA166" i="1"/>
  <c r="B167" i="1"/>
  <c r="C167" i="1"/>
  <c r="D167" i="1"/>
  <c r="E167" i="1"/>
  <c r="F167" i="1"/>
  <c r="G167" i="1"/>
  <c r="H167" i="1"/>
  <c r="I167" i="1"/>
  <c r="J167" i="1"/>
  <c r="K167" i="1"/>
  <c r="L167" i="1"/>
  <c r="M167" i="1"/>
  <c r="N167" i="1"/>
  <c r="O167" i="1"/>
  <c r="Q167" i="1"/>
  <c r="R167" i="1"/>
  <c r="U167" i="1"/>
  <c r="V167" i="1"/>
  <c r="W167" i="1"/>
  <c r="X167" i="1"/>
  <c r="Y167" i="1"/>
  <c r="AB167" i="1"/>
  <c r="AC167" i="1"/>
  <c r="AD167" i="1"/>
  <c r="AE167" i="1"/>
  <c r="AF167" i="1"/>
  <c r="AG167" i="1"/>
  <c r="AH167" i="1"/>
  <c r="AI167" i="1"/>
  <c r="AJ167" i="1"/>
  <c r="AK167" i="1"/>
  <c r="AL167" i="1"/>
  <c r="AN167" i="1"/>
  <c r="AO167" i="1"/>
  <c r="AP167" i="1"/>
  <c r="AQ167" i="1"/>
  <c r="AS167" i="1"/>
  <c r="AT167" i="1"/>
  <c r="AU167" i="1"/>
  <c r="AV167" i="1"/>
  <c r="AW167" i="1"/>
  <c r="AX167" i="1"/>
  <c r="AY167" i="1"/>
  <c r="AZ167" i="1"/>
  <c r="BA167" i="1"/>
  <c r="B168" i="1"/>
  <c r="C168" i="1"/>
  <c r="D168" i="1"/>
  <c r="E168" i="1"/>
  <c r="F168" i="1"/>
  <c r="G168" i="1"/>
  <c r="H168" i="1"/>
  <c r="I168" i="1"/>
  <c r="J168" i="1"/>
  <c r="K168" i="1"/>
  <c r="L168" i="1"/>
  <c r="M168" i="1"/>
  <c r="N168" i="1"/>
  <c r="O168" i="1"/>
  <c r="Q168" i="1"/>
  <c r="R168" i="1"/>
  <c r="U168" i="1"/>
  <c r="V168" i="1"/>
  <c r="W168" i="1"/>
  <c r="X168" i="1"/>
  <c r="Y168" i="1"/>
  <c r="AB168" i="1"/>
  <c r="AC168" i="1"/>
  <c r="AD168" i="1"/>
  <c r="AE168" i="1"/>
  <c r="AF168" i="1"/>
  <c r="AG168" i="1"/>
  <c r="AH168" i="1"/>
  <c r="AI168" i="1"/>
  <c r="AJ168" i="1"/>
  <c r="AK168" i="1"/>
  <c r="AL168" i="1"/>
  <c r="AN168" i="1"/>
  <c r="AO168" i="1"/>
  <c r="AP168" i="1"/>
  <c r="AQ168" i="1"/>
  <c r="AS168" i="1"/>
  <c r="AT168" i="1"/>
  <c r="AU168" i="1"/>
  <c r="AV168" i="1"/>
  <c r="AW168" i="1"/>
  <c r="AX168" i="1"/>
  <c r="AY168" i="1"/>
  <c r="AZ168" i="1"/>
  <c r="BA168" i="1"/>
  <c r="B169" i="1"/>
  <c r="C169" i="1"/>
  <c r="D169" i="1"/>
  <c r="E169" i="1"/>
  <c r="F169" i="1"/>
  <c r="G169" i="1"/>
  <c r="H169" i="1"/>
  <c r="I169" i="1"/>
  <c r="J169" i="1"/>
  <c r="K169" i="1"/>
  <c r="L169" i="1"/>
  <c r="M169" i="1"/>
  <c r="N169" i="1"/>
  <c r="O169" i="1"/>
  <c r="Q169" i="1"/>
  <c r="R169" i="1"/>
  <c r="U169" i="1"/>
  <c r="V169" i="1"/>
  <c r="W169" i="1"/>
  <c r="X169" i="1"/>
  <c r="Y169" i="1"/>
  <c r="AB169" i="1"/>
  <c r="AC169" i="1"/>
  <c r="AD169" i="1"/>
  <c r="AE169" i="1"/>
  <c r="AF169" i="1"/>
  <c r="AG169" i="1"/>
  <c r="AH169" i="1"/>
  <c r="AI169" i="1"/>
  <c r="AJ169" i="1"/>
  <c r="AK169" i="1"/>
  <c r="AL169" i="1"/>
  <c r="AN169" i="1"/>
  <c r="AO169" i="1"/>
  <c r="AP169" i="1"/>
  <c r="AQ169" i="1"/>
  <c r="AS169" i="1"/>
  <c r="AT169" i="1"/>
  <c r="AU169" i="1"/>
  <c r="AV169" i="1"/>
  <c r="AW169" i="1"/>
  <c r="AX169" i="1"/>
  <c r="AY169" i="1"/>
  <c r="AZ169" i="1"/>
  <c r="BA169" i="1"/>
  <c r="B170" i="1"/>
  <c r="C170" i="1"/>
  <c r="D170" i="1"/>
  <c r="E170" i="1"/>
  <c r="F170" i="1"/>
  <c r="G170" i="1"/>
  <c r="H170" i="1"/>
  <c r="I170" i="1"/>
  <c r="J170" i="1"/>
  <c r="K170" i="1"/>
  <c r="L170" i="1"/>
  <c r="M170" i="1"/>
  <c r="N170" i="1"/>
  <c r="O170" i="1"/>
  <c r="Q170" i="1"/>
  <c r="R170" i="1"/>
  <c r="U170" i="1"/>
  <c r="V170" i="1"/>
  <c r="W170" i="1"/>
  <c r="X170" i="1"/>
  <c r="Y170" i="1"/>
  <c r="AB170" i="1"/>
  <c r="AC170" i="1"/>
  <c r="AD170" i="1"/>
  <c r="AE170" i="1"/>
  <c r="AF170" i="1"/>
  <c r="AG170" i="1"/>
  <c r="AH170" i="1"/>
  <c r="AI170" i="1"/>
  <c r="AJ170" i="1"/>
  <c r="AK170" i="1"/>
  <c r="AL170" i="1"/>
  <c r="AN170" i="1"/>
  <c r="AO170" i="1"/>
  <c r="AP170" i="1"/>
  <c r="AQ170" i="1"/>
  <c r="AS170" i="1"/>
  <c r="AT170" i="1"/>
  <c r="AU170" i="1"/>
  <c r="AV170" i="1"/>
  <c r="AW170" i="1"/>
  <c r="AX170" i="1"/>
  <c r="AY170" i="1"/>
  <c r="AZ170" i="1"/>
  <c r="BA170" i="1"/>
  <c r="B171" i="1"/>
  <c r="C171" i="1"/>
  <c r="D171" i="1"/>
  <c r="E171" i="1"/>
  <c r="F171" i="1"/>
  <c r="G171" i="1"/>
  <c r="H171" i="1"/>
  <c r="I171" i="1"/>
  <c r="J171" i="1"/>
  <c r="K171" i="1"/>
  <c r="L171" i="1"/>
  <c r="M171" i="1"/>
  <c r="N171" i="1"/>
  <c r="O171" i="1"/>
  <c r="Q171" i="1"/>
  <c r="R171" i="1"/>
  <c r="U171" i="1"/>
  <c r="V171" i="1"/>
  <c r="W171" i="1"/>
  <c r="X171" i="1"/>
  <c r="Y171" i="1"/>
  <c r="AB171" i="1"/>
  <c r="AC171" i="1"/>
  <c r="AD171" i="1"/>
  <c r="AE171" i="1"/>
  <c r="AF171" i="1"/>
  <c r="AG171" i="1"/>
  <c r="AH171" i="1"/>
  <c r="AI171" i="1"/>
  <c r="AJ171" i="1"/>
  <c r="AK171" i="1"/>
  <c r="AL171" i="1"/>
  <c r="AN171" i="1"/>
  <c r="AO171" i="1"/>
  <c r="AP171" i="1"/>
  <c r="AQ171" i="1"/>
  <c r="AS171" i="1"/>
  <c r="AT171" i="1"/>
  <c r="AU171" i="1"/>
  <c r="AV171" i="1"/>
  <c r="AW171" i="1"/>
  <c r="AX171" i="1"/>
  <c r="AY171" i="1"/>
  <c r="AZ171" i="1"/>
  <c r="BA171" i="1"/>
  <c r="B172" i="1"/>
  <c r="C172" i="1"/>
  <c r="D172" i="1"/>
  <c r="E172" i="1"/>
  <c r="F172" i="1"/>
  <c r="G172" i="1"/>
  <c r="H172" i="1"/>
  <c r="I172" i="1"/>
  <c r="J172" i="1"/>
  <c r="K172" i="1"/>
  <c r="L172" i="1"/>
  <c r="M172" i="1"/>
  <c r="N172" i="1"/>
  <c r="O172" i="1"/>
  <c r="Q172" i="1"/>
  <c r="R172" i="1"/>
  <c r="U172" i="1"/>
  <c r="V172" i="1"/>
  <c r="W172" i="1"/>
  <c r="X172" i="1"/>
  <c r="Y172" i="1"/>
  <c r="AB172" i="1"/>
  <c r="AC172" i="1"/>
  <c r="AD172" i="1"/>
  <c r="AE172" i="1"/>
  <c r="AF172" i="1"/>
  <c r="AG172" i="1"/>
  <c r="AH172" i="1"/>
  <c r="AI172" i="1"/>
  <c r="AJ172" i="1"/>
  <c r="AK172" i="1"/>
  <c r="AL172" i="1"/>
  <c r="AN172" i="1"/>
  <c r="AO172" i="1"/>
  <c r="AP172" i="1"/>
  <c r="AQ172" i="1"/>
  <c r="AS172" i="1"/>
  <c r="AT172" i="1"/>
  <c r="AU172" i="1"/>
  <c r="AV172" i="1"/>
  <c r="AW172" i="1"/>
  <c r="AX172" i="1"/>
  <c r="AY172" i="1"/>
  <c r="AZ172" i="1"/>
  <c r="BA172" i="1"/>
  <c r="B173" i="1"/>
  <c r="C173" i="1"/>
  <c r="D173" i="1"/>
  <c r="E173" i="1"/>
  <c r="F173" i="1"/>
  <c r="G173" i="1"/>
  <c r="H173" i="1"/>
  <c r="I173" i="1"/>
  <c r="J173" i="1"/>
  <c r="K173" i="1"/>
  <c r="L173" i="1"/>
  <c r="M173" i="1"/>
  <c r="N173" i="1"/>
  <c r="O173" i="1"/>
  <c r="Q173" i="1"/>
  <c r="R173" i="1"/>
  <c r="U173" i="1"/>
  <c r="V173" i="1"/>
  <c r="W173" i="1"/>
  <c r="X173" i="1"/>
  <c r="Y173" i="1"/>
  <c r="AB173" i="1"/>
  <c r="AC173" i="1"/>
  <c r="AD173" i="1"/>
  <c r="AE173" i="1"/>
  <c r="AF173" i="1"/>
  <c r="AG173" i="1"/>
  <c r="AH173" i="1"/>
  <c r="AI173" i="1"/>
  <c r="AJ173" i="1"/>
  <c r="AK173" i="1"/>
  <c r="AL173" i="1"/>
  <c r="AN173" i="1"/>
  <c r="AO173" i="1"/>
  <c r="AP173" i="1"/>
  <c r="AQ173" i="1"/>
  <c r="AS173" i="1"/>
  <c r="AT173" i="1"/>
  <c r="AU173" i="1"/>
  <c r="AV173" i="1"/>
  <c r="AW173" i="1"/>
  <c r="AX173" i="1"/>
  <c r="AY173" i="1"/>
  <c r="AZ173" i="1"/>
  <c r="BA173" i="1"/>
  <c r="B174" i="1"/>
  <c r="C174" i="1"/>
  <c r="D174" i="1"/>
  <c r="E174" i="1"/>
  <c r="F174" i="1"/>
  <c r="G174" i="1"/>
  <c r="H174" i="1"/>
  <c r="I174" i="1"/>
  <c r="J174" i="1"/>
  <c r="K174" i="1"/>
  <c r="L174" i="1"/>
  <c r="M174" i="1"/>
  <c r="N174" i="1"/>
  <c r="O174" i="1"/>
  <c r="Q174" i="1"/>
  <c r="R174" i="1"/>
  <c r="U174" i="1"/>
  <c r="V174" i="1"/>
  <c r="W174" i="1"/>
  <c r="X174" i="1"/>
  <c r="Y174" i="1"/>
  <c r="AB174" i="1"/>
  <c r="AC174" i="1"/>
  <c r="AD174" i="1"/>
  <c r="AE174" i="1"/>
  <c r="AF174" i="1"/>
  <c r="AG174" i="1"/>
  <c r="AH174" i="1"/>
  <c r="AI174" i="1"/>
  <c r="AJ174" i="1"/>
  <c r="AK174" i="1"/>
  <c r="AL174" i="1"/>
  <c r="AN174" i="1"/>
  <c r="AO174" i="1"/>
  <c r="AP174" i="1"/>
  <c r="AQ174" i="1"/>
  <c r="AS174" i="1"/>
  <c r="AT174" i="1"/>
  <c r="AU174" i="1"/>
  <c r="AV174" i="1"/>
  <c r="AW174" i="1"/>
  <c r="AX174" i="1"/>
  <c r="AY174" i="1"/>
  <c r="AZ174" i="1"/>
  <c r="BA174" i="1"/>
  <c r="B175" i="1"/>
  <c r="C175" i="1"/>
  <c r="D175" i="1"/>
  <c r="E175" i="1"/>
  <c r="F175" i="1"/>
  <c r="G175" i="1"/>
  <c r="H175" i="1"/>
  <c r="I175" i="1"/>
  <c r="J175" i="1"/>
  <c r="K175" i="1"/>
  <c r="L175" i="1"/>
  <c r="M175" i="1"/>
  <c r="N175" i="1"/>
  <c r="O175" i="1"/>
  <c r="Q175" i="1"/>
  <c r="R175" i="1"/>
  <c r="U175" i="1"/>
  <c r="V175" i="1"/>
  <c r="W175" i="1"/>
  <c r="X175" i="1"/>
  <c r="Y175" i="1"/>
  <c r="AB175" i="1"/>
  <c r="AC175" i="1"/>
  <c r="AD175" i="1"/>
  <c r="AE175" i="1"/>
  <c r="AF175" i="1"/>
  <c r="AG175" i="1"/>
  <c r="AH175" i="1"/>
  <c r="AI175" i="1"/>
  <c r="AJ175" i="1"/>
  <c r="AK175" i="1"/>
  <c r="AL175" i="1"/>
  <c r="AN175" i="1"/>
  <c r="AO175" i="1"/>
  <c r="AP175" i="1"/>
  <c r="AQ175" i="1"/>
  <c r="AS175" i="1"/>
  <c r="AT175" i="1"/>
  <c r="AU175" i="1"/>
  <c r="AV175" i="1"/>
  <c r="AW175" i="1"/>
  <c r="AX175" i="1"/>
  <c r="AY175" i="1"/>
  <c r="AZ175" i="1"/>
  <c r="BA175" i="1"/>
  <c r="B176" i="1"/>
  <c r="C176" i="1"/>
  <c r="D176" i="1"/>
  <c r="E176" i="1"/>
  <c r="F176" i="1"/>
  <c r="G176" i="1"/>
  <c r="H176" i="1"/>
  <c r="I176" i="1"/>
  <c r="J176" i="1"/>
  <c r="K176" i="1"/>
  <c r="L176" i="1"/>
  <c r="M176" i="1"/>
  <c r="N176" i="1"/>
  <c r="O176" i="1"/>
  <c r="Q176" i="1"/>
  <c r="R176" i="1"/>
  <c r="U176" i="1"/>
  <c r="V176" i="1"/>
  <c r="W176" i="1"/>
  <c r="X176" i="1"/>
  <c r="Y176" i="1"/>
  <c r="AB176" i="1"/>
  <c r="AC176" i="1"/>
  <c r="AD176" i="1"/>
  <c r="AE176" i="1"/>
  <c r="AF176" i="1"/>
  <c r="AG176" i="1"/>
  <c r="AH176" i="1"/>
  <c r="AI176" i="1"/>
  <c r="AJ176" i="1"/>
  <c r="AK176" i="1"/>
  <c r="AL176" i="1"/>
  <c r="AN176" i="1"/>
  <c r="AO176" i="1"/>
  <c r="AP176" i="1"/>
  <c r="AQ176" i="1"/>
  <c r="AS176" i="1"/>
  <c r="AT176" i="1"/>
  <c r="AU176" i="1"/>
  <c r="AV176" i="1"/>
  <c r="AW176" i="1"/>
  <c r="AX176" i="1"/>
  <c r="AY176" i="1"/>
  <c r="AZ176" i="1"/>
  <c r="BA176" i="1"/>
  <c r="B177" i="1"/>
  <c r="C177" i="1"/>
  <c r="D177" i="1"/>
  <c r="E177" i="1"/>
  <c r="F177" i="1"/>
  <c r="G177" i="1"/>
  <c r="H177" i="1"/>
  <c r="I177" i="1"/>
  <c r="J177" i="1"/>
  <c r="K177" i="1"/>
  <c r="L177" i="1"/>
  <c r="M177" i="1"/>
  <c r="N177" i="1"/>
  <c r="O177" i="1"/>
  <c r="Q177" i="1"/>
  <c r="R177" i="1"/>
  <c r="U177" i="1"/>
  <c r="V177" i="1"/>
  <c r="W177" i="1"/>
  <c r="X177" i="1"/>
  <c r="Y177" i="1"/>
  <c r="AB177" i="1"/>
  <c r="AC177" i="1"/>
  <c r="AD177" i="1"/>
  <c r="AE177" i="1"/>
  <c r="AF177" i="1"/>
  <c r="AG177" i="1"/>
  <c r="AH177" i="1"/>
  <c r="AI177" i="1"/>
  <c r="AJ177" i="1"/>
  <c r="AK177" i="1"/>
  <c r="AL177" i="1"/>
  <c r="AN177" i="1"/>
  <c r="AO177" i="1"/>
  <c r="AP177" i="1"/>
  <c r="AQ177" i="1"/>
  <c r="AS177" i="1"/>
  <c r="AT177" i="1"/>
  <c r="AU177" i="1"/>
  <c r="AV177" i="1"/>
  <c r="AW177" i="1"/>
  <c r="AX177" i="1"/>
  <c r="AY177" i="1"/>
  <c r="AZ177" i="1"/>
  <c r="BA177" i="1"/>
  <c r="B178" i="1"/>
  <c r="C178" i="1"/>
  <c r="D178" i="1"/>
  <c r="E178" i="1"/>
  <c r="F178" i="1"/>
  <c r="G178" i="1"/>
  <c r="H178" i="1"/>
  <c r="I178" i="1"/>
  <c r="J178" i="1"/>
  <c r="K178" i="1"/>
  <c r="L178" i="1"/>
  <c r="M178" i="1"/>
  <c r="N178" i="1"/>
  <c r="O178" i="1"/>
  <c r="Q178" i="1"/>
  <c r="R178" i="1"/>
  <c r="U178" i="1"/>
  <c r="V178" i="1"/>
  <c r="W178" i="1"/>
  <c r="X178" i="1"/>
  <c r="Y178" i="1"/>
  <c r="AB178" i="1"/>
  <c r="AC178" i="1"/>
  <c r="AD178" i="1"/>
  <c r="AE178" i="1"/>
  <c r="AF178" i="1"/>
  <c r="AG178" i="1"/>
  <c r="AH178" i="1"/>
  <c r="AI178" i="1"/>
  <c r="AJ178" i="1"/>
  <c r="AK178" i="1"/>
  <c r="AL178" i="1"/>
  <c r="AN178" i="1"/>
  <c r="AO178" i="1"/>
  <c r="AP178" i="1"/>
  <c r="AQ178" i="1"/>
  <c r="AS178" i="1"/>
  <c r="AT178" i="1"/>
  <c r="AU178" i="1"/>
  <c r="AV178" i="1"/>
  <c r="AW178" i="1"/>
  <c r="AX178" i="1"/>
  <c r="AY178" i="1"/>
  <c r="AZ178" i="1"/>
  <c r="BA178" i="1"/>
  <c r="B179" i="1"/>
  <c r="C179" i="1"/>
  <c r="D179" i="1"/>
  <c r="E179" i="1"/>
  <c r="F179" i="1"/>
  <c r="G179" i="1"/>
  <c r="H179" i="1"/>
  <c r="I179" i="1"/>
  <c r="J179" i="1"/>
  <c r="K179" i="1"/>
  <c r="L179" i="1"/>
  <c r="M179" i="1"/>
  <c r="N179" i="1"/>
  <c r="O179" i="1"/>
  <c r="Q179" i="1"/>
  <c r="R179" i="1"/>
  <c r="U179" i="1"/>
  <c r="V179" i="1"/>
  <c r="W179" i="1"/>
  <c r="X179" i="1"/>
  <c r="Y179" i="1"/>
  <c r="AB179" i="1"/>
  <c r="AC179" i="1"/>
  <c r="AD179" i="1"/>
  <c r="AE179" i="1"/>
  <c r="AF179" i="1"/>
  <c r="AG179" i="1"/>
  <c r="AH179" i="1"/>
  <c r="AI179" i="1"/>
  <c r="AJ179" i="1"/>
  <c r="AK179" i="1"/>
  <c r="AL179" i="1"/>
  <c r="AN179" i="1"/>
  <c r="AO179" i="1"/>
  <c r="AP179" i="1"/>
  <c r="AQ179" i="1"/>
  <c r="AS179" i="1"/>
  <c r="AT179" i="1"/>
  <c r="AU179" i="1"/>
  <c r="AV179" i="1"/>
  <c r="AW179" i="1"/>
  <c r="AX179" i="1"/>
  <c r="AY179" i="1"/>
  <c r="AZ179" i="1"/>
  <c r="BA179" i="1"/>
  <c r="B180" i="1"/>
  <c r="C180" i="1"/>
  <c r="D180" i="1"/>
  <c r="E180" i="1"/>
  <c r="F180" i="1"/>
  <c r="G180" i="1"/>
  <c r="H180" i="1"/>
  <c r="I180" i="1"/>
  <c r="J180" i="1"/>
  <c r="K180" i="1"/>
  <c r="L180" i="1"/>
  <c r="M180" i="1"/>
  <c r="N180" i="1"/>
  <c r="O180" i="1"/>
  <c r="Q180" i="1"/>
  <c r="R180" i="1"/>
  <c r="U180" i="1"/>
  <c r="V180" i="1"/>
  <c r="W180" i="1"/>
  <c r="X180" i="1"/>
  <c r="Y180" i="1"/>
  <c r="AB180" i="1"/>
  <c r="AC180" i="1"/>
  <c r="AD180" i="1"/>
  <c r="AE180" i="1"/>
  <c r="AF180" i="1"/>
  <c r="AG180" i="1"/>
  <c r="AH180" i="1"/>
  <c r="AI180" i="1"/>
  <c r="AJ180" i="1"/>
  <c r="AK180" i="1"/>
  <c r="AL180" i="1"/>
  <c r="AN180" i="1"/>
  <c r="AO180" i="1"/>
  <c r="AP180" i="1"/>
  <c r="AQ180" i="1"/>
  <c r="AS180" i="1"/>
  <c r="AT180" i="1"/>
  <c r="AU180" i="1"/>
  <c r="AV180" i="1"/>
  <c r="AW180" i="1"/>
  <c r="AX180" i="1"/>
  <c r="AY180" i="1"/>
  <c r="AZ180" i="1"/>
  <c r="BA180" i="1"/>
  <c r="B181" i="1"/>
  <c r="C181" i="1"/>
  <c r="D181" i="1"/>
  <c r="E181" i="1"/>
  <c r="F181" i="1"/>
  <c r="G181" i="1"/>
  <c r="H181" i="1"/>
  <c r="I181" i="1"/>
  <c r="J181" i="1"/>
  <c r="K181" i="1"/>
  <c r="L181" i="1"/>
  <c r="M181" i="1"/>
  <c r="N181" i="1"/>
  <c r="O181" i="1"/>
  <c r="Q181" i="1"/>
  <c r="R181" i="1"/>
  <c r="U181" i="1"/>
  <c r="V181" i="1"/>
  <c r="W181" i="1"/>
  <c r="X181" i="1"/>
  <c r="Y181" i="1"/>
  <c r="AB181" i="1"/>
  <c r="AC181" i="1"/>
  <c r="AD181" i="1"/>
  <c r="AE181" i="1"/>
  <c r="AF181" i="1"/>
  <c r="AG181" i="1"/>
  <c r="AH181" i="1"/>
  <c r="AI181" i="1"/>
  <c r="AJ181" i="1"/>
  <c r="AK181" i="1"/>
  <c r="AL181" i="1"/>
  <c r="AN181" i="1"/>
  <c r="AO181" i="1"/>
  <c r="AP181" i="1"/>
  <c r="AQ181" i="1"/>
  <c r="AS181" i="1"/>
  <c r="AT181" i="1"/>
  <c r="AU181" i="1"/>
  <c r="AV181" i="1"/>
  <c r="AW181" i="1"/>
  <c r="AX181" i="1"/>
  <c r="AY181" i="1"/>
  <c r="AZ181" i="1"/>
  <c r="BA181" i="1"/>
  <c r="B182" i="1"/>
  <c r="C182" i="1"/>
  <c r="D182" i="1"/>
  <c r="E182" i="1"/>
  <c r="F182" i="1"/>
  <c r="G182" i="1"/>
  <c r="H182" i="1"/>
  <c r="I182" i="1"/>
  <c r="J182" i="1"/>
  <c r="K182" i="1"/>
  <c r="L182" i="1"/>
  <c r="M182" i="1"/>
  <c r="N182" i="1"/>
  <c r="O182" i="1"/>
  <c r="Q182" i="1"/>
  <c r="R182" i="1"/>
  <c r="U182" i="1"/>
  <c r="V182" i="1"/>
  <c r="W182" i="1"/>
  <c r="X182" i="1"/>
  <c r="Y182" i="1"/>
  <c r="AB182" i="1"/>
  <c r="AC182" i="1"/>
  <c r="AD182" i="1"/>
  <c r="AE182" i="1"/>
  <c r="AF182" i="1"/>
  <c r="AG182" i="1"/>
  <c r="AH182" i="1"/>
  <c r="AI182" i="1"/>
  <c r="AJ182" i="1"/>
  <c r="AK182" i="1"/>
  <c r="AL182" i="1"/>
  <c r="AN182" i="1"/>
  <c r="AO182" i="1"/>
  <c r="AP182" i="1"/>
  <c r="AQ182" i="1"/>
  <c r="AS182" i="1"/>
  <c r="AT182" i="1"/>
  <c r="AU182" i="1"/>
  <c r="AV182" i="1"/>
  <c r="AW182" i="1"/>
  <c r="AX182" i="1"/>
  <c r="AY182" i="1"/>
  <c r="AZ182" i="1"/>
  <c r="BA182" i="1"/>
  <c r="B183" i="1"/>
  <c r="C183" i="1"/>
  <c r="D183" i="1"/>
  <c r="E183" i="1"/>
  <c r="F183" i="1"/>
  <c r="G183" i="1"/>
  <c r="H183" i="1"/>
  <c r="I183" i="1"/>
  <c r="J183" i="1"/>
  <c r="K183" i="1"/>
  <c r="L183" i="1"/>
  <c r="M183" i="1"/>
  <c r="N183" i="1"/>
  <c r="O183" i="1"/>
  <c r="Q183" i="1"/>
  <c r="R183" i="1"/>
  <c r="U183" i="1"/>
  <c r="V183" i="1"/>
  <c r="W183" i="1"/>
  <c r="X183" i="1"/>
  <c r="Y183" i="1"/>
  <c r="AB183" i="1"/>
  <c r="AC183" i="1"/>
  <c r="AD183" i="1"/>
  <c r="AE183" i="1"/>
  <c r="AF183" i="1"/>
  <c r="AG183" i="1"/>
  <c r="AH183" i="1"/>
  <c r="AI183" i="1"/>
  <c r="AJ183" i="1"/>
  <c r="AK183" i="1"/>
  <c r="AL183" i="1"/>
  <c r="AN183" i="1"/>
  <c r="AO183" i="1"/>
  <c r="AP183" i="1"/>
  <c r="AQ183" i="1"/>
  <c r="AS183" i="1"/>
  <c r="AT183" i="1"/>
  <c r="AU183" i="1"/>
  <c r="AV183" i="1"/>
  <c r="AW183" i="1"/>
  <c r="AX183" i="1"/>
  <c r="AY183" i="1"/>
  <c r="AZ183" i="1"/>
  <c r="BA183" i="1"/>
  <c r="B184" i="1"/>
  <c r="C184" i="1"/>
  <c r="D184" i="1"/>
  <c r="E184" i="1"/>
  <c r="F184" i="1"/>
  <c r="G184" i="1"/>
  <c r="H184" i="1"/>
  <c r="I184" i="1"/>
  <c r="J184" i="1"/>
  <c r="K184" i="1"/>
  <c r="L184" i="1"/>
  <c r="M184" i="1"/>
  <c r="N184" i="1"/>
  <c r="O184" i="1"/>
  <c r="Q184" i="1"/>
  <c r="R184" i="1"/>
  <c r="U184" i="1"/>
  <c r="V184" i="1"/>
  <c r="W184" i="1"/>
  <c r="X184" i="1"/>
  <c r="Y184" i="1"/>
  <c r="AB184" i="1"/>
  <c r="AC184" i="1"/>
  <c r="AD184" i="1"/>
  <c r="AE184" i="1"/>
  <c r="AF184" i="1"/>
  <c r="AG184" i="1"/>
  <c r="AH184" i="1"/>
  <c r="AI184" i="1"/>
  <c r="AJ184" i="1"/>
  <c r="AK184" i="1"/>
  <c r="AL184" i="1"/>
  <c r="AN184" i="1"/>
  <c r="AO184" i="1"/>
  <c r="AP184" i="1"/>
  <c r="AQ184" i="1"/>
  <c r="AS184" i="1"/>
  <c r="AT184" i="1"/>
  <c r="AU184" i="1"/>
  <c r="AV184" i="1"/>
  <c r="AW184" i="1"/>
  <c r="AX184" i="1"/>
  <c r="AY184" i="1"/>
  <c r="AZ184" i="1"/>
  <c r="BA184" i="1"/>
  <c r="B185" i="1"/>
  <c r="C185" i="1"/>
  <c r="D185" i="1"/>
  <c r="E185" i="1"/>
  <c r="F185" i="1"/>
  <c r="G185" i="1"/>
  <c r="H185" i="1"/>
  <c r="I185" i="1"/>
  <c r="J185" i="1"/>
  <c r="K185" i="1"/>
  <c r="L185" i="1"/>
  <c r="M185" i="1"/>
  <c r="N185" i="1"/>
  <c r="O185" i="1"/>
  <c r="Q185" i="1"/>
  <c r="R185" i="1"/>
  <c r="U185" i="1"/>
  <c r="V185" i="1"/>
  <c r="W185" i="1"/>
  <c r="X185" i="1"/>
  <c r="Y185" i="1"/>
  <c r="AB185" i="1"/>
  <c r="AC185" i="1"/>
  <c r="AD185" i="1"/>
  <c r="AE185" i="1"/>
  <c r="AF185" i="1"/>
  <c r="AG185" i="1"/>
  <c r="AH185" i="1"/>
  <c r="AI185" i="1"/>
  <c r="AJ185" i="1"/>
  <c r="AK185" i="1"/>
  <c r="AL185" i="1"/>
  <c r="AN185" i="1"/>
  <c r="AO185" i="1"/>
  <c r="AP185" i="1"/>
  <c r="AQ185" i="1"/>
  <c r="AS185" i="1"/>
  <c r="AT185" i="1"/>
  <c r="AU185" i="1"/>
  <c r="AV185" i="1"/>
  <c r="AW185" i="1"/>
  <c r="AX185" i="1"/>
  <c r="AY185" i="1"/>
  <c r="AZ185" i="1"/>
  <c r="BA185" i="1"/>
  <c r="B186" i="1"/>
  <c r="C186" i="1"/>
  <c r="D186" i="1"/>
  <c r="E186" i="1"/>
  <c r="F186" i="1"/>
  <c r="G186" i="1"/>
  <c r="H186" i="1"/>
  <c r="I186" i="1"/>
  <c r="J186" i="1"/>
  <c r="K186" i="1"/>
  <c r="L186" i="1"/>
  <c r="M186" i="1"/>
  <c r="N186" i="1"/>
  <c r="O186" i="1"/>
  <c r="Q186" i="1"/>
  <c r="R186" i="1"/>
  <c r="U186" i="1"/>
  <c r="V186" i="1"/>
  <c r="W186" i="1"/>
  <c r="X186" i="1"/>
  <c r="Y186" i="1"/>
  <c r="AB186" i="1"/>
  <c r="AC186" i="1"/>
  <c r="AD186" i="1"/>
  <c r="AE186" i="1"/>
  <c r="AF186" i="1"/>
  <c r="AG186" i="1"/>
  <c r="AH186" i="1"/>
  <c r="AI186" i="1"/>
  <c r="AJ186" i="1"/>
  <c r="AK186" i="1"/>
  <c r="AL186" i="1"/>
  <c r="AN186" i="1"/>
  <c r="AO186" i="1"/>
  <c r="AP186" i="1"/>
  <c r="AQ186" i="1"/>
  <c r="AS186" i="1"/>
  <c r="AT186" i="1"/>
  <c r="AU186" i="1"/>
  <c r="AV186" i="1"/>
  <c r="AW186" i="1"/>
  <c r="AX186" i="1"/>
  <c r="AY186" i="1"/>
  <c r="AZ186" i="1"/>
  <c r="BA186" i="1"/>
  <c r="B187" i="1"/>
  <c r="C187" i="1"/>
  <c r="D187" i="1"/>
  <c r="E187" i="1"/>
  <c r="F187" i="1"/>
  <c r="G187" i="1"/>
  <c r="H187" i="1"/>
  <c r="I187" i="1"/>
  <c r="J187" i="1"/>
  <c r="K187" i="1"/>
  <c r="L187" i="1"/>
  <c r="M187" i="1"/>
  <c r="N187" i="1"/>
  <c r="O187" i="1"/>
  <c r="Q187" i="1"/>
  <c r="R187" i="1"/>
  <c r="U187" i="1"/>
  <c r="V187" i="1"/>
  <c r="W187" i="1"/>
  <c r="X187" i="1"/>
  <c r="Y187" i="1"/>
  <c r="AB187" i="1"/>
  <c r="AC187" i="1"/>
  <c r="AD187" i="1"/>
  <c r="AE187" i="1"/>
  <c r="AF187" i="1"/>
  <c r="AG187" i="1"/>
  <c r="AH187" i="1"/>
  <c r="AI187" i="1"/>
  <c r="AJ187" i="1"/>
  <c r="AK187" i="1"/>
  <c r="AL187" i="1"/>
  <c r="AN187" i="1"/>
  <c r="AO187" i="1"/>
  <c r="AP187" i="1"/>
  <c r="AQ187" i="1"/>
  <c r="AS187" i="1"/>
  <c r="AT187" i="1"/>
  <c r="AU187" i="1"/>
  <c r="AV187" i="1"/>
  <c r="AW187" i="1"/>
  <c r="AX187" i="1"/>
  <c r="AY187" i="1"/>
  <c r="AZ187" i="1"/>
  <c r="BA187" i="1"/>
  <c r="B188" i="1"/>
  <c r="C188" i="1"/>
  <c r="D188" i="1"/>
  <c r="E188" i="1"/>
  <c r="F188" i="1"/>
  <c r="G188" i="1"/>
  <c r="H188" i="1"/>
  <c r="I188" i="1"/>
  <c r="J188" i="1"/>
  <c r="K188" i="1"/>
  <c r="L188" i="1"/>
  <c r="M188" i="1"/>
  <c r="N188" i="1"/>
  <c r="O188" i="1"/>
  <c r="Q188" i="1"/>
  <c r="R188" i="1"/>
  <c r="U188" i="1"/>
  <c r="V188" i="1"/>
  <c r="W188" i="1"/>
  <c r="X188" i="1"/>
  <c r="Y188" i="1"/>
  <c r="AB188" i="1"/>
  <c r="AC188" i="1"/>
  <c r="AD188" i="1"/>
  <c r="AE188" i="1"/>
  <c r="AF188" i="1"/>
  <c r="AG188" i="1"/>
  <c r="AH188" i="1"/>
  <c r="AI188" i="1"/>
  <c r="AJ188" i="1"/>
  <c r="AK188" i="1"/>
  <c r="AL188" i="1"/>
  <c r="AN188" i="1"/>
  <c r="AO188" i="1"/>
  <c r="AP188" i="1"/>
  <c r="AQ188" i="1"/>
  <c r="AS188" i="1"/>
  <c r="AT188" i="1"/>
  <c r="AU188" i="1"/>
  <c r="AV188" i="1"/>
  <c r="AW188" i="1"/>
  <c r="AX188" i="1"/>
  <c r="AY188" i="1"/>
  <c r="AZ188" i="1"/>
  <c r="BA188" i="1"/>
  <c r="B189" i="1"/>
  <c r="C189" i="1"/>
  <c r="D189" i="1"/>
  <c r="E189" i="1"/>
  <c r="F189" i="1"/>
  <c r="G189" i="1"/>
  <c r="H189" i="1"/>
  <c r="I189" i="1"/>
  <c r="J189" i="1"/>
  <c r="K189" i="1"/>
  <c r="L189" i="1"/>
  <c r="M189" i="1"/>
  <c r="N189" i="1"/>
  <c r="O189" i="1"/>
  <c r="Q189" i="1"/>
  <c r="R189" i="1"/>
  <c r="U189" i="1"/>
  <c r="V189" i="1"/>
  <c r="W189" i="1"/>
  <c r="X189" i="1"/>
  <c r="Y189" i="1"/>
  <c r="AB189" i="1"/>
  <c r="AC189" i="1"/>
  <c r="AD189" i="1"/>
  <c r="AE189" i="1"/>
  <c r="AF189" i="1"/>
  <c r="AG189" i="1"/>
  <c r="AH189" i="1"/>
  <c r="AI189" i="1"/>
  <c r="AJ189" i="1"/>
  <c r="AK189" i="1"/>
  <c r="AL189" i="1"/>
  <c r="AN189" i="1"/>
  <c r="AO189" i="1"/>
  <c r="AP189" i="1"/>
  <c r="AQ189" i="1"/>
  <c r="AS189" i="1"/>
  <c r="AT189" i="1"/>
  <c r="AU189" i="1"/>
  <c r="AV189" i="1"/>
  <c r="AW189" i="1"/>
  <c r="AX189" i="1"/>
  <c r="AY189" i="1"/>
  <c r="AZ189" i="1"/>
  <c r="BA189" i="1"/>
  <c r="B190" i="1"/>
  <c r="C190" i="1"/>
  <c r="D190" i="1"/>
  <c r="E190" i="1"/>
  <c r="F190" i="1"/>
  <c r="G190" i="1"/>
  <c r="H190" i="1"/>
  <c r="I190" i="1"/>
  <c r="J190" i="1"/>
  <c r="K190" i="1"/>
  <c r="L190" i="1"/>
  <c r="M190" i="1"/>
  <c r="N190" i="1"/>
  <c r="O190" i="1"/>
  <c r="Q190" i="1"/>
  <c r="R190" i="1"/>
  <c r="U190" i="1"/>
  <c r="V190" i="1"/>
  <c r="W190" i="1"/>
  <c r="X190" i="1"/>
  <c r="Y190" i="1"/>
  <c r="AB190" i="1"/>
  <c r="AC190" i="1"/>
  <c r="AD190" i="1"/>
  <c r="AE190" i="1"/>
  <c r="AF190" i="1"/>
  <c r="AG190" i="1"/>
  <c r="AH190" i="1"/>
  <c r="AI190" i="1"/>
  <c r="AJ190" i="1"/>
  <c r="AK190" i="1"/>
  <c r="AL190" i="1"/>
  <c r="AN190" i="1"/>
  <c r="AO190" i="1"/>
  <c r="AP190" i="1"/>
  <c r="AQ190" i="1"/>
  <c r="AS190" i="1"/>
  <c r="AT190" i="1"/>
  <c r="AU190" i="1"/>
  <c r="AV190" i="1"/>
  <c r="AW190" i="1"/>
  <c r="AX190" i="1"/>
  <c r="AY190" i="1"/>
  <c r="AZ190" i="1"/>
  <c r="BA190" i="1"/>
  <c r="B191" i="1"/>
  <c r="C191" i="1"/>
  <c r="D191" i="1"/>
  <c r="E191" i="1"/>
  <c r="F191" i="1"/>
  <c r="G191" i="1"/>
  <c r="H191" i="1"/>
  <c r="I191" i="1"/>
  <c r="J191" i="1"/>
  <c r="K191" i="1"/>
  <c r="L191" i="1"/>
  <c r="M191" i="1"/>
  <c r="N191" i="1"/>
  <c r="O191" i="1"/>
  <c r="Q191" i="1"/>
  <c r="R191" i="1"/>
  <c r="U191" i="1"/>
  <c r="V191" i="1"/>
  <c r="W191" i="1"/>
  <c r="X191" i="1"/>
  <c r="Y191" i="1"/>
  <c r="AB191" i="1"/>
  <c r="AC191" i="1"/>
  <c r="AD191" i="1"/>
  <c r="AE191" i="1"/>
  <c r="AF191" i="1"/>
  <c r="AG191" i="1"/>
  <c r="AH191" i="1"/>
  <c r="AI191" i="1"/>
  <c r="AJ191" i="1"/>
  <c r="AK191" i="1"/>
  <c r="AL191" i="1"/>
  <c r="AN191" i="1"/>
  <c r="AO191" i="1"/>
  <c r="AP191" i="1"/>
  <c r="AQ191" i="1"/>
  <c r="AS191" i="1"/>
  <c r="AT191" i="1"/>
  <c r="AU191" i="1"/>
  <c r="AV191" i="1"/>
  <c r="AW191" i="1"/>
  <c r="AX191" i="1"/>
  <c r="AY191" i="1"/>
  <c r="AZ191" i="1"/>
  <c r="BA191" i="1"/>
  <c r="B192" i="1"/>
  <c r="C192" i="1"/>
  <c r="D192" i="1"/>
  <c r="E192" i="1"/>
  <c r="F192" i="1"/>
  <c r="G192" i="1"/>
  <c r="H192" i="1"/>
  <c r="I192" i="1"/>
  <c r="J192" i="1"/>
  <c r="K192" i="1"/>
  <c r="L192" i="1"/>
  <c r="M192" i="1"/>
  <c r="N192" i="1"/>
  <c r="O192" i="1"/>
  <c r="Q192" i="1"/>
  <c r="R192" i="1"/>
  <c r="U192" i="1"/>
  <c r="V192" i="1"/>
  <c r="W192" i="1"/>
  <c r="X192" i="1"/>
  <c r="Y192" i="1"/>
  <c r="AB192" i="1"/>
  <c r="AC192" i="1"/>
  <c r="AD192" i="1"/>
  <c r="AE192" i="1"/>
  <c r="AF192" i="1"/>
  <c r="AG192" i="1"/>
  <c r="AH192" i="1"/>
  <c r="AI192" i="1"/>
  <c r="AJ192" i="1"/>
  <c r="AK192" i="1"/>
  <c r="AL192" i="1"/>
  <c r="AN192" i="1"/>
  <c r="AO192" i="1"/>
  <c r="AP192" i="1"/>
  <c r="AQ192" i="1"/>
  <c r="AS192" i="1"/>
  <c r="AT192" i="1"/>
  <c r="AU192" i="1"/>
  <c r="AV192" i="1"/>
  <c r="AW192" i="1"/>
  <c r="AX192" i="1"/>
  <c r="AY192" i="1"/>
  <c r="AZ192" i="1"/>
  <c r="BA192" i="1"/>
  <c r="B193" i="1"/>
  <c r="C193" i="1"/>
  <c r="D193" i="1"/>
  <c r="E193" i="1"/>
  <c r="F193" i="1"/>
  <c r="G193" i="1"/>
  <c r="H193" i="1"/>
  <c r="I193" i="1"/>
  <c r="J193" i="1"/>
  <c r="K193" i="1"/>
  <c r="L193" i="1"/>
  <c r="M193" i="1"/>
  <c r="N193" i="1"/>
  <c r="O193" i="1"/>
  <c r="Q193" i="1"/>
  <c r="R193" i="1"/>
  <c r="U193" i="1"/>
  <c r="V193" i="1"/>
  <c r="W193" i="1"/>
  <c r="X193" i="1"/>
  <c r="Y193" i="1"/>
  <c r="AB193" i="1"/>
  <c r="AC193" i="1"/>
  <c r="AD193" i="1"/>
  <c r="AE193" i="1"/>
  <c r="AF193" i="1"/>
  <c r="AG193" i="1"/>
  <c r="AH193" i="1"/>
  <c r="AI193" i="1"/>
  <c r="AJ193" i="1"/>
  <c r="AK193" i="1"/>
  <c r="AL193" i="1"/>
  <c r="AN193" i="1"/>
  <c r="AO193" i="1"/>
  <c r="AP193" i="1"/>
  <c r="AQ193" i="1"/>
  <c r="AS193" i="1"/>
  <c r="AT193" i="1"/>
  <c r="AU193" i="1"/>
  <c r="AV193" i="1"/>
  <c r="AW193" i="1"/>
  <c r="AX193" i="1"/>
  <c r="AY193" i="1"/>
  <c r="AZ193" i="1"/>
  <c r="BA193" i="1"/>
  <c r="B194" i="1"/>
  <c r="C194" i="1"/>
  <c r="D194" i="1"/>
  <c r="E194" i="1"/>
  <c r="F194" i="1"/>
  <c r="G194" i="1"/>
  <c r="H194" i="1"/>
  <c r="I194" i="1"/>
  <c r="J194" i="1"/>
  <c r="K194" i="1"/>
  <c r="L194" i="1"/>
  <c r="M194" i="1"/>
  <c r="N194" i="1"/>
  <c r="O194" i="1"/>
  <c r="Q194" i="1"/>
  <c r="R194" i="1"/>
  <c r="U194" i="1"/>
  <c r="V194" i="1"/>
  <c r="W194" i="1"/>
  <c r="X194" i="1"/>
  <c r="Y194" i="1"/>
  <c r="AB194" i="1"/>
  <c r="AC194" i="1"/>
  <c r="AD194" i="1"/>
  <c r="AE194" i="1"/>
  <c r="AF194" i="1"/>
  <c r="AG194" i="1"/>
  <c r="AH194" i="1"/>
  <c r="AI194" i="1"/>
  <c r="AJ194" i="1"/>
  <c r="AK194" i="1"/>
  <c r="AL194" i="1"/>
  <c r="AN194" i="1"/>
  <c r="AO194" i="1"/>
  <c r="AP194" i="1"/>
  <c r="AQ194" i="1"/>
  <c r="AS194" i="1"/>
  <c r="AT194" i="1"/>
  <c r="AU194" i="1"/>
  <c r="AV194" i="1"/>
  <c r="AW194" i="1"/>
  <c r="AX194" i="1"/>
  <c r="AY194" i="1"/>
  <c r="AZ194" i="1"/>
  <c r="BA194" i="1"/>
  <c r="B195" i="1"/>
  <c r="C195" i="1"/>
  <c r="D195" i="1"/>
  <c r="E195" i="1"/>
  <c r="F195" i="1"/>
  <c r="G195" i="1"/>
  <c r="H195" i="1"/>
  <c r="I195" i="1"/>
  <c r="J195" i="1"/>
  <c r="K195" i="1"/>
  <c r="L195" i="1"/>
  <c r="M195" i="1"/>
  <c r="N195" i="1"/>
  <c r="O195" i="1"/>
  <c r="Q195" i="1"/>
  <c r="R195" i="1"/>
  <c r="U195" i="1"/>
  <c r="V195" i="1"/>
  <c r="W195" i="1"/>
  <c r="X195" i="1"/>
  <c r="Y195" i="1"/>
  <c r="AB195" i="1"/>
  <c r="AC195" i="1"/>
  <c r="AD195" i="1"/>
  <c r="AE195" i="1"/>
  <c r="AF195" i="1"/>
  <c r="AG195" i="1"/>
  <c r="AH195" i="1"/>
  <c r="AI195" i="1"/>
  <c r="AJ195" i="1"/>
  <c r="AK195" i="1"/>
  <c r="AL195" i="1"/>
  <c r="AN195" i="1"/>
  <c r="AO195" i="1"/>
  <c r="AP195" i="1"/>
  <c r="AQ195" i="1"/>
  <c r="AS195" i="1"/>
  <c r="AT195" i="1"/>
  <c r="AU195" i="1"/>
  <c r="AV195" i="1"/>
  <c r="AW195" i="1"/>
  <c r="AX195" i="1"/>
  <c r="AY195" i="1"/>
  <c r="AZ195" i="1"/>
  <c r="BA195" i="1"/>
  <c r="B196" i="1"/>
  <c r="C196" i="1"/>
  <c r="D196" i="1"/>
  <c r="E196" i="1"/>
  <c r="F196" i="1"/>
  <c r="G196" i="1"/>
  <c r="H196" i="1"/>
  <c r="I196" i="1"/>
  <c r="J196" i="1"/>
  <c r="K196" i="1"/>
  <c r="L196" i="1"/>
  <c r="M196" i="1"/>
  <c r="N196" i="1"/>
  <c r="O196" i="1"/>
  <c r="Q196" i="1"/>
  <c r="R196" i="1"/>
  <c r="U196" i="1"/>
  <c r="V196" i="1"/>
  <c r="W196" i="1"/>
  <c r="X196" i="1"/>
  <c r="Y196" i="1"/>
  <c r="AB196" i="1"/>
  <c r="AC196" i="1"/>
  <c r="AD196" i="1"/>
  <c r="AE196" i="1"/>
  <c r="AF196" i="1"/>
  <c r="AG196" i="1"/>
  <c r="AH196" i="1"/>
  <c r="AI196" i="1"/>
  <c r="AJ196" i="1"/>
  <c r="AK196" i="1"/>
  <c r="AL196" i="1"/>
  <c r="AN196" i="1"/>
  <c r="AO196" i="1"/>
  <c r="AP196" i="1"/>
  <c r="AQ196" i="1"/>
  <c r="AS196" i="1"/>
  <c r="AT196" i="1"/>
  <c r="AU196" i="1"/>
  <c r="AV196" i="1"/>
  <c r="AW196" i="1"/>
  <c r="AX196" i="1"/>
  <c r="AY196" i="1"/>
  <c r="AZ196" i="1"/>
  <c r="BA196" i="1"/>
  <c r="B197" i="1"/>
  <c r="C197" i="1"/>
  <c r="D197" i="1"/>
  <c r="E197" i="1"/>
  <c r="F197" i="1"/>
  <c r="G197" i="1"/>
  <c r="H197" i="1"/>
  <c r="I197" i="1"/>
  <c r="J197" i="1"/>
  <c r="K197" i="1"/>
  <c r="L197" i="1"/>
  <c r="M197" i="1"/>
  <c r="N197" i="1"/>
  <c r="O197" i="1"/>
  <c r="Q197" i="1"/>
  <c r="R197" i="1"/>
  <c r="U197" i="1"/>
  <c r="V197" i="1"/>
  <c r="W197" i="1"/>
  <c r="X197" i="1"/>
  <c r="Y197" i="1"/>
  <c r="AB197" i="1"/>
  <c r="AC197" i="1"/>
  <c r="AD197" i="1"/>
  <c r="AE197" i="1"/>
  <c r="AF197" i="1"/>
  <c r="AG197" i="1"/>
  <c r="AH197" i="1"/>
  <c r="AI197" i="1"/>
  <c r="AJ197" i="1"/>
  <c r="AK197" i="1"/>
  <c r="AL197" i="1"/>
  <c r="AN197" i="1"/>
  <c r="AO197" i="1"/>
  <c r="AP197" i="1"/>
  <c r="AQ197" i="1"/>
  <c r="AS197" i="1"/>
  <c r="AT197" i="1"/>
  <c r="AU197" i="1"/>
  <c r="AV197" i="1"/>
  <c r="AW197" i="1"/>
  <c r="AX197" i="1"/>
  <c r="AY197" i="1"/>
  <c r="AZ197" i="1"/>
  <c r="BA197" i="1"/>
  <c r="B198" i="1"/>
  <c r="C198" i="1"/>
  <c r="D198" i="1"/>
  <c r="E198" i="1"/>
  <c r="F198" i="1"/>
  <c r="G198" i="1"/>
  <c r="H198" i="1"/>
  <c r="I198" i="1"/>
  <c r="J198" i="1"/>
  <c r="K198" i="1"/>
  <c r="L198" i="1"/>
  <c r="M198" i="1"/>
  <c r="N198" i="1"/>
  <c r="O198" i="1"/>
  <c r="Q198" i="1"/>
  <c r="R198" i="1"/>
  <c r="U198" i="1"/>
  <c r="V198" i="1"/>
  <c r="W198" i="1"/>
  <c r="X198" i="1"/>
  <c r="Y198" i="1"/>
  <c r="AB198" i="1"/>
  <c r="AC198" i="1"/>
  <c r="AD198" i="1"/>
  <c r="AE198" i="1"/>
  <c r="AF198" i="1"/>
  <c r="AG198" i="1"/>
  <c r="AH198" i="1"/>
  <c r="AI198" i="1"/>
  <c r="AJ198" i="1"/>
  <c r="AK198" i="1"/>
  <c r="AL198" i="1"/>
  <c r="AN198" i="1"/>
  <c r="AO198" i="1"/>
  <c r="AP198" i="1"/>
  <c r="AQ198" i="1"/>
  <c r="AS198" i="1"/>
  <c r="AT198" i="1"/>
  <c r="AU198" i="1"/>
  <c r="AV198" i="1"/>
  <c r="AW198" i="1"/>
  <c r="AX198" i="1"/>
  <c r="AY198" i="1"/>
  <c r="AZ198" i="1"/>
  <c r="BA198" i="1"/>
  <c r="B199" i="1"/>
  <c r="C199" i="1"/>
  <c r="D199" i="1"/>
  <c r="E199" i="1"/>
  <c r="F199" i="1"/>
  <c r="G199" i="1"/>
  <c r="H199" i="1"/>
  <c r="I199" i="1"/>
  <c r="J199" i="1"/>
  <c r="K199" i="1"/>
  <c r="L199" i="1"/>
  <c r="M199" i="1"/>
  <c r="N199" i="1"/>
  <c r="O199" i="1"/>
  <c r="Q199" i="1"/>
  <c r="R199" i="1"/>
  <c r="U199" i="1"/>
  <c r="V199" i="1"/>
  <c r="W199" i="1"/>
  <c r="X199" i="1"/>
  <c r="Y199" i="1"/>
  <c r="AB199" i="1"/>
  <c r="AC199" i="1"/>
  <c r="AD199" i="1"/>
  <c r="AE199" i="1"/>
  <c r="AF199" i="1"/>
  <c r="AG199" i="1"/>
  <c r="AH199" i="1"/>
  <c r="AI199" i="1"/>
  <c r="AJ199" i="1"/>
  <c r="AK199" i="1"/>
  <c r="AL199" i="1"/>
  <c r="AN199" i="1"/>
  <c r="AO199" i="1"/>
  <c r="AP199" i="1"/>
  <c r="AQ199" i="1"/>
  <c r="AS199" i="1"/>
  <c r="AT199" i="1"/>
  <c r="AU199" i="1"/>
  <c r="AV199" i="1"/>
  <c r="AW199" i="1"/>
  <c r="AX199" i="1"/>
  <c r="AY199" i="1"/>
  <c r="AZ199" i="1"/>
  <c r="BA199" i="1"/>
  <c r="B200" i="1"/>
  <c r="C200" i="1"/>
  <c r="D200" i="1"/>
  <c r="E200" i="1"/>
  <c r="F200" i="1"/>
  <c r="G200" i="1"/>
  <c r="H200" i="1"/>
  <c r="I200" i="1"/>
  <c r="J200" i="1"/>
  <c r="K200" i="1"/>
  <c r="L200" i="1"/>
  <c r="M200" i="1"/>
  <c r="N200" i="1"/>
  <c r="O200" i="1"/>
  <c r="Q200" i="1"/>
  <c r="R200" i="1"/>
  <c r="U200" i="1"/>
  <c r="V200" i="1"/>
  <c r="W200" i="1"/>
  <c r="X200" i="1"/>
  <c r="Y200" i="1"/>
  <c r="AB200" i="1"/>
  <c r="AC200" i="1"/>
  <c r="AD200" i="1"/>
  <c r="AE200" i="1"/>
  <c r="AF200" i="1"/>
  <c r="AG200" i="1"/>
  <c r="AH200" i="1"/>
  <c r="AI200" i="1"/>
  <c r="AJ200" i="1"/>
  <c r="AK200" i="1"/>
  <c r="AL200" i="1"/>
  <c r="AN200" i="1"/>
  <c r="AO200" i="1"/>
  <c r="AP200" i="1"/>
  <c r="AQ200" i="1"/>
  <c r="AS200" i="1"/>
  <c r="AT200" i="1"/>
  <c r="AU200" i="1"/>
  <c r="AV200" i="1"/>
  <c r="AW200" i="1"/>
  <c r="AX200" i="1"/>
  <c r="AY200" i="1"/>
  <c r="AZ200" i="1"/>
  <c r="BA200" i="1"/>
  <c r="B201" i="1"/>
  <c r="C201" i="1"/>
  <c r="D201" i="1"/>
  <c r="E201" i="1"/>
  <c r="F201" i="1"/>
  <c r="G201" i="1"/>
  <c r="H201" i="1"/>
  <c r="I201" i="1"/>
  <c r="J201" i="1"/>
  <c r="K201" i="1"/>
  <c r="L201" i="1"/>
  <c r="M201" i="1"/>
  <c r="N201" i="1"/>
  <c r="O201" i="1"/>
  <c r="Q201" i="1"/>
  <c r="R201" i="1"/>
  <c r="U201" i="1"/>
  <c r="V201" i="1"/>
  <c r="W201" i="1"/>
  <c r="X201" i="1"/>
  <c r="Y201" i="1"/>
  <c r="AB201" i="1"/>
  <c r="AC201" i="1"/>
  <c r="AD201" i="1"/>
  <c r="AE201" i="1"/>
  <c r="AF201" i="1"/>
  <c r="AG201" i="1"/>
  <c r="AH201" i="1"/>
  <c r="AI201" i="1"/>
  <c r="AJ201" i="1"/>
  <c r="AK201" i="1"/>
  <c r="AL201" i="1"/>
  <c r="AN201" i="1"/>
  <c r="AO201" i="1"/>
  <c r="AP201" i="1"/>
  <c r="AQ201" i="1"/>
  <c r="AS201" i="1"/>
  <c r="AT201" i="1"/>
  <c r="AU201" i="1"/>
  <c r="AV201" i="1"/>
  <c r="AW201" i="1"/>
  <c r="AX201" i="1"/>
  <c r="AY201" i="1"/>
  <c r="AZ201" i="1"/>
  <c r="BA201" i="1"/>
  <c r="B202" i="1"/>
  <c r="C202" i="1"/>
  <c r="D202" i="1"/>
  <c r="E202" i="1"/>
  <c r="F202" i="1"/>
  <c r="G202" i="1"/>
  <c r="H202" i="1"/>
  <c r="I202" i="1"/>
  <c r="J202" i="1"/>
  <c r="K202" i="1"/>
  <c r="L202" i="1"/>
  <c r="M202" i="1"/>
  <c r="N202" i="1"/>
  <c r="O202" i="1"/>
  <c r="Q202" i="1"/>
  <c r="R202" i="1"/>
  <c r="U202" i="1"/>
  <c r="V202" i="1"/>
  <c r="W202" i="1"/>
  <c r="X202" i="1"/>
  <c r="Y202" i="1"/>
  <c r="AB202" i="1"/>
  <c r="AC202" i="1"/>
  <c r="AD202" i="1"/>
  <c r="AE202" i="1"/>
  <c r="AF202" i="1"/>
  <c r="AG202" i="1"/>
  <c r="AH202" i="1"/>
  <c r="AI202" i="1"/>
  <c r="AJ202" i="1"/>
  <c r="AK202" i="1"/>
  <c r="AL202" i="1"/>
  <c r="AN202" i="1"/>
  <c r="AO202" i="1"/>
  <c r="AP202" i="1"/>
  <c r="AQ202" i="1"/>
  <c r="AS202" i="1"/>
  <c r="AT202" i="1"/>
  <c r="AU202" i="1"/>
  <c r="AV202" i="1"/>
  <c r="AW202" i="1"/>
  <c r="AX202" i="1"/>
  <c r="AY202" i="1"/>
  <c r="AZ202" i="1"/>
  <c r="BA202" i="1"/>
  <c r="B203" i="1"/>
  <c r="C203" i="1"/>
  <c r="D203" i="1"/>
  <c r="E203" i="1"/>
  <c r="F203" i="1"/>
  <c r="G203" i="1"/>
  <c r="H203" i="1"/>
  <c r="I203" i="1"/>
  <c r="J203" i="1"/>
  <c r="K203" i="1"/>
  <c r="L203" i="1"/>
  <c r="M203" i="1"/>
  <c r="N203" i="1"/>
  <c r="O203" i="1"/>
  <c r="Q203" i="1"/>
  <c r="R203" i="1"/>
  <c r="U203" i="1"/>
  <c r="V203" i="1"/>
  <c r="W203" i="1"/>
  <c r="X203" i="1"/>
  <c r="Y203" i="1"/>
  <c r="AB203" i="1"/>
  <c r="AC203" i="1"/>
  <c r="AD203" i="1"/>
  <c r="AE203" i="1"/>
  <c r="AF203" i="1"/>
  <c r="AG203" i="1"/>
  <c r="AH203" i="1"/>
  <c r="AI203" i="1"/>
  <c r="AJ203" i="1"/>
  <c r="AK203" i="1"/>
  <c r="AL203" i="1"/>
  <c r="AN203" i="1"/>
  <c r="AO203" i="1"/>
  <c r="AP203" i="1"/>
  <c r="AQ203" i="1"/>
  <c r="AS203" i="1"/>
  <c r="AT203" i="1"/>
  <c r="AU203" i="1"/>
  <c r="AV203" i="1"/>
  <c r="AW203" i="1"/>
  <c r="AX203" i="1"/>
  <c r="AY203" i="1"/>
  <c r="AZ203" i="1"/>
  <c r="BA203" i="1"/>
  <c r="B204" i="1"/>
  <c r="C204" i="1"/>
  <c r="D204" i="1"/>
  <c r="E204" i="1"/>
  <c r="F204" i="1"/>
  <c r="G204" i="1"/>
  <c r="H204" i="1"/>
  <c r="I204" i="1"/>
  <c r="J204" i="1"/>
  <c r="K204" i="1"/>
  <c r="L204" i="1"/>
  <c r="M204" i="1"/>
  <c r="N204" i="1"/>
  <c r="O204" i="1"/>
  <c r="Q204" i="1"/>
  <c r="R204" i="1"/>
  <c r="U204" i="1"/>
  <c r="V204" i="1"/>
  <c r="W204" i="1"/>
  <c r="X204" i="1"/>
  <c r="Y204" i="1"/>
  <c r="AB204" i="1"/>
  <c r="AC204" i="1"/>
  <c r="AD204" i="1"/>
  <c r="AE204" i="1"/>
  <c r="AF204" i="1"/>
  <c r="AG204" i="1"/>
  <c r="AH204" i="1"/>
  <c r="AI204" i="1"/>
  <c r="AJ204" i="1"/>
  <c r="AK204" i="1"/>
  <c r="AL204" i="1"/>
  <c r="AN204" i="1"/>
  <c r="AO204" i="1"/>
  <c r="AP204" i="1"/>
  <c r="AQ204" i="1"/>
  <c r="AS204" i="1"/>
  <c r="AT204" i="1"/>
  <c r="AU204" i="1"/>
  <c r="AV204" i="1"/>
  <c r="AW204" i="1"/>
  <c r="AX204" i="1"/>
  <c r="AY204" i="1"/>
  <c r="AZ204" i="1"/>
  <c r="BA204" i="1"/>
  <c r="B205" i="1"/>
  <c r="C205" i="1"/>
  <c r="D205" i="1"/>
  <c r="E205" i="1"/>
  <c r="F205" i="1"/>
  <c r="G205" i="1"/>
  <c r="H205" i="1"/>
  <c r="I205" i="1"/>
  <c r="J205" i="1"/>
  <c r="K205" i="1"/>
  <c r="L205" i="1"/>
  <c r="M205" i="1"/>
  <c r="N205" i="1"/>
  <c r="O205" i="1"/>
  <c r="Q205" i="1"/>
  <c r="R205" i="1"/>
  <c r="U205" i="1"/>
  <c r="V205" i="1"/>
  <c r="W205" i="1"/>
  <c r="X205" i="1"/>
  <c r="Y205" i="1"/>
  <c r="AB205" i="1"/>
  <c r="AC205" i="1"/>
  <c r="AD205" i="1"/>
  <c r="AE205" i="1"/>
  <c r="AF205" i="1"/>
  <c r="AG205" i="1"/>
  <c r="AH205" i="1"/>
  <c r="AI205" i="1"/>
  <c r="AJ205" i="1"/>
  <c r="AK205" i="1"/>
  <c r="AL205" i="1"/>
  <c r="AN205" i="1"/>
  <c r="AO205" i="1"/>
  <c r="AP205" i="1"/>
  <c r="AQ205" i="1"/>
  <c r="AS205" i="1"/>
  <c r="AT205" i="1"/>
  <c r="AU205" i="1"/>
  <c r="AV205" i="1"/>
  <c r="AW205" i="1"/>
  <c r="AX205" i="1"/>
  <c r="AY205" i="1"/>
  <c r="AZ205" i="1"/>
  <c r="BA205" i="1"/>
  <c r="B206" i="1"/>
  <c r="C206" i="1"/>
  <c r="D206" i="1"/>
  <c r="E206" i="1"/>
  <c r="F206" i="1"/>
  <c r="G206" i="1"/>
  <c r="H206" i="1"/>
  <c r="I206" i="1"/>
  <c r="J206" i="1"/>
  <c r="K206" i="1"/>
  <c r="L206" i="1"/>
  <c r="M206" i="1"/>
  <c r="N206" i="1"/>
  <c r="O206" i="1"/>
  <c r="Q206" i="1"/>
  <c r="R206" i="1"/>
  <c r="U206" i="1"/>
  <c r="V206" i="1"/>
  <c r="W206" i="1"/>
  <c r="X206" i="1"/>
  <c r="Y206" i="1"/>
  <c r="AB206" i="1"/>
  <c r="AC206" i="1"/>
  <c r="AD206" i="1"/>
  <c r="AE206" i="1"/>
  <c r="AF206" i="1"/>
  <c r="AG206" i="1"/>
  <c r="AH206" i="1"/>
  <c r="AI206" i="1"/>
  <c r="AJ206" i="1"/>
  <c r="AK206" i="1"/>
  <c r="AL206" i="1"/>
  <c r="AN206" i="1"/>
  <c r="AO206" i="1"/>
  <c r="AP206" i="1"/>
  <c r="AQ206" i="1"/>
  <c r="AS206" i="1"/>
  <c r="AT206" i="1"/>
  <c r="AU206" i="1"/>
  <c r="AV206" i="1"/>
  <c r="AW206" i="1"/>
  <c r="AX206" i="1"/>
  <c r="AY206" i="1"/>
  <c r="AZ206" i="1"/>
  <c r="BA206" i="1"/>
  <c r="B207" i="1"/>
  <c r="C207" i="1"/>
  <c r="D207" i="1"/>
  <c r="E207" i="1"/>
  <c r="F207" i="1"/>
  <c r="G207" i="1"/>
  <c r="H207" i="1"/>
  <c r="I207" i="1"/>
  <c r="J207" i="1"/>
  <c r="K207" i="1"/>
  <c r="L207" i="1"/>
  <c r="M207" i="1"/>
  <c r="N207" i="1"/>
  <c r="O207" i="1"/>
  <c r="Q207" i="1"/>
  <c r="R207" i="1"/>
  <c r="U207" i="1"/>
  <c r="V207" i="1"/>
  <c r="W207" i="1"/>
  <c r="X207" i="1"/>
  <c r="Y207" i="1"/>
  <c r="AB207" i="1"/>
  <c r="AC207" i="1"/>
  <c r="AD207" i="1"/>
  <c r="AE207" i="1"/>
  <c r="AF207" i="1"/>
  <c r="AG207" i="1"/>
  <c r="AH207" i="1"/>
  <c r="AI207" i="1"/>
  <c r="AJ207" i="1"/>
  <c r="AK207" i="1"/>
  <c r="AL207" i="1"/>
  <c r="AN207" i="1"/>
  <c r="AO207" i="1"/>
  <c r="AP207" i="1"/>
  <c r="AQ207" i="1"/>
  <c r="AS207" i="1"/>
  <c r="AT207" i="1"/>
  <c r="AU207" i="1"/>
  <c r="AV207" i="1"/>
  <c r="AW207" i="1"/>
  <c r="AX207" i="1"/>
  <c r="AY207" i="1"/>
  <c r="AZ207" i="1"/>
  <c r="BA207" i="1"/>
  <c r="B208" i="1"/>
  <c r="C208" i="1"/>
  <c r="D208" i="1"/>
  <c r="E208" i="1"/>
  <c r="F208" i="1"/>
  <c r="G208" i="1"/>
  <c r="H208" i="1"/>
  <c r="I208" i="1"/>
  <c r="J208" i="1"/>
  <c r="K208" i="1"/>
  <c r="L208" i="1"/>
  <c r="M208" i="1"/>
  <c r="N208" i="1"/>
  <c r="O208" i="1"/>
  <c r="Q208" i="1"/>
  <c r="R208" i="1"/>
  <c r="U208" i="1"/>
  <c r="V208" i="1"/>
  <c r="W208" i="1"/>
  <c r="X208" i="1"/>
  <c r="Y208" i="1"/>
  <c r="AB208" i="1"/>
  <c r="AC208" i="1"/>
  <c r="AD208" i="1"/>
  <c r="AE208" i="1"/>
  <c r="AF208" i="1"/>
  <c r="AG208" i="1"/>
  <c r="AH208" i="1"/>
  <c r="AI208" i="1"/>
  <c r="AJ208" i="1"/>
  <c r="AK208" i="1"/>
  <c r="AL208" i="1"/>
  <c r="AM208" i="1"/>
  <c r="AN208" i="1"/>
  <c r="AO208" i="1"/>
  <c r="AP208" i="1"/>
  <c r="AQ208" i="1"/>
  <c r="AR208" i="1"/>
  <c r="AS208" i="1"/>
  <c r="AT208" i="1"/>
  <c r="AU208" i="1"/>
  <c r="AV208" i="1"/>
  <c r="AW208" i="1"/>
  <c r="AX208" i="1"/>
  <c r="AY208" i="1"/>
  <c r="AZ208" i="1"/>
  <c r="BA208" i="1"/>
  <c r="B209" i="1"/>
  <c r="C209" i="1"/>
  <c r="D209" i="1"/>
  <c r="E209" i="1"/>
  <c r="F209" i="1"/>
  <c r="G209" i="1"/>
  <c r="H209" i="1"/>
  <c r="I209" i="1"/>
  <c r="J209" i="1"/>
  <c r="K209" i="1"/>
  <c r="L209" i="1"/>
  <c r="M209" i="1"/>
  <c r="N209" i="1"/>
  <c r="O209" i="1"/>
  <c r="Q209" i="1"/>
  <c r="R209" i="1"/>
  <c r="U209" i="1"/>
  <c r="V209" i="1"/>
  <c r="W209" i="1"/>
  <c r="X209" i="1"/>
  <c r="Y209" i="1"/>
  <c r="AB209" i="1"/>
  <c r="AC209" i="1"/>
  <c r="AD209" i="1"/>
  <c r="AE209" i="1"/>
  <c r="AF209" i="1"/>
  <c r="AG209" i="1"/>
  <c r="AH209" i="1"/>
  <c r="AI209" i="1"/>
  <c r="AJ209" i="1"/>
  <c r="AK209" i="1"/>
  <c r="AL209" i="1"/>
  <c r="AM209" i="1"/>
  <c r="AN209" i="1"/>
  <c r="AO209" i="1"/>
  <c r="AP209" i="1"/>
  <c r="AQ209" i="1"/>
  <c r="AR209" i="1"/>
  <c r="AS209" i="1"/>
  <c r="AT209" i="1"/>
  <c r="AU209" i="1"/>
  <c r="AV209" i="1"/>
  <c r="AW209" i="1"/>
  <c r="AX209" i="1"/>
  <c r="AY209" i="1"/>
  <c r="AZ209" i="1"/>
  <c r="BA209" i="1"/>
  <c r="B210" i="1"/>
  <c r="C210" i="1"/>
  <c r="D210" i="1"/>
  <c r="E210" i="1"/>
  <c r="F210" i="1"/>
  <c r="G210" i="1"/>
  <c r="H210" i="1"/>
  <c r="I210" i="1"/>
  <c r="J210" i="1"/>
  <c r="K210" i="1"/>
  <c r="L210" i="1"/>
  <c r="M210" i="1"/>
  <c r="N210" i="1"/>
  <c r="O210" i="1"/>
  <c r="Q210" i="1"/>
  <c r="R210" i="1"/>
  <c r="U210" i="1"/>
  <c r="V210" i="1"/>
  <c r="W210" i="1"/>
  <c r="X210" i="1"/>
  <c r="Y210" i="1"/>
  <c r="AB210" i="1"/>
  <c r="AC210" i="1"/>
  <c r="AD210" i="1"/>
  <c r="AE210" i="1"/>
  <c r="AF210" i="1"/>
  <c r="AG210" i="1"/>
  <c r="AH210" i="1"/>
  <c r="AI210" i="1"/>
  <c r="AJ210" i="1"/>
  <c r="AK210" i="1"/>
  <c r="AL210" i="1"/>
  <c r="AM210" i="1"/>
  <c r="AN210" i="1"/>
  <c r="AO210" i="1"/>
  <c r="AP210" i="1"/>
  <c r="AQ210" i="1"/>
  <c r="AR210" i="1"/>
  <c r="AS210" i="1"/>
  <c r="AT210" i="1"/>
  <c r="AU210" i="1"/>
  <c r="AV210" i="1"/>
  <c r="AW210" i="1"/>
  <c r="AX210" i="1"/>
  <c r="AY210" i="1"/>
  <c r="AZ210" i="1"/>
  <c r="BA210" i="1"/>
  <c r="B211" i="1"/>
  <c r="C211" i="1"/>
  <c r="D211" i="1"/>
  <c r="E211" i="1"/>
  <c r="F211" i="1"/>
  <c r="G211" i="1"/>
  <c r="H211" i="1"/>
  <c r="I211" i="1"/>
  <c r="J211" i="1"/>
  <c r="K211" i="1"/>
  <c r="L211" i="1"/>
  <c r="M211" i="1"/>
  <c r="N211" i="1"/>
  <c r="O211" i="1"/>
  <c r="Q211" i="1"/>
  <c r="R211" i="1"/>
  <c r="U211" i="1"/>
  <c r="V211" i="1"/>
  <c r="W211" i="1"/>
  <c r="X211" i="1"/>
  <c r="Y211" i="1"/>
  <c r="AB211" i="1"/>
  <c r="AC211" i="1"/>
  <c r="AD211" i="1"/>
  <c r="AE211" i="1"/>
  <c r="AF211" i="1"/>
  <c r="AG211" i="1"/>
  <c r="AH211" i="1"/>
  <c r="AI211" i="1"/>
  <c r="AJ211" i="1"/>
  <c r="AK211" i="1"/>
  <c r="AL211" i="1"/>
  <c r="AM211" i="1"/>
  <c r="AN211" i="1"/>
  <c r="AO211" i="1"/>
  <c r="AP211" i="1"/>
  <c r="AQ211" i="1"/>
  <c r="AR211" i="1"/>
  <c r="AS211" i="1"/>
  <c r="AT211" i="1"/>
  <c r="AU211" i="1"/>
  <c r="AV211" i="1"/>
  <c r="AW211" i="1"/>
  <c r="AX211" i="1"/>
  <c r="AY211" i="1"/>
  <c r="AZ211" i="1"/>
  <c r="BA211" i="1"/>
  <c r="B212" i="1"/>
  <c r="C212" i="1"/>
  <c r="D212" i="1"/>
  <c r="E212" i="1"/>
  <c r="F212" i="1"/>
  <c r="G212" i="1"/>
  <c r="H212" i="1"/>
  <c r="I212" i="1"/>
  <c r="J212" i="1"/>
  <c r="K212" i="1"/>
  <c r="L212" i="1"/>
  <c r="M212" i="1"/>
  <c r="N212" i="1"/>
  <c r="O212" i="1"/>
  <c r="Q212" i="1"/>
  <c r="R212" i="1"/>
  <c r="U212" i="1"/>
  <c r="V212" i="1"/>
  <c r="W212" i="1"/>
  <c r="X212" i="1"/>
  <c r="Y212" i="1"/>
  <c r="AB212" i="1"/>
  <c r="AC212" i="1"/>
  <c r="AD212" i="1"/>
  <c r="AE212" i="1"/>
  <c r="AF212" i="1"/>
  <c r="AG212" i="1"/>
  <c r="AH212" i="1"/>
  <c r="AI212" i="1"/>
  <c r="AJ212" i="1"/>
  <c r="AK212" i="1"/>
  <c r="AL212" i="1"/>
  <c r="AM212" i="1"/>
  <c r="AN212" i="1"/>
  <c r="AO212" i="1"/>
  <c r="AP212" i="1"/>
  <c r="AQ212" i="1"/>
  <c r="AR212" i="1"/>
  <c r="AS212" i="1"/>
  <c r="AT212" i="1"/>
  <c r="AU212" i="1"/>
  <c r="AV212" i="1"/>
  <c r="AW212" i="1"/>
  <c r="AX212" i="1"/>
  <c r="AY212" i="1"/>
  <c r="AZ212" i="1"/>
  <c r="BA212" i="1"/>
  <c r="B213" i="1"/>
  <c r="C213" i="1"/>
  <c r="D213" i="1"/>
  <c r="E213" i="1"/>
  <c r="F213" i="1"/>
  <c r="G213" i="1"/>
  <c r="H213" i="1"/>
  <c r="I213" i="1"/>
  <c r="J213" i="1"/>
  <c r="K213" i="1"/>
  <c r="L213" i="1"/>
  <c r="M213" i="1"/>
  <c r="N213" i="1"/>
  <c r="O213" i="1"/>
  <c r="Q213" i="1"/>
  <c r="R213" i="1"/>
  <c r="U213" i="1"/>
  <c r="V213" i="1"/>
  <c r="W213" i="1"/>
  <c r="X213" i="1"/>
  <c r="Y213" i="1"/>
  <c r="AB213" i="1"/>
  <c r="AC213" i="1"/>
  <c r="AD213" i="1"/>
  <c r="AE213" i="1"/>
  <c r="AF213" i="1"/>
  <c r="AG213" i="1"/>
  <c r="AH213" i="1"/>
  <c r="AI213" i="1"/>
  <c r="AJ213" i="1"/>
  <c r="AK213" i="1"/>
  <c r="AL213" i="1"/>
  <c r="AM213" i="1"/>
  <c r="AN213" i="1"/>
  <c r="AO213" i="1"/>
  <c r="AP213" i="1"/>
  <c r="AQ213" i="1"/>
  <c r="AR213" i="1"/>
  <c r="AS213" i="1"/>
  <c r="AT213" i="1"/>
  <c r="AU213" i="1"/>
  <c r="AV213" i="1"/>
  <c r="AW213" i="1"/>
  <c r="AX213" i="1"/>
  <c r="AY213" i="1"/>
  <c r="AZ213" i="1"/>
  <c r="BA213" i="1"/>
  <c r="B214" i="1"/>
  <c r="C214" i="1"/>
  <c r="D214" i="1"/>
  <c r="E214" i="1"/>
  <c r="F214" i="1"/>
  <c r="G214" i="1"/>
  <c r="H214" i="1"/>
  <c r="I214" i="1"/>
  <c r="J214" i="1"/>
  <c r="K214" i="1"/>
  <c r="L214" i="1"/>
  <c r="M214" i="1"/>
  <c r="N214" i="1"/>
  <c r="O214" i="1"/>
  <c r="Q214" i="1"/>
  <c r="R214" i="1"/>
  <c r="U214" i="1"/>
  <c r="V214" i="1"/>
  <c r="W214" i="1"/>
  <c r="X214" i="1"/>
  <c r="Y214" i="1"/>
  <c r="AB214" i="1"/>
  <c r="AC214" i="1"/>
  <c r="AD214" i="1"/>
  <c r="AE214" i="1"/>
  <c r="AF214" i="1"/>
  <c r="AG214" i="1"/>
  <c r="AH214" i="1"/>
  <c r="AI214" i="1"/>
  <c r="AJ214" i="1"/>
  <c r="AK214" i="1"/>
  <c r="AL214" i="1"/>
  <c r="AM214" i="1"/>
  <c r="AN214" i="1"/>
  <c r="AO214" i="1"/>
  <c r="AP214" i="1"/>
  <c r="AQ214" i="1"/>
  <c r="AR214" i="1"/>
  <c r="AS214" i="1"/>
  <c r="AT214" i="1"/>
  <c r="AU214" i="1"/>
  <c r="AV214" i="1"/>
  <c r="AW214" i="1"/>
  <c r="AX214" i="1"/>
  <c r="AY214" i="1"/>
  <c r="AZ214" i="1"/>
  <c r="BA214" i="1"/>
  <c r="B215" i="1"/>
  <c r="C215" i="1"/>
  <c r="D215" i="1"/>
  <c r="E215" i="1"/>
  <c r="F215" i="1"/>
  <c r="G215" i="1"/>
  <c r="H215" i="1"/>
  <c r="I215" i="1"/>
  <c r="J215" i="1"/>
  <c r="K215" i="1"/>
  <c r="L215" i="1"/>
  <c r="M215" i="1"/>
  <c r="N215" i="1"/>
  <c r="O215" i="1"/>
  <c r="Q215" i="1"/>
  <c r="R215" i="1"/>
  <c r="U215" i="1"/>
  <c r="V215" i="1"/>
  <c r="W215" i="1"/>
  <c r="X215" i="1"/>
  <c r="Y215" i="1"/>
  <c r="AB215" i="1"/>
  <c r="AC215" i="1"/>
  <c r="AD215" i="1"/>
  <c r="AE215" i="1"/>
  <c r="AF215" i="1"/>
  <c r="AG215" i="1"/>
  <c r="AH215" i="1"/>
  <c r="AI215" i="1"/>
  <c r="AJ215" i="1"/>
  <c r="AK215" i="1"/>
  <c r="AL215" i="1"/>
  <c r="AM215" i="1"/>
  <c r="AN215" i="1"/>
  <c r="AO215" i="1"/>
  <c r="AP215" i="1"/>
  <c r="AQ215" i="1"/>
  <c r="AR215" i="1"/>
  <c r="AS215" i="1"/>
  <c r="AT215" i="1"/>
  <c r="AU215" i="1"/>
  <c r="AV215" i="1"/>
  <c r="AW215" i="1"/>
  <c r="AX215" i="1"/>
  <c r="AY215" i="1"/>
  <c r="AZ215" i="1"/>
  <c r="BA215" i="1"/>
  <c r="B216" i="1"/>
  <c r="C216" i="1"/>
  <c r="D216" i="1"/>
  <c r="E216" i="1"/>
  <c r="F216" i="1"/>
  <c r="G216" i="1"/>
  <c r="H216" i="1"/>
  <c r="I216" i="1"/>
  <c r="J216" i="1"/>
  <c r="K216" i="1"/>
  <c r="L216" i="1"/>
  <c r="M216" i="1"/>
  <c r="N216" i="1"/>
  <c r="O216" i="1"/>
  <c r="Q216" i="1"/>
  <c r="R216" i="1"/>
  <c r="U216" i="1"/>
  <c r="V216" i="1"/>
  <c r="W216" i="1"/>
  <c r="X216" i="1"/>
  <c r="Y216" i="1"/>
  <c r="AB216" i="1"/>
  <c r="AC216" i="1"/>
  <c r="AD216" i="1"/>
  <c r="AE216" i="1"/>
  <c r="AF216" i="1"/>
  <c r="AG216" i="1"/>
  <c r="AH216" i="1"/>
  <c r="AI216" i="1"/>
  <c r="AJ216" i="1"/>
  <c r="AK216" i="1"/>
  <c r="AL216" i="1"/>
  <c r="AM216" i="1"/>
  <c r="AN216" i="1"/>
  <c r="AO216" i="1"/>
  <c r="AP216" i="1"/>
  <c r="AQ216" i="1"/>
  <c r="AR216" i="1"/>
  <c r="AS216" i="1"/>
  <c r="AT216" i="1"/>
  <c r="AU216" i="1"/>
  <c r="AV216" i="1"/>
  <c r="AW216" i="1"/>
  <c r="AX216" i="1"/>
  <c r="AY216" i="1"/>
  <c r="AZ216" i="1"/>
  <c r="BA216" i="1"/>
  <c r="B217" i="1"/>
  <c r="C217" i="1"/>
  <c r="D217" i="1"/>
  <c r="E217" i="1"/>
  <c r="F217" i="1"/>
  <c r="G217" i="1"/>
  <c r="H217" i="1"/>
  <c r="I217" i="1"/>
  <c r="J217" i="1"/>
  <c r="K217" i="1"/>
  <c r="L217" i="1"/>
  <c r="M217" i="1"/>
  <c r="N217" i="1"/>
  <c r="O217" i="1"/>
  <c r="Q217" i="1"/>
  <c r="R217" i="1"/>
  <c r="U217" i="1"/>
  <c r="V217" i="1"/>
  <c r="W217" i="1"/>
  <c r="X217" i="1"/>
  <c r="Y217" i="1"/>
  <c r="AB217" i="1"/>
  <c r="AC217" i="1"/>
  <c r="AD217" i="1"/>
  <c r="AE217" i="1"/>
  <c r="AF217" i="1"/>
  <c r="AG217" i="1"/>
  <c r="AH217" i="1"/>
  <c r="AI217" i="1"/>
  <c r="AJ217" i="1"/>
  <c r="AK217" i="1"/>
  <c r="AL217" i="1"/>
  <c r="AM217" i="1"/>
  <c r="AN217" i="1"/>
  <c r="AO217" i="1"/>
  <c r="AP217" i="1"/>
  <c r="AQ217" i="1"/>
  <c r="AR217" i="1"/>
  <c r="AS217" i="1"/>
  <c r="AT217" i="1"/>
  <c r="AU217" i="1"/>
  <c r="AV217" i="1"/>
  <c r="AW217" i="1"/>
  <c r="AX217" i="1"/>
  <c r="AY217" i="1"/>
  <c r="AZ217" i="1"/>
  <c r="BA217" i="1"/>
  <c r="B218" i="1"/>
  <c r="C218" i="1"/>
  <c r="D218" i="1"/>
  <c r="E218" i="1"/>
  <c r="F218" i="1"/>
  <c r="G218" i="1"/>
  <c r="H218" i="1"/>
  <c r="I218" i="1"/>
  <c r="J218" i="1"/>
  <c r="K218" i="1"/>
  <c r="L218" i="1"/>
  <c r="M218" i="1"/>
  <c r="N218" i="1"/>
  <c r="O218" i="1"/>
  <c r="Q218" i="1"/>
  <c r="R218" i="1"/>
  <c r="U218" i="1"/>
  <c r="V218" i="1"/>
  <c r="W218" i="1"/>
  <c r="X218" i="1"/>
  <c r="Y218" i="1"/>
  <c r="AB218" i="1"/>
  <c r="AC218" i="1"/>
  <c r="AD218" i="1"/>
  <c r="AE218" i="1"/>
  <c r="AF218" i="1"/>
  <c r="AG218" i="1"/>
  <c r="AH218" i="1"/>
  <c r="AI218" i="1"/>
  <c r="AJ218" i="1"/>
  <c r="AK218" i="1"/>
  <c r="AL218" i="1"/>
  <c r="AM218" i="1"/>
  <c r="AN218" i="1"/>
  <c r="AO218" i="1"/>
  <c r="AP218" i="1"/>
  <c r="AQ218" i="1"/>
  <c r="AR218" i="1"/>
  <c r="AS218" i="1"/>
  <c r="AT218" i="1"/>
  <c r="AU218" i="1"/>
  <c r="AV218" i="1"/>
  <c r="AW218" i="1"/>
  <c r="AX218" i="1"/>
  <c r="AY218" i="1"/>
  <c r="AZ218" i="1"/>
  <c r="BA218" i="1"/>
  <c r="B219" i="1"/>
  <c r="C219" i="1"/>
  <c r="D219" i="1"/>
  <c r="E219" i="1"/>
  <c r="F219" i="1"/>
  <c r="G219" i="1"/>
  <c r="H219" i="1"/>
  <c r="I219" i="1"/>
  <c r="J219" i="1"/>
  <c r="K219" i="1"/>
  <c r="L219" i="1"/>
  <c r="M219" i="1"/>
  <c r="N219" i="1"/>
  <c r="O219" i="1"/>
  <c r="Q219" i="1"/>
  <c r="R219" i="1"/>
  <c r="U219" i="1"/>
  <c r="V219" i="1"/>
  <c r="W219" i="1"/>
  <c r="X219" i="1"/>
  <c r="Y219" i="1"/>
  <c r="AB219" i="1"/>
  <c r="AC219" i="1"/>
  <c r="AD219" i="1"/>
  <c r="AE219" i="1"/>
  <c r="AF219" i="1"/>
  <c r="AG219" i="1"/>
  <c r="AH219" i="1"/>
  <c r="AI219" i="1"/>
  <c r="AJ219" i="1"/>
  <c r="AK219" i="1"/>
  <c r="AL219" i="1"/>
  <c r="AM219" i="1"/>
  <c r="AN219" i="1"/>
  <c r="AO219" i="1"/>
  <c r="AP219" i="1"/>
  <c r="AQ219" i="1"/>
  <c r="AR219" i="1"/>
  <c r="AS219" i="1"/>
  <c r="AT219" i="1"/>
  <c r="AU219" i="1"/>
  <c r="AV219" i="1"/>
  <c r="AW219" i="1"/>
  <c r="AX219" i="1"/>
  <c r="AY219" i="1"/>
  <c r="AZ219" i="1"/>
  <c r="BA219" i="1"/>
  <c r="B220" i="1"/>
  <c r="C220" i="1"/>
  <c r="D220" i="1"/>
  <c r="E220" i="1"/>
  <c r="F220" i="1"/>
  <c r="G220" i="1"/>
  <c r="H220" i="1"/>
  <c r="I220" i="1"/>
  <c r="J220" i="1"/>
  <c r="K220" i="1"/>
  <c r="L220" i="1"/>
  <c r="M220" i="1"/>
  <c r="N220" i="1"/>
  <c r="O220" i="1"/>
  <c r="Q220" i="1"/>
  <c r="R220" i="1"/>
  <c r="U220" i="1"/>
  <c r="V220" i="1"/>
  <c r="W220" i="1"/>
  <c r="X220" i="1"/>
  <c r="Y220" i="1"/>
  <c r="AB220" i="1"/>
  <c r="AC220" i="1"/>
  <c r="AD220" i="1"/>
  <c r="AE220" i="1"/>
  <c r="AF220" i="1"/>
  <c r="AG220" i="1"/>
  <c r="AH220" i="1"/>
  <c r="AI220" i="1"/>
  <c r="AJ220" i="1"/>
  <c r="AK220" i="1"/>
  <c r="AL220" i="1"/>
  <c r="AM220" i="1"/>
  <c r="AN220" i="1"/>
  <c r="AO220" i="1"/>
  <c r="AP220" i="1"/>
  <c r="AQ220" i="1"/>
  <c r="AR220" i="1"/>
  <c r="AS220" i="1"/>
  <c r="AT220" i="1"/>
  <c r="AU220" i="1"/>
  <c r="AV220" i="1"/>
  <c r="AW220" i="1"/>
  <c r="AX220" i="1"/>
  <c r="AY220" i="1"/>
  <c r="AZ220" i="1"/>
  <c r="BA220" i="1"/>
  <c r="B221" i="1"/>
  <c r="C221" i="1"/>
  <c r="D221" i="1"/>
  <c r="E221" i="1"/>
  <c r="F221" i="1"/>
  <c r="G221" i="1"/>
  <c r="H221" i="1"/>
  <c r="I221" i="1"/>
  <c r="J221" i="1"/>
  <c r="K221" i="1"/>
  <c r="L221" i="1"/>
  <c r="M221" i="1"/>
  <c r="N221" i="1"/>
  <c r="O221" i="1"/>
  <c r="Q221" i="1"/>
  <c r="R221" i="1"/>
  <c r="U221" i="1"/>
  <c r="V221" i="1"/>
  <c r="W221" i="1"/>
  <c r="X221" i="1"/>
  <c r="Y221" i="1"/>
  <c r="AB221" i="1"/>
  <c r="AC221" i="1"/>
  <c r="AD221" i="1"/>
  <c r="AE221" i="1"/>
  <c r="AF221" i="1"/>
  <c r="AG221" i="1"/>
  <c r="AH221" i="1"/>
  <c r="AI221" i="1"/>
  <c r="AJ221" i="1"/>
  <c r="AK221" i="1"/>
  <c r="AL221" i="1"/>
  <c r="AM221" i="1"/>
  <c r="AN221" i="1"/>
  <c r="AO221" i="1"/>
  <c r="AP221" i="1"/>
  <c r="AQ221" i="1"/>
  <c r="AR221" i="1"/>
  <c r="AS221" i="1"/>
  <c r="AT221" i="1"/>
  <c r="AU221" i="1"/>
  <c r="AV221" i="1"/>
  <c r="AW221" i="1"/>
  <c r="AX221" i="1"/>
  <c r="AY221" i="1"/>
  <c r="AZ221" i="1"/>
  <c r="BA221" i="1"/>
  <c r="B222" i="1"/>
  <c r="C222" i="1"/>
  <c r="D222" i="1"/>
  <c r="E222" i="1"/>
  <c r="F222" i="1"/>
  <c r="G222" i="1"/>
  <c r="H222" i="1"/>
  <c r="I222" i="1"/>
  <c r="J222" i="1"/>
  <c r="K222" i="1"/>
  <c r="L222" i="1"/>
  <c r="M222" i="1"/>
  <c r="N222" i="1"/>
  <c r="O222" i="1"/>
  <c r="Q222" i="1"/>
  <c r="R222" i="1"/>
  <c r="U222" i="1"/>
  <c r="V222" i="1"/>
  <c r="W222" i="1"/>
  <c r="X222" i="1"/>
  <c r="Y222" i="1"/>
  <c r="AB222" i="1"/>
  <c r="AC222" i="1"/>
  <c r="AD222" i="1"/>
  <c r="AE222" i="1"/>
  <c r="AF222" i="1"/>
  <c r="AG222" i="1"/>
  <c r="AH222" i="1"/>
  <c r="AI222" i="1"/>
  <c r="AJ222" i="1"/>
  <c r="AK222" i="1"/>
  <c r="AL222" i="1"/>
  <c r="AM222" i="1"/>
  <c r="AN222" i="1"/>
  <c r="AO222" i="1"/>
  <c r="AP222" i="1"/>
  <c r="AQ222" i="1"/>
  <c r="AR222" i="1"/>
  <c r="AS222" i="1"/>
  <c r="AT222" i="1"/>
  <c r="AU222" i="1"/>
  <c r="AV222" i="1"/>
  <c r="AW222" i="1"/>
  <c r="AX222" i="1"/>
  <c r="AY222" i="1"/>
  <c r="AZ222" i="1"/>
  <c r="BA222" i="1"/>
  <c r="B223" i="1"/>
  <c r="C223" i="1"/>
  <c r="D223" i="1"/>
  <c r="E223" i="1"/>
  <c r="F223" i="1"/>
  <c r="G223" i="1"/>
  <c r="H223" i="1"/>
  <c r="I223" i="1"/>
  <c r="J223" i="1"/>
  <c r="K223" i="1"/>
  <c r="L223" i="1"/>
  <c r="M223" i="1"/>
  <c r="N223" i="1"/>
  <c r="O223" i="1"/>
  <c r="Q223" i="1"/>
  <c r="R223" i="1"/>
  <c r="U223" i="1"/>
  <c r="V223" i="1"/>
  <c r="W223" i="1"/>
  <c r="X223" i="1"/>
  <c r="Y223" i="1"/>
  <c r="AB223" i="1"/>
  <c r="AC223" i="1"/>
  <c r="AD223" i="1"/>
  <c r="AE223" i="1"/>
  <c r="AF223" i="1"/>
  <c r="AG223" i="1"/>
  <c r="AH223" i="1"/>
  <c r="AI223" i="1"/>
  <c r="AJ223" i="1"/>
  <c r="AK223" i="1"/>
  <c r="AL223" i="1"/>
  <c r="AM223" i="1"/>
  <c r="AN223" i="1"/>
  <c r="AO223" i="1"/>
  <c r="AP223" i="1"/>
  <c r="AQ223" i="1"/>
  <c r="AR223" i="1"/>
  <c r="AS223" i="1"/>
  <c r="AT223" i="1"/>
  <c r="AU223" i="1"/>
  <c r="AV223" i="1"/>
  <c r="AW223" i="1"/>
  <c r="AX223" i="1"/>
  <c r="AY223" i="1"/>
  <c r="AZ223" i="1"/>
  <c r="BA223" i="1"/>
  <c r="B224" i="1"/>
  <c r="C224" i="1"/>
  <c r="D224" i="1"/>
  <c r="E224" i="1"/>
  <c r="F224" i="1"/>
  <c r="G224" i="1"/>
  <c r="H224" i="1"/>
  <c r="I224" i="1"/>
  <c r="J224" i="1"/>
  <c r="K224" i="1"/>
  <c r="L224" i="1"/>
  <c r="M224" i="1"/>
  <c r="N224" i="1"/>
  <c r="O224" i="1"/>
  <c r="Q224" i="1"/>
  <c r="R224" i="1"/>
  <c r="U224" i="1"/>
  <c r="V224" i="1"/>
  <c r="W224" i="1"/>
  <c r="X224" i="1"/>
  <c r="Y224" i="1"/>
  <c r="AB224" i="1"/>
  <c r="AC224" i="1"/>
  <c r="AD224" i="1"/>
  <c r="AE224" i="1"/>
  <c r="AF224" i="1"/>
  <c r="AG224" i="1"/>
  <c r="AH224" i="1"/>
  <c r="AI224" i="1"/>
  <c r="AJ224" i="1"/>
  <c r="AK224" i="1"/>
  <c r="AL224" i="1"/>
  <c r="AM224" i="1"/>
  <c r="AN224" i="1"/>
  <c r="AO224" i="1"/>
  <c r="AP224" i="1"/>
  <c r="AQ224" i="1"/>
  <c r="AR224" i="1"/>
  <c r="AS224" i="1"/>
  <c r="AT224" i="1"/>
  <c r="AU224" i="1"/>
  <c r="AV224" i="1"/>
  <c r="AW224" i="1"/>
  <c r="AX224" i="1"/>
  <c r="AY224" i="1"/>
  <c r="AZ224" i="1"/>
  <c r="BA224" i="1"/>
  <c r="B225" i="1"/>
  <c r="C225" i="1"/>
  <c r="D225" i="1"/>
  <c r="E225" i="1"/>
  <c r="F225" i="1"/>
  <c r="G225" i="1"/>
  <c r="H225" i="1"/>
  <c r="I225" i="1"/>
  <c r="J225" i="1"/>
  <c r="K225" i="1"/>
  <c r="L225" i="1"/>
  <c r="M225" i="1"/>
  <c r="N225" i="1"/>
  <c r="O225" i="1"/>
  <c r="Q225" i="1"/>
  <c r="R225" i="1"/>
  <c r="U225" i="1"/>
  <c r="V225" i="1"/>
  <c r="W225" i="1"/>
  <c r="X225" i="1"/>
  <c r="Y225" i="1"/>
  <c r="AB225" i="1"/>
  <c r="AC225" i="1"/>
  <c r="AD225" i="1"/>
  <c r="AE225" i="1"/>
  <c r="AF225" i="1"/>
  <c r="AG225" i="1"/>
  <c r="AH225" i="1"/>
  <c r="AI225" i="1"/>
  <c r="AJ225" i="1"/>
  <c r="AK225" i="1"/>
  <c r="AL225" i="1"/>
  <c r="AM225" i="1"/>
  <c r="AN225" i="1"/>
  <c r="AO225" i="1"/>
  <c r="AP225" i="1"/>
  <c r="AQ225" i="1"/>
  <c r="AR225" i="1"/>
  <c r="AS225" i="1"/>
  <c r="AT225" i="1"/>
  <c r="AU225" i="1"/>
  <c r="AV225" i="1"/>
  <c r="AW225" i="1"/>
  <c r="AX225" i="1"/>
  <c r="AY225" i="1"/>
  <c r="AZ225" i="1"/>
  <c r="BA225" i="1"/>
  <c r="B226" i="1"/>
  <c r="C226" i="1"/>
  <c r="D226" i="1"/>
  <c r="E226" i="1"/>
  <c r="F226" i="1"/>
  <c r="G226" i="1"/>
  <c r="H226" i="1"/>
  <c r="I226" i="1"/>
  <c r="J226" i="1"/>
  <c r="K226" i="1"/>
  <c r="L226" i="1"/>
  <c r="M226" i="1"/>
  <c r="N226" i="1"/>
  <c r="O226" i="1"/>
  <c r="Q226" i="1"/>
  <c r="R226" i="1"/>
  <c r="U226" i="1"/>
  <c r="V226" i="1"/>
  <c r="W226" i="1"/>
  <c r="X226" i="1"/>
  <c r="Y226" i="1"/>
  <c r="AB226" i="1"/>
  <c r="AC226" i="1"/>
  <c r="AD226" i="1"/>
  <c r="AE226" i="1"/>
  <c r="AF226" i="1"/>
  <c r="AG226" i="1"/>
  <c r="AH226" i="1"/>
  <c r="AI226" i="1"/>
  <c r="AJ226" i="1"/>
  <c r="AK226" i="1"/>
  <c r="AL226" i="1"/>
  <c r="AM226" i="1"/>
  <c r="AN226" i="1"/>
  <c r="AO226" i="1"/>
  <c r="AP226" i="1"/>
  <c r="AQ226" i="1"/>
  <c r="AR226" i="1"/>
  <c r="AS226" i="1"/>
  <c r="AT226" i="1"/>
  <c r="AU226" i="1"/>
  <c r="AV226" i="1"/>
  <c r="AW226" i="1"/>
  <c r="AX226" i="1"/>
  <c r="AY226" i="1"/>
  <c r="AZ226" i="1"/>
  <c r="BA226" i="1"/>
  <c r="B227" i="1"/>
  <c r="C227" i="1"/>
  <c r="D227" i="1"/>
  <c r="E227" i="1"/>
  <c r="F227" i="1"/>
  <c r="G227" i="1"/>
  <c r="H227" i="1"/>
  <c r="I227" i="1"/>
  <c r="J227" i="1"/>
  <c r="K227" i="1"/>
  <c r="L227" i="1"/>
  <c r="M227" i="1"/>
  <c r="N227" i="1"/>
  <c r="O227" i="1"/>
  <c r="Q227" i="1"/>
  <c r="R227" i="1"/>
  <c r="U227" i="1"/>
  <c r="V227" i="1"/>
  <c r="W227" i="1"/>
  <c r="X227" i="1"/>
  <c r="Y227" i="1"/>
  <c r="AB227" i="1"/>
  <c r="AC227" i="1"/>
  <c r="AD227" i="1"/>
  <c r="AE227" i="1"/>
  <c r="AF227" i="1"/>
  <c r="AG227" i="1"/>
  <c r="AH227" i="1"/>
  <c r="AI227" i="1"/>
  <c r="AJ227" i="1"/>
  <c r="AK227" i="1"/>
  <c r="AL227" i="1"/>
  <c r="AM227" i="1"/>
  <c r="AN227" i="1"/>
  <c r="AO227" i="1"/>
  <c r="AP227" i="1"/>
  <c r="AQ227" i="1"/>
  <c r="AR227" i="1"/>
  <c r="AS227" i="1"/>
  <c r="AT227" i="1"/>
  <c r="AU227" i="1"/>
  <c r="AV227" i="1"/>
  <c r="AW227" i="1"/>
  <c r="AX227" i="1"/>
  <c r="AY227" i="1"/>
  <c r="AZ227" i="1"/>
  <c r="BA227" i="1"/>
  <c r="B228" i="1"/>
  <c r="C228" i="1"/>
  <c r="D228" i="1"/>
  <c r="E228" i="1"/>
  <c r="F228" i="1"/>
  <c r="G228" i="1"/>
  <c r="H228" i="1"/>
  <c r="I228" i="1"/>
  <c r="J228" i="1"/>
  <c r="K228" i="1"/>
  <c r="L228" i="1"/>
  <c r="M228" i="1"/>
  <c r="N228" i="1"/>
  <c r="O228" i="1"/>
  <c r="Q228" i="1"/>
  <c r="R228" i="1"/>
  <c r="U228" i="1"/>
  <c r="V228" i="1"/>
  <c r="W228" i="1"/>
  <c r="X228" i="1"/>
  <c r="Y228" i="1"/>
  <c r="AB228" i="1"/>
  <c r="AC228" i="1"/>
  <c r="AD228" i="1"/>
  <c r="AE228" i="1"/>
  <c r="AF228" i="1"/>
  <c r="AG228" i="1"/>
  <c r="AH228" i="1"/>
  <c r="AI228" i="1"/>
  <c r="AJ228" i="1"/>
  <c r="AK228" i="1"/>
  <c r="AL228" i="1"/>
  <c r="AM228" i="1"/>
  <c r="AN228" i="1"/>
  <c r="AO228" i="1"/>
  <c r="AP228" i="1"/>
  <c r="AQ228" i="1"/>
  <c r="AR228" i="1"/>
  <c r="AS228" i="1"/>
  <c r="AT228" i="1"/>
  <c r="AU228" i="1"/>
  <c r="AV228" i="1"/>
  <c r="AW228" i="1"/>
  <c r="AX228" i="1"/>
  <c r="AY228" i="1"/>
  <c r="AZ228" i="1"/>
  <c r="BA228" i="1"/>
  <c r="B229" i="1"/>
  <c r="C229" i="1"/>
  <c r="D229" i="1"/>
  <c r="E229" i="1"/>
  <c r="F229" i="1"/>
  <c r="G229" i="1"/>
  <c r="H229" i="1"/>
  <c r="I229" i="1"/>
  <c r="J229" i="1"/>
  <c r="K229" i="1"/>
  <c r="L229" i="1"/>
  <c r="M229" i="1"/>
  <c r="N229" i="1"/>
  <c r="O229" i="1"/>
  <c r="Q229" i="1"/>
  <c r="R229" i="1"/>
  <c r="U229" i="1"/>
  <c r="V229" i="1"/>
  <c r="W229" i="1"/>
  <c r="X229" i="1"/>
  <c r="Y229" i="1"/>
  <c r="AB229" i="1"/>
  <c r="AC229" i="1"/>
  <c r="AD229" i="1"/>
  <c r="AE229" i="1"/>
  <c r="AF229" i="1"/>
  <c r="AG229" i="1"/>
  <c r="AH229" i="1"/>
  <c r="AI229" i="1"/>
  <c r="AJ229" i="1"/>
  <c r="AK229" i="1"/>
  <c r="AL229" i="1"/>
  <c r="AM229" i="1"/>
  <c r="AN229" i="1"/>
  <c r="AO229" i="1"/>
  <c r="AP229" i="1"/>
  <c r="AQ229" i="1"/>
  <c r="AR229" i="1"/>
  <c r="AS229" i="1"/>
  <c r="AT229" i="1"/>
  <c r="AU229" i="1"/>
  <c r="AV229" i="1"/>
  <c r="AW229" i="1"/>
  <c r="AX229" i="1"/>
  <c r="AY229" i="1"/>
  <c r="AZ229" i="1"/>
  <c r="BA229" i="1"/>
  <c r="B230" i="1"/>
  <c r="C230" i="1"/>
  <c r="D230" i="1"/>
  <c r="E230" i="1"/>
  <c r="F230" i="1"/>
  <c r="G230" i="1"/>
  <c r="H230" i="1"/>
  <c r="I230" i="1"/>
  <c r="J230" i="1"/>
  <c r="K230" i="1"/>
  <c r="L230" i="1"/>
  <c r="M230" i="1"/>
  <c r="N230" i="1"/>
  <c r="O230" i="1"/>
  <c r="Q230" i="1"/>
  <c r="R230" i="1"/>
  <c r="U230" i="1"/>
  <c r="V230" i="1"/>
  <c r="W230" i="1"/>
  <c r="X230" i="1"/>
  <c r="Y230" i="1"/>
  <c r="AB230" i="1"/>
  <c r="AC230" i="1"/>
  <c r="AD230" i="1"/>
  <c r="AE230" i="1"/>
  <c r="AF230" i="1"/>
  <c r="AG230" i="1"/>
  <c r="AH230" i="1"/>
  <c r="AI230" i="1"/>
  <c r="AJ230" i="1"/>
  <c r="AK230" i="1"/>
  <c r="AL230" i="1"/>
  <c r="AM230" i="1"/>
  <c r="AN230" i="1"/>
  <c r="AO230" i="1"/>
  <c r="AP230" i="1"/>
  <c r="AQ230" i="1"/>
  <c r="AR230" i="1"/>
  <c r="AS230" i="1"/>
  <c r="AT230" i="1"/>
  <c r="AU230" i="1"/>
  <c r="AV230" i="1"/>
  <c r="AW230" i="1"/>
  <c r="AX230" i="1"/>
  <c r="AY230" i="1"/>
  <c r="AZ230" i="1"/>
  <c r="BA230" i="1"/>
  <c r="B231" i="1"/>
  <c r="C231" i="1"/>
  <c r="D231" i="1"/>
  <c r="E231" i="1"/>
  <c r="F231" i="1"/>
  <c r="G231" i="1"/>
  <c r="H231" i="1"/>
  <c r="I231" i="1"/>
  <c r="J231" i="1"/>
  <c r="K231" i="1"/>
  <c r="L231" i="1"/>
  <c r="M231" i="1"/>
  <c r="N231" i="1"/>
  <c r="O231" i="1"/>
  <c r="Q231" i="1"/>
  <c r="R231" i="1"/>
  <c r="U231" i="1"/>
  <c r="V231" i="1"/>
  <c r="W231" i="1"/>
  <c r="X231" i="1"/>
  <c r="Y231" i="1"/>
  <c r="AB231" i="1"/>
  <c r="AC231" i="1"/>
  <c r="AD231" i="1"/>
  <c r="AE231" i="1"/>
  <c r="AF231" i="1"/>
  <c r="AG231" i="1"/>
  <c r="AH231" i="1"/>
  <c r="AI231" i="1"/>
  <c r="AJ231" i="1"/>
  <c r="AK231" i="1"/>
  <c r="AL231" i="1"/>
  <c r="AM231" i="1"/>
  <c r="AN231" i="1"/>
  <c r="AO231" i="1"/>
  <c r="AP231" i="1"/>
  <c r="AQ231" i="1"/>
  <c r="AR231" i="1"/>
  <c r="AS231" i="1"/>
  <c r="AT231" i="1"/>
  <c r="AU231" i="1"/>
  <c r="AV231" i="1"/>
  <c r="AW231" i="1"/>
  <c r="AX231" i="1"/>
  <c r="AY231" i="1"/>
  <c r="AZ231" i="1"/>
  <c r="BA231" i="1"/>
  <c r="B232" i="1"/>
  <c r="C232" i="1"/>
  <c r="D232" i="1"/>
  <c r="E232" i="1"/>
  <c r="F232" i="1"/>
  <c r="G232" i="1"/>
  <c r="H232" i="1"/>
  <c r="I232" i="1"/>
  <c r="J232" i="1"/>
  <c r="K232" i="1"/>
  <c r="L232" i="1"/>
  <c r="M232" i="1"/>
  <c r="N232" i="1"/>
  <c r="O232" i="1"/>
  <c r="Q232" i="1"/>
  <c r="R232" i="1"/>
  <c r="U232" i="1"/>
  <c r="V232" i="1"/>
  <c r="W232" i="1"/>
  <c r="X232" i="1"/>
  <c r="Y232" i="1"/>
  <c r="AB232" i="1"/>
  <c r="AC232" i="1"/>
  <c r="AD232" i="1"/>
  <c r="AE232" i="1"/>
  <c r="AF232" i="1"/>
  <c r="AG232" i="1"/>
  <c r="AH232" i="1"/>
  <c r="AI232" i="1"/>
  <c r="AJ232" i="1"/>
  <c r="AK232" i="1"/>
  <c r="AL232" i="1"/>
  <c r="AM232" i="1"/>
  <c r="AN232" i="1"/>
  <c r="AO232" i="1"/>
  <c r="AP232" i="1"/>
  <c r="AQ232" i="1"/>
  <c r="AR232" i="1"/>
  <c r="AS232" i="1"/>
  <c r="AT232" i="1"/>
  <c r="AU232" i="1"/>
  <c r="AV232" i="1"/>
  <c r="AW232" i="1"/>
  <c r="AX232" i="1"/>
  <c r="AY232" i="1"/>
  <c r="AZ232" i="1"/>
  <c r="BA232" i="1"/>
  <c r="B233" i="1"/>
  <c r="C233" i="1"/>
  <c r="D233" i="1"/>
  <c r="E233" i="1"/>
  <c r="F233" i="1"/>
  <c r="G233" i="1"/>
  <c r="H233" i="1"/>
  <c r="I233" i="1"/>
  <c r="J233" i="1"/>
  <c r="K233" i="1"/>
  <c r="L233" i="1"/>
  <c r="M233" i="1"/>
  <c r="N233" i="1"/>
  <c r="O233" i="1"/>
  <c r="P233" i="1"/>
  <c r="Q233" i="1"/>
  <c r="R233" i="1"/>
  <c r="U233" i="1"/>
  <c r="V233" i="1"/>
  <c r="W233" i="1"/>
  <c r="X233" i="1"/>
  <c r="Y233" i="1"/>
  <c r="AB233" i="1"/>
  <c r="AC233" i="1"/>
  <c r="AD233" i="1"/>
  <c r="AE233" i="1"/>
  <c r="AF233" i="1"/>
  <c r="AG233" i="1"/>
  <c r="AH233" i="1"/>
  <c r="AI233" i="1"/>
  <c r="AJ233" i="1"/>
  <c r="AK233" i="1"/>
  <c r="AL233" i="1"/>
  <c r="AM233" i="1"/>
  <c r="AN233" i="1"/>
  <c r="AO233" i="1"/>
  <c r="AP233" i="1"/>
  <c r="AQ233" i="1"/>
  <c r="AR233" i="1"/>
  <c r="AS233" i="1"/>
  <c r="AT233" i="1"/>
  <c r="AU233" i="1"/>
  <c r="AV233" i="1"/>
  <c r="AW233" i="1"/>
  <c r="AX233" i="1"/>
  <c r="AY233" i="1"/>
  <c r="AZ233" i="1"/>
  <c r="BA233" i="1"/>
  <c r="B234" i="1"/>
  <c r="C234" i="1"/>
  <c r="D234" i="1"/>
  <c r="E234" i="1"/>
  <c r="F234" i="1"/>
  <c r="G234" i="1"/>
  <c r="H234" i="1"/>
  <c r="I234" i="1"/>
  <c r="J234" i="1"/>
  <c r="K234" i="1"/>
  <c r="L234" i="1"/>
  <c r="M234" i="1"/>
  <c r="N234" i="1"/>
  <c r="O234" i="1"/>
  <c r="Q234" i="1"/>
  <c r="R234" i="1"/>
  <c r="U234" i="1"/>
  <c r="V234" i="1"/>
  <c r="W234" i="1"/>
  <c r="X234" i="1"/>
  <c r="Y234" i="1"/>
  <c r="AB234" i="1"/>
  <c r="AC234" i="1"/>
  <c r="AD234" i="1"/>
  <c r="AE234" i="1"/>
  <c r="AF234" i="1"/>
  <c r="AG234" i="1"/>
  <c r="AH234" i="1"/>
  <c r="AI234" i="1"/>
  <c r="AJ234" i="1"/>
  <c r="AK234" i="1"/>
  <c r="AL234" i="1"/>
  <c r="AM234" i="1"/>
  <c r="AN234" i="1"/>
  <c r="AO234" i="1"/>
  <c r="AP234" i="1"/>
  <c r="AQ234" i="1"/>
  <c r="AR234" i="1"/>
  <c r="AS234" i="1"/>
  <c r="AT234" i="1"/>
  <c r="AU234" i="1"/>
  <c r="AV234" i="1"/>
  <c r="AW234" i="1"/>
  <c r="AX234" i="1"/>
  <c r="AY234" i="1"/>
  <c r="AZ234" i="1"/>
  <c r="BA234" i="1"/>
  <c r="B235" i="1"/>
  <c r="C235" i="1"/>
  <c r="D235" i="1"/>
  <c r="E235" i="1"/>
  <c r="F235" i="1"/>
  <c r="G235" i="1"/>
  <c r="H235" i="1"/>
  <c r="I235" i="1"/>
  <c r="J235" i="1"/>
  <c r="K235" i="1"/>
  <c r="L235" i="1"/>
  <c r="M235" i="1"/>
  <c r="N235" i="1"/>
  <c r="O235" i="1"/>
  <c r="Q235" i="1"/>
  <c r="R235" i="1"/>
  <c r="U235" i="1"/>
  <c r="V235" i="1"/>
  <c r="W235" i="1"/>
  <c r="X235" i="1"/>
  <c r="Y235" i="1"/>
  <c r="AB235" i="1"/>
  <c r="AC235" i="1"/>
  <c r="AD235" i="1"/>
  <c r="AE235" i="1"/>
  <c r="AF235" i="1"/>
  <c r="AG235" i="1"/>
  <c r="AH235" i="1"/>
  <c r="AI235" i="1"/>
  <c r="AJ235" i="1"/>
  <c r="AK235" i="1"/>
  <c r="AL235" i="1"/>
  <c r="AM235" i="1"/>
  <c r="AN235" i="1"/>
  <c r="AO235" i="1"/>
  <c r="AP235" i="1"/>
  <c r="AQ235" i="1"/>
  <c r="AR235" i="1"/>
  <c r="AS235" i="1"/>
  <c r="AT235" i="1"/>
  <c r="AU235" i="1"/>
  <c r="AV235" i="1"/>
  <c r="AW235" i="1"/>
  <c r="AX235" i="1"/>
  <c r="AY235" i="1"/>
  <c r="AZ235" i="1"/>
  <c r="BA235" i="1"/>
  <c r="B236" i="1"/>
  <c r="C236" i="1"/>
  <c r="D236" i="1"/>
  <c r="E236" i="1"/>
  <c r="F236" i="1"/>
  <c r="G236" i="1"/>
  <c r="H236" i="1"/>
  <c r="I236" i="1"/>
  <c r="J236" i="1"/>
  <c r="K236" i="1"/>
  <c r="L236" i="1"/>
  <c r="M236" i="1"/>
  <c r="N236" i="1"/>
  <c r="O236" i="1"/>
  <c r="Q236" i="1"/>
  <c r="R236" i="1"/>
  <c r="U236" i="1"/>
  <c r="V236" i="1"/>
  <c r="W236" i="1"/>
  <c r="X236" i="1"/>
  <c r="Y236" i="1"/>
  <c r="AB236" i="1"/>
  <c r="AC236" i="1"/>
  <c r="AD236" i="1"/>
  <c r="AE236" i="1"/>
  <c r="AF236" i="1"/>
  <c r="AG236" i="1"/>
  <c r="AH236" i="1"/>
  <c r="AI236" i="1"/>
  <c r="AJ236" i="1"/>
  <c r="AK236" i="1"/>
  <c r="AL236" i="1"/>
  <c r="AM236" i="1"/>
  <c r="AN236" i="1"/>
  <c r="AO236" i="1"/>
  <c r="AP236" i="1"/>
  <c r="AQ236" i="1"/>
  <c r="AR236" i="1"/>
  <c r="AS236" i="1"/>
  <c r="AT236" i="1"/>
  <c r="AU236" i="1"/>
  <c r="AV236" i="1"/>
  <c r="AW236" i="1"/>
  <c r="AX236" i="1"/>
  <c r="AY236" i="1"/>
  <c r="AZ236" i="1"/>
  <c r="BA236" i="1"/>
  <c r="B237" i="1"/>
  <c r="C237" i="1"/>
  <c r="D237" i="1"/>
  <c r="E237" i="1"/>
  <c r="F237" i="1"/>
  <c r="G237" i="1"/>
  <c r="H237" i="1"/>
  <c r="I237" i="1"/>
  <c r="J237" i="1"/>
  <c r="K237" i="1"/>
  <c r="L237" i="1"/>
  <c r="M237" i="1"/>
  <c r="N237" i="1"/>
  <c r="O237" i="1"/>
  <c r="Q237" i="1"/>
  <c r="R237" i="1"/>
  <c r="U237" i="1"/>
  <c r="V237" i="1"/>
  <c r="W237" i="1"/>
  <c r="X237" i="1"/>
  <c r="Y237" i="1"/>
  <c r="AB237" i="1"/>
  <c r="AC237" i="1"/>
  <c r="AD237" i="1"/>
  <c r="AE237" i="1"/>
  <c r="AF237" i="1"/>
  <c r="AG237" i="1"/>
  <c r="AH237" i="1"/>
  <c r="AI237" i="1"/>
  <c r="AJ237" i="1"/>
  <c r="AK237" i="1"/>
  <c r="AL237" i="1"/>
  <c r="AM237" i="1"/>
  <c r="AN237" i="1"/>
  <c r="AO237" i="1"/>
  <c r="AP237" i="1"/>
  <c r="AQ237" i="1"/>
  <c r="AR237" i="1"/>
  <c r="AS237" i="1"/>
  <c r="AT237" i="1"/>
  <c r="AU237" i="1"/>
  <c r="AV237" i="1"/>
  <c r="AW237" i="1"/>
  <c r="AX237" i="1"/>
  <c r="AY237" i="1"/>
  <c r="AZ237" i="1"/>
  <c r="BA237" i="1"/>
  <c r="B238" i="1"/>
  <c r="C238" i="1"/>
  <c r="D238" i="1"/>
  <c r="E238" i="1"/>
  <c r="F238" i="1"/>
  <c r="G238" i="1"/>
  <c r="H238" i="1"/>
  <c r="I238" i="1"/>
  <c r="J238" i="1"/>
  <c r="K238" i="1"/>
  <c r="L238" i="1"/>
  <c r="M238" i="1"/>
  <c r="N238" i="1"/>
  <c r="O238" i="1"/>
  <c r="Q238" i="1"/>
  <c r="R238" i="1"/>
  <c r="U238" i="1"/>
  <c r="V238" i="1"/>
  <c r="W238" i="1"/>
  <c r="X238" i="1"/>
  <c r="Y238" i="1"/>
  <c r="AB238" i="1"/>
  <c r="AC238" i="1"/>
  <c r="AD238" i="1"/>
  <c r="AE238" i="1"/>
  <c r="AF238" i="1"/>
  <c r="AG238" i="1"/>
  <c r="AH238" i="1"/>
  <c r="AI238" i="1"/>
  <c r="AJ238" i="1"/>
  <c r="AK238" i="1"/>
  <c r="AL238" i="1"/>
  <c r="AM238" i="1"/>
  <c r="AN238" i="1"/>
  <c r="AO238" i="1"/>
  <c r="AP238" i="1"/>
  <c r="AQ238" i="1"/>
  <c r="AR238" i="1"/>
  <c r="AS238" i="1"/>
  <c r="AT238" i="1"/>
  <c r="AU238" i="1"/>
  <c r="AV238" i="1"/>
  <c r="AW238" i="1"/>
  <c r="AX238" i="1"/>
  <c r="AY238" i="1"/>
  <c r="AZ238" i="1"/>
  <c r="BA238" i="1"/>
  <c r="B239" i="1"/>
  <c r="C239" i="1"/>
  <c r="D239" i="1"/>
  <c r="E239" i="1"/>
  <c r="F239" i="1"/>
  <c r="G239" i="1"/>
  <c r="H239" i="1"/>
  <c r="I239" i="1"/>
  <c r="J239" i="1"/>
  <c r="K239" i="1"/>
  <c r="L239" i="1"/>
  <c r="M239" i="1"/>
  <c r="N239" i="1"/>
  <c r="O239" i="1"/>
  <c r="Q239" i="1"/>
  <c r="R239" i="1"/>
  <c r="U239" i="1"/>
  <c r="V239" i="1"/>
  <c r="W239" i="1"/>
  <c r="X239" i="1"/>
  <c r="Y239" i="1"/>
  <c r="AB239" i="1"/>
  <c r="AC239" i="1"/>
  <c r="AD239" i="1"/>
  <c r="AE239" i="1"/>
  <c r="AF239" i="1"/>
  <c r="AG239" i="1"/>
  <c r="AH239" i="1"/>
  <c r="AI239" i="1"/>
  <c r="AJ239" i="1"/>
  <c r="AK239" i="1"/>
  <c r="AL239" i="1"/>
  <c r="AM239" i="1"/>
  <c r="AN239" i="1"/>
  <c r="AO239" i="1"/>
  <c r="AP239" i="1"/>
  <c r="AQ239" i="1"/>
  <c r="AR239" i="1"/>
  <c r="AS239" i="1"/>
  <c r="AT239" i="1"/>
  <c r="AU239" i="1"/>
  <c r="AV239" i="1"/>
  <c r="AW239" i="1"/>
  <c r="AX239" i="1"/>
  <c r="AY239" i="1"/>
  <c r="AZ239" i="1"/>
  <c r="BA239" i="1"/>
  <c r="B240" i="1"/>
  <c r="C240" i="1"/>
  <c r="D240" i="1"/>
  <c r="E240" i="1"/>
  <c r="F240" i="1"/>
  <c r="G240" i="1"/>
  <c r="H240" i="1"/>
  <c r="I240" i="1"/>
  <c r="J240" i="1"/>
  <c r="K240" i="1"/>
  <c r="L240" i="1"/>
  <c r="M240" i="1"/>
  <c r="N240" i="1"/>
  <c r="O240" i="1"/>
  <c r="Q240" i="1"/>
  <c r="R240" i="1"/>
  <c r="U240" i="1"/>
  <c r="V240" i="1"/>
  <c r="W240" i="1"/>
  <c r="X240" i="1"/>
  <c r="Y240" i="1"/>
  <c r="AB240" i="1"/>
  <c r="AC240" i="1"/>
  <c r="AD240" i="1"/>
  <c r="AE240" i="1"/>
  <c r="AF240" i="1"/>
  <c r="AG240" i="1"/>
  <c r="AH240" i="1"/>
  <c r="AI240" i="1"/>
  <c r="AJ240" i="1"/>
  <c r="AK240" i="1"/>
  <c r="AL240" i="1"/>
  <c r="AM240" i="1"/>
  <c r="AN240" i="1"/>
  <c r="AO240" i="1"/>
  <c r="AP240" i="1"/>
  <c r="AQ240" i="1"/>
  <c r="AR240" i="1"/>
  <c r="AS240" i="1"/>
  <c r="AT240" i="1"/>
  <c r="AU240" i="1"/>
  <c r="AV240" i="1"/>
  <c r="AW240" i="1"/>
  <c r="AX240" i="1"/>
  <c r="AY240" i="1"/>
  <c r="AZ240" i="1"/>
  <c r="BA240" i="1"/>
  <c r="B241" i="1"/>
  <c r="C241" i="1"/>
  <c r="D241" i="1"/>
  <c r="E241" i="1"/>
  <c r="F241" i="1"/>
  <c r="G241" i="1"/>
  <c r="H241" i="1"/>
  <c r="I241" i="1"/>
  <c r="J241" i="1"/>
  <c r="K241" i="1"/>
  <c r="L241" i="1"/>
  <c r="M241" i="1"/>
  <c r="N241" i="1"/>
  <c r="O241" i="1"/>
  <c r="Q241" i="1"/>
  <c r="R241" i="1"/>
  <c r="U241" i="1"/>
  <c r="V241" i="1"/>
  <c r="W241" i="1"/>
  <c r="X241" i="1"/>
  <c r="Y241" i="1"/>
  <c r="AB241" i="1"/>
  <c r="AC241" i="1"/>
  <c r="AD241" i="1"/>
  <c r="AE241" i="1"/>
  <c r="AF241" i="1"/>
  <c r="AG241" i="1"/>
  <c r="AH241" i="1"/>
  <c r="AI241" i="1"/>
  <c r="AJ241" i="1"/>
  <c r="AK241" i="1"/>
  <c r="AL241" i="1"/>
  <c r="AM241" i="1"/>
  <c r="AN241" i="1"/>
  <c r="AO241" i="1"/>
  <c r="AP241" i="1"/>
  <c r="AQ241" i="1"/>
  <c r="AR241" i="1"/>
  <c r="AS241" i="1"/>
  <c r="AT241" i="1"/>
  <c r="AU241" i="1"/>
  <c r="AV241" i="1"/>
  <c r="AW241" i="1"/>
  <c r="AX241" i="1"/>
  <c r="AY241" i="1"/>
  <c r="AZ241" i="1"/>
  <c r="BA241" i="1"/>
  <c r="B242" i="1"/>
  <c r="C242" i="1"/>
  <c r="D242" i="1"/>
  <c r="E242" i="1"/>
  <c r="F242" i="1"/>
  <c r="G242" i="1"/>
  <c r="H242" i="1"/>
  <c r="I242" i="1"/>
  <c r="J242" i="1"/>
  <c r="K242" i="1"/>
  <c r="L242" i="1"/>
  <c r="M242" i="1"/>
  <c r="N242" i="1"/>
  <c r="O242" i="1"/>
  <c r="Q242" i="1"/>
  <c r="R242" i="1"/>
  <c r="U242" i="1"/>
  <c r="V242" i="1"/>
  <c r="W242" i="1"/>
  <c r="X242" i="1"/>
  <c r="Y242" i="1"/>
  <c r="AB242" i="1"/>
  <c r="AC242" i="1"/>
  <c r="AD242" i="1"/>
  <c r="AE242" i="1"/>
  <c r="AF242" i="1"/>
  <c r="AG242" i="1"/>
  <c r="AH242" i="1"/>
  <c r="AI242" i="1"/>
  <c r="AJ242" i="1"/>
  <c r="AK242" i="1"/>
  <c r="AL242" i="1"/>
  <c r="AM242" i="1"/>
  <c r="AN242" i="1"/>
  <c r="AO242" i="1"/>
  <c r="AP242" i="1"/>
  <c r="AQ242" i="1"/>
  <c r="AR242" i="1"/>
  <c r="AS242" i="1"/>
  <c r="AT242" i="1"/>
  <c r="AU242" i="1"/>
  <c r="AV242" i="1"/>
  <c r="AW242" i="1"/>
  <c r="AX242" i="1"/>
  <c r="AY242" i="1"/>
  <c r="AZ242" i="1"/>
  <c r="BA242" i="1"/>
  <c r="B243" i="1"/>
  <c r="C243" i="1"/>
  <c r="D243" i="1"/>
  <c r="E243" i="1"/>
  <c r="F243" i="1"/>
  <c r="G243" i="1"/>
  <c r="H243" i="1"/>
  <c r="I243" i="1"/>
  <c r="J243" i="1"/>
  <c r="K243" i="1"/>
  <c r="L243" i="1"/>
  <c r="M243" i="1"/>
  <c r="N243" i="1"/>
  <c r="O243" i="1"/>
  <c r="Q243" i="1"/>
  <c r="R243" i="1"/>
  <c r="U243" i="1"/>
  <c r="V243" i="1"/>
  <c r="W243" i="1"/>
  <c r="X243" i="1"/>
  <c r="Y243" i="1"/>
  <c r="AB243" i="1"/>
  <c r="AC243" i="1"/>
  <c r="AD243" i="1"/>
  <c r="AE243" i="1"/>
  <c r="AF243" i="1"/>
  <c r="AG243" i="1"/>
  <c r="AH243" i="1"/>
  <c r="AI243" i="1"/>
  <c r="AJ243" i="1"/>
  <c r="AK243" i="1"/>
  <c r="AL243" i="1"/>
  <c r="AM243" i="1"/>
  <c r="AN243" i="1"/>
  <c r="AO243" i="1"/>
  <c r="AP243" i="1"/>
  <c r="AQ243" i="1"/>
  <c r="AR243" i="1"/>
  <c r="AS243" i="1"/>
  <c r="AT243" i="1"/>
  <c r="AU243" i="1"/>
  <c r="AV243" i="1"/>
  <c r="AW243" i="1"/>
  <c r="AX243" i="1"/>
  <c r="AY243" i="1"/>
  <c r="AZ243" i="1"/>
  <c r="BA243" i="1"/>
  <c r="B244" i="1"/>
  <c r="C244" i="1"/>
  <c r="D244" i="1"/>
  <c r="E244" i="1"/>
  <c r="F244" i="1"/>
  <c r="G244" i="1"/>
  <c r="H244" i="1"/>
  <c r="I244" i="1"/>
  <c r="J244" i="1"/>
  <c r="K244" i="1"/>
  <c r="L244" i="1"/>
  <c r="M244" i="1"/>
  <c r="N244" i="1"/>
  <c r="O244" i="1"/>
  <c r="Q244" i="1"/>
  <c r="R244" i="1"/>
  <c r="U244" i="1"/>
  <c r="V244" i="1"/>
  <c r="W244" i="1"/>
  <c r="X244" i="1"/>
  <c r="Y244" i="1"/>
  <c r="AB244" i="1"/>
  <c r="AC244" i="1"/>
  <c r="AD244" i="1"/>
  <c r="AE244" i="1"/>
  <c r="AF244" i="1"/>
  <c r="AG244" i="1"/>
  <c r="AH244" i="1"/>
  <c r="AI244" i="1"/>
  <c r="AJ244" i="1"/>
  <c r="AK244" i="1"/>
  <c r="AL244" i="1"/>
  <c r="AM244" i="1"/>
  <c r="AN244" i="1"/>
  <c r="AO244" i="1"/>
  <c r="AP244" i="1"/>
  <c r="AQ244" i="1"/>
  <c r="AR244" i="1"/>
  <c r="AS244" i="1"/>
  <c r="AT244" i="1"/>
  <c r="AU244" i="1"/>
  <c r="AV244" i="1"/>
  <c r="AW244" i="1"/>
  <c r="AX244" i="1"/>
  <c r="AY244" i="1"/>
  <c r="AZ244" i="1"/>
  <c r="BA244" i="1"/>
  <c r="B245" i="1"/>
  <c r="C245" i="1"/>
  <c r="D245" i="1"/>
  <c r="E245" i="1"/>
  <c r="F245" i="1"/>
  <c r="G245" i="1"/>
  <c r="H245" i="1"/>
  <c r="I245" i="1"/>
  <c r="J245" i="1"/>
  <c r="K245" i="1"/>
  <c r="L245" i="1"/>
  <c r="M245" i="1"/>
  <c r="N245" i="1"/>
  <c r="O245" i="1"/>
  <c r="Q245" i="1"/>
  <c r="R245" i="1"/>
  <c r="U245" i="1"/>
  <c r="V245" i="1"/>
  <c r="W245" i="1"/>
  <c r="X245" i="1"/>
  <c r="Y245" i="1"/>
  <c r="AB245" i="1"/>
  <c r="AC245" i="1"/>
  <c r="AD245" i="1"/>
  <c r="AE245" i="1"/>
  <c r="AF245" i="1"/>
  <c r="AG245" i="1"/>
  <c r="AH245" i="1"/>
  <c r="AI245" i="1"/>
  <c r="AJ245" i="1"/>
  <c r="AK245" i="1"/>
  <c r="AL245" i="1"/>
  <c r="AM245" i="1"/>
  <c r="AN245" i="1"/>
  <c r="AO245" i="1"/>
  <c r="AP245" i="1"/>
  <c r="AQ245" i="1"/>
  <c r="AR245" i="1"/>
  <c r="AS245" i="1"/>
  <c r="AT245" i="1"/>
  <c r="AU245" i="1"/>
  <c r="AV245" i="1"/>
  <c r="AW245" i="1"/>
  <c r="AX245" i="1"/>
  <c r="AY245" i="1"/>
  <c r="AZ245" i="1"/>
  <c r="BA245" i="1"/>
  <c r="B246" i="1"/>
  <c r="C246" i="1"/>
  <c r="D246" i="1"/>
  <c r="E246" i="1"/>
  <c r="F246" i="1"/>
  <c r="G246" i="1"/>
  <c r="H246" i="1"/>
  <c r="I246" i="1"/>
  <c r="J246" i="1"/>
  <c r="K246" i="1"/>
  <c r="L246" i="1"/>
  <c r="M246" i="1"/>
  <c r="N246" i="1"/>
  <c r="O246" i="1"/>
  <c r="Q246" i="1"/>
  <c r="R246" i="1"/>
  <c r="U246" i="1"/>
  <c r="V246" i="1"/>
  <c r="W246" i="1"/>
  <c r="X246" i="1"/>
  <c r="Y246" i="1"/>
  <c r="AB246" i="1"/>
  <c r="AC246" i="1"/>
  <c r="AD246" i="1"/>
  <c r="AE246" i="1"/>
  <c r="AF246" i="1"/>
  <c r="AG246" i="1"/>
  <c r="AH246" i="1"/>
  <c r="AI246" i="1"/>
  <c r="AJ246" i="1"/>
  <c r="AK246" i="1"/>
  <c r="AL246" i="1"/>
  <c r="AM246" i="1"/>
  <c r="AN246" i="1"/>
  <c r="AO246" i="1"/>
  <c r="AP246" i="1"/>
  <c r="AQ246" i="1"/>
  <c r="AR246" i="1"/>
  <c r="AS246" i="1"/>
  <c r="AT246" i="1"/>
  <c r="AU246" i="1"/>
  <c r="AV246" i="1"/>
  <c r="AW246" i="1"/>
  <c r="AX246" i="1"/>
  <c r="AY246" i="1"/>
  <c r="AZ246" i="1"/>
  <c r="BA246" i="1"/>
  <c r="B247" i="1"/>
  <c r="C247" i="1"/>
  <c r="D247" i="1"/>
  <c r="E247" i="1"/>
  <c r="F247" i="1"/>
  <c r="G247" i="1"/>
  <c r="H247" i="1"/>
  <c r="I247" i="1"/>
  <c r="J247" i="1"/>
  <c r="K247" i="1"/>
  <c r="L247" i="1"/>
  <c r="M247" i="1"/>
  <c r="N247" i="1"/>
  <c r="O247" i="1"/>
  <c r="Q247" i="1"/>
  <c r="R247" i="1"/>
  <c r="U247" i="1"/>
  <c r="V247" i="1"/>
  <c r="W247" i="1"/>
  <c r="X247" i="1"/>
  <c r="Y247" i="1"/>
  <c r="AB247" i="1"/>
  <c r="AC247" i="1"/>
  <c r="AD247" i="1"/>
  <c r="AE247" i="1"/>
  <c r="AF247" i="1"/>
  <c r="AG247" i="1"/>
  <c r="AH247" i="1"/>
  <c r="AI247" i="1"/>
  <c r="AJ247" i="1"/>
  <c r="AK247" i="1"/>
  <c r="AL247" i="1"/>
  <c r="AM247" i="1"/>
  <c r="AN247" i="1"/>
  <c r="AO247" i="1"/>
  <c r="AP247" i="1"/>
  <c r="AQ247" i="1"/>
  <c r="AR247" i="1"/>
  <c r="AS247" i="1"/>
  <c r="AT247" i="1"/>
  <c r="AU247" i="1"/>
  <c r="AV247" i="1"/>
  <c r="AW247" i="1"/>
  <c r="AX247" i="1"/>
  <c r="AY247" i="1"/>
  <c r="AZ247" i="1"/>
  <c r="BA247" i="1"/>
  <c r="B248" i="1"/>
  <c r="C248" i="1"/>
  <c r="D248" i="1"/>
  <c r="E248" i="1"/>
  <c r="F248" i="1"/>
  <c r="G248" i="1"/>
  <c r="H248" i="1"/>
  <c r="I248" i="1"/>
  <c r="J248" i="1"/>
  <c r="K248" i="1"/>
  <c r="L248" i="1"/>
  <c r="M248" i="1"/>
  <c r="N248" i="1"/>
  <c r="O248" i="1"/>
  <c r="Q248" i="1"/>
  <c r="R248" i="1"/>
  <c r="U248" i="1"/>
  <c r="V248" i="1"/>
  <c r="W248" i="1"/>
  <c r="X248" i="1"/>
  <c r="Y248" i="1"/>
  <c r="AB248" i="1"/>
  <c r="AC248" i="1"/>
  <c r="AD248" i="1"/>
  <c r="AE248" i="1"/>
  <c r="AF248" i="1"/>
  <c r="AG248" i="1"/>
  <c r="AH248" i="1"/>
  <c r="AI248" i="1"/>
  <c r="AJ248" i="1"/>
  <c r="AK248" i="1"/>
  <c r="AL248" i="1"/>
  <c r="AM248" i="1"/>
  <c r="AN248" i="1"/>
  <c r="AO248" i="1"/>
  <c r="AP248" i="1"/>
  <c r="AQ248" i="1"/>
  <c r="AR248" i="1"/>
  <c r="AS248" i="1"/>
  <c r="AT248" i="1"/>
  <c r="AU248" i="1"/>
  <c r="AV248" i="1"/>
  <c r="AW248" i="1"/>
  <c r="AX248" i="1"/>
  <c r="AY248" i="1"/>
  <c r="AZ248" i="1"/>
  <c r="BA248" i="1"/>
  <c r="B249" i="1"/>
  <c r="C249" i="1"/>
  <c r="D249" i="1"/>
  <c r="E249" i="1"/>
  <c r="F249" i="1"/>
  <c r="G249" i="1"/>
  <c r="H249" i="1"/>
  <c r="I249" i="1"/>
  <c r="J249" i="1"/>
  <c r="K249" i="1"/>
  <c r="L249" i="1"/>
  <c r="M249" i="1"/>
  <c r="N249" i="1"/>
  <c r="O249" i="1"/>
  <c r="Q249" i="1"/>
  <c r="R249" i="1"/>
  <c r="U249" i="1"/>
  <c r="V249" i="1"/>
  <c r="W249" i="1"/>
  <c r="X249" i="1"/>
  <c r="Y249" i="1"/>
  <c r="AB249" i="1"/>
  <c r="AC249" i="1"/>
  <c r="AD249" i="1"/>
  <c r="AE249" i="1"/>
  <c r="AF249" i="1"/>
  <c r="AG249" i="1"/>
  <c r="AH249" i="1"/>
  <c r="AI249" i="1"/>
  <c r="AJ249" i="1"/>
  <c r="AK249" i="1"/>
  <c r="AL249" i="1"/>
  <c r="AM249" i="1"/>
  <c r="AN249" i="1"/>
  <c r="AO249" i="1"/>
  <c r="AP249" i="1"/>
  <c r="AQ249" i="1"/>
  <c r="AR249" i="1"/>
  <c r="AS249" i="1"/>
  <c r="AT249" i="1"/>
  <c r="AU249" i="1"/>
  <c r="AV249" i="1"/>
  <c r="AW249" i="1"/>
  <c r="AX249" i="1"/>
  <c r="AY249" i="1"/>
  <c r="AZ249" i="1"/>
  <c r="BA249" i="1"/>
  <c r="B250" i="1"/>
  <c r="C250" i="1"/>
  <c r="D250" i="1"/>
  <c r="E250" i="1"/>
  <c r="F250" i="1"/>
  <c r="G250" i="1"/>
  <c r="H250" i="1"/>
  <c r="I250" i="1"/>
  <c r="J250" i="1"/>
  <c r="K250" i="1"/>
  <c r="L250" i="1"/>
  <c r="M250" i="1"/>
  <c r="N250" i="1"/>
  <c r="O250" i="1"/>
  <c r="Q250" i="1"/>
  <c r="R250" i="1"/>
  <c r="U250" i="1"/>
  <c r="V250" i="1"/>
  <c r="W250" i="1"/>
  <c r="X250" i="1"/>
  <c r="Y250" i="1"/>
  <c r="AB250" i="1"/>
  <c r="AC250" i="1"/>
  <c r="AD250" i="1"/>
  <c r="AE250" i="1"/>
  <c r="AF250" i="1"/>
  <c r="AG250" i="1"/>
  <c r="AH250" i="1"/>
  <c r="AI250" i="1"/>
  <c r="AJ250" i="1"/>
  <c r="AK250" i="1"/>
  <c r="AL250" i="1"/>
  <c r="AM250" i="1"/>
  <c r="AN250" i="1"/>
  <c r="AO250" i="1"/>
  <c r="AP250" i="1"/>
  <c r="AQ250" i="1"/>
  <c r="AR250" i="1"/>
  <c r="AS250" i="1"/>
  <c r="AT250" i="1"/>
  <c r="AU250" i="1"/>
  <c r="AV250" i="1"/>
  <c r="AW250" i="1"/>
  <c r="AX250" i="1"/>
  <c r="AY250" i="1"/>
  <c r="AZ250" i="1"/>
  <c r="BA250" i="1"/>
  <c r="B251" i="1"/>
  <c r="C251" i="1"/>
  <c r="D251" i="1"/>
  <c r="E251" i="1"/>
  <c r="F251" i="1"/>
  <c r="G251" i="1"/>
  <c r="H251" i="1"/>
  <c r="I251" i="1"/>
  <c r="J251" i="1"/>
  <c r="K251" i="1"/>
  <c r="L251" i="1"/>
  <c r="M251" i="1"/>
  <c r="N251" i="1"/>
  <c r="O251" i="1"/>
  <c r="Q251" i="1"/>
  <c r="R251" i="1"/>
  <c r="U251" i="1"/>
  <c r="V251" i="1"/>
  <c r="W251" i="1"/>
  <c r="X251" i="1"/>
  <c r="Y251" i="1"/>
  <c r="AB251" i="1"/>
  <c r="AC251" i="1"/>
  <c r="AD251" i="1"/>
  <c r="AE251" i="1"/>
  <c r="AF251" i="1"/>
  <c r="AG251" i="1"/>
  <c r="AH251" i="1"/>
  <c r="AI251" i="1"/>
  <c r="AJ251" i="1"/>
  <c r="AK251" i="1"/>
  <c r="AL251" i="1"/>
  <c r="AM251" i="1"/>
  <c r="AN251" i="1"/>
  <c r="AO251" i="1"/>
  <c r="AP251" i="1"/>
  <c r="AQ251" i="1"/>
  <c r="AR251" i="1"/>
  <c r="AS251" i="1"/>
  <c r="AT251" i="1"/>
  <c r="AU251" i="1"/>
  <c r="AV251" i="1"/>
  <c r="AW251" i="1"/>
  <c r="AX251" i="1"/>
  <c r="AY251" i="1"/>
  <c r="AZ251" i="1"/>
  <c r="BA251" i="1"/>
  <c r="B252" i="1"/>
  <c r="C252" i="1"/>
  <c r="D252" i="1"/>
  <c r="E252" i="1"/>
  <c r="F252" i="1"/>
  <c r="G252" i="1"/>
  <c r="H252" i="1"/>
  <c r="I252" i="1"/>
  <c r="J252" i="1"/>
  <c r="K252" i="1"/>
  <c r="L252" i="1"/>
  <c r="M252" i="1"/>
  <c r="N252" i="1"/>
  <c r="O252" i="1"/>
  <c r="Q252" i="1"/>
  <c r="R252" i="1"/>
  <c r="U252" i="1"/>
  <c r="V252" i="1"/>
  <c r="W252" i="1"/>
  <c r="X252" i="1"/>
  <c r="Y252" i="1"/>
  <c r="AB252" i="1"/>
  <c r="AC252" i="1"/>
  <c r="AD252" i="1"/>
  <c r="AE252" i="1"/>
  <c r="AF252" i="1"/>
  <c r="AG252" i="1"/>
  <c r="AH252" i="1"/>
  <c r="AI252" i="1"/>
  <c r="AJ252" i="1"/>
  <c r="AK252" i="1"/>
  <c r="AL252" i="1"/>
  <c r="AM252" i="1"/>
  <c r="AN252" i="1"/>
  <c r="AO252" i="1"/>
  <c r="AP252" i="1"/>
  <c r="AQ252" i="1"/>
  <c r="AR252" i="1"/>
  <c r="AS252" i="1"/>
  <c r="AT252" i="1"/>
  <c r="AU252" i="1"/>
  <c r="AV252" i="1"/>
  <c r="AW252" i="1"/>
  <c r="AX252" i="1"/>
  <c r="AY252" i="1"/>
  <c r="AZ252" i="1"/>
  <c r="BA252" i="1"/>
  <c r="B253" i="1"/>
  <c r="C253" i="1"/>
  <c r="D253" i="1"/>
  <c r="E253" i="1"/>
  <c r="F253" i="1"/>
  <c r="G253" i="1"/>
  <c r="H253" i="1"/>
  <c r="I253" i="1"/>
  <c r="J253" i="1"/>
  <c r="K253" i="1"/>
  <c r="L253" i="1"/>
  <c r="M253" i="1"/>
  <c r="N253" i="1"/>
  <c r="O253" i="1"/>
  <c r="Q253" i="1"/>
  <c r="R253" i="1"/>
  <c r="U253" i="1"/>
  <c r="V253" i="1"/>
  <c r="W253" i="1"/>
  <c r="X253" i="1"/>
  <c r="Y253" i="1"/>
  <c r="AB253" i="1"/>
  <c r="AC253" i="1"/>
  <c r="AD253" i="1"/>
  <c r="AE253" i="1"/>
  <c r="AF253" i="1"/>
  <c r="AG253" i="1"/>
  <c r="AH253" i="1"/>
  <c r="AI253" i="1"/>
  <c r="AJ253" i="1"/>
  <c r="AK253" i="1"/>
  <c r="AL253" i="1"/>
  <c r="AM253" i="1"/>
  <c r="AN253" i="1"/>
  <c r="AO253" i="1"/>
  <c r="AP253" i="1"/>
  <c r="AQ253" i="1"/>
  <c r="AR253" i="1"/>
  <c r="AS253" i="1"/>
  <c r="AT253" i="1"/>
  <c r="AU253" i="1"/>
  <c r="AV253" i="1"/>
  <c r="AW253" i="1"/>
  <c r="AX253" i="1"/>
  <c r="AY253" i="1"/>
  <c r="AZ253" i="1"/>
  <c r="BA253" i="1"/>
  <c r="B254" i="1"/>
  <c r="C254" i="1"/>
  <c r="D254" i="1"/>
  <c r="E254" i="1"/>
  <c r="F254" i="1"/>
  <c r="G254" i="1"/>
  <c r="H254" i="1"/>
  <c r="I254" i="1"/>
  <c r="J254" i="1"/>
  <c r="K254" i="1"/>
  <c r="L254" i="1"/>
  <c r="M254" i="1"/>
  <c r="N254" i="1"/>
  <c r="O254" i="1"/>
  <c r="Q254" i="1"/>
  <c r="R254" i="1"/>
  <c r="U254" i="1"/>
  <c r="V254" i="1"/>
  <c r="W254" i="1"/>
  <c r="X254" i="1"/>
  <c r="Y254" i="1"/>
  <c r="AB254" i="1"/>
  <c r="AC254" i="1"/>
  <c r="AD254" i="1"/>
  <c r="AE254" i="1"/>
  <c r="AF254" i="1"/>
  <c r="AG254" i="1"/>
  <c r="AH254" i="1"/>
  <c r="AI254" i="1"/>
  <c r="AJ254" i="1"/>
  <c r="AK254" i="1"/>
  <c r="AL254" i="1"/>
  <c r="AM254" i="1"/>
  <c r="AN254" i="1"/>
  <c r="AO254" i="1"/>
  <c r="AP254" i="1"/>
  <c r="AQ254" i="1"/>
  <c r="AR254" i="1"/>
  <c r="AS254" i="1"/>
  <c r="AT254" i="1"/>
  <c r="AU254" i="1"/>
  <c r="AV254" i="1"/>
  <c r="AW254" i="1"/>
  <c r="AX254" i="1"/>
  <c r="AY254" i="1"/>
  <c r="AZ254" i="1"/>
  <c r="BA254" i="1"/>
  <c r="B255" i="1"/>
  <c r="C255" i="1"/>
  <c r="D255" i="1"/>
  <c r="E255" i="1"/>
  <c r="F255" i="1"/>
  <c r="G255" i="1"/>
  <c r="H255" i="1"/>
  <c r="I255" i="1"/>
  <c r="J255" i="1"/>
  <c r="K255" i="1"/>
  <c r="L255" i="1"/>
  <c r="M255" i="1"/>
  <c r="N255" i="1"/>
  <c r="O255" i="1"/>
  <c r="Q255" i="1"/>
  <c r="R255" i="1"/>
  <c r="U255" i="1"/>
  <c r="V255" i="1"/>
  <c r="W255" i="1"/>
  <c r="X255" i="1"/>
  <c r="Y255" i="1"/>
  <c r="AB255" i="1"/>
  <c r="AC255" i="1"/>
  <c r="AD255" i="1"/>
  <c r="AE255" i="1"/>
  <c r="AF255" i="1"/>
  <c r="AG255" i="1"/>
  <c r="AH255" i="1"/>
  <c r="AI255" i="1"/>
  <c r="AJ255" i="1"/>
  <c r="AK255" i="1"/>
  <c r="AL255" i="1"/>
  <c r="AM255" i="1"/>
  <c r="AN255" i="1"/>
  <c r="AO255" i="1"/>
  <c r="AP255" i="1"/>
  <c r="AQ255" i="1"/>
  <c r="AR255" i="1"/>
  <c r="AS255" i="1"/>
  <c r="AT255" i="1"/>
  <c r="AU255" i="1"/>
  <c r="AV255" i="1"/>
  <c r="AW255" i="1"/>
  <c r="AX255" i="1"/>
  <c r="AY255" i="1"/>
  <c r="AZ255" i="1"/>
  <c r="BA255" i="1"/>
  <c r="B256" i="1"/>
  <c r="C256" i="1"/>
  <c r="D256" i="1"/>
  <c r="E256" i="1"/>
  <c r="F256" i="1"/>
  <c r="G256" i="1"/>
  <c r="H256" i="1"/>
  <c r="I256" i="1"/>
  <c r="J256" i="1"/>
  <c r="K256" i="1"/>
  <c r="L256" i="1"/>
  <c r="M256" i="1"/>
  <c r="N256" i="1"/>
  <c r="O256" i="1"/>
  <c r="Q256" i="1"/>
  <c r="R256" i="1"/>
  <c r="U256" i="1"/>
  <c r="V256" i="1"/>
  <c r="W256" i="1"/>
  <c r="X256" i="1"/>
  <c r="Y256" i="1"/>
  <c r="AB256" i="1"/>
  <c r="AC256" i="1"/>
  <c r="AD256" i="1"/>
  <c r="AE256" i="1"/>
  <c r="AF256" i="1"/>
  <c r="AG256" i="1"/>
  <c r="AH256" i="1"/>
  <c r="AI256" i="1"/>
  <c r="AJ256" i="1"/>
  <c r="AK256" i="1"/>
  <c r="AL256" i="1"/>
  <c r="AM256" i="1"/>
  <c r="AN256" i="1"/>
  <c r="AO256" i="1"/>
  <c r="AP256" i="1"/>
  <c r="AQ256" i="1"/>
  <c r="AR256" i="1"/>
  <c r="AS256" i="1"/>
  <c r="AT256" i="1"/>
  <c r="AU256" i="1"/>
  <c r="AV256" i="1"/>
  <c r="AW256" i="1"/>
  <c r="AX256" i="1"/>
  <c r="AY256" i="1"/>
  <c r="AZ256" i="1"/>
  <c r="BA256" i="1"/>
  <c r="B257" i="1"/>
  <c r="C257" i="1"/>
  <c r="D257" i="1"/>
  <c r="E257" i="1"/>
  <c r="F257" i="1"/>
  <c r="G257" i="1"/>
  <c r="H257" i="1"/>
  <c r="I257" i="1"/>
  <c r="J257" i="1"/>
  <c r="K257" i="1"/>
  <c r="L257" i="1"/>
  <c r="M257" i="1"/>
  <c r="N257" i="1"/>
  <c r="O257" i="1"/>
  <c r="Q257" i="1"/>
  <c r="R257" i="1"/>
  <c r="U257" i="1"/>
  <c r="V257" i="1"/>
  <c r="W257" i="1"/>
  <c r="X257" i="1"/>
  <c r="Y257" i="1"/>
  <c r="AB257" i="1"/>
  <c r="AC257" i="1"/>
  <c r="AD257" i="1"/>
  <c r="AE257" i="1"/>
  <c r="AF257" i="1"/>
  <c r="AG257" i="1"/>
  <c r="AH257" i="1"/>
  <c r="AI257" i="1"/>
  <c r="AJ257" i="1"/>
  <c r="AK257" i="1"/>
  <c r="AL257" i="1"/>
  <c r="AM257" i="1"/>
  <c r="AN257" i="1"/>
  <c r="AO257" i="1"/>
  <c r="AP257" i="1"/>
  <c r="AQ257" i="1"/>
  <c r="AR257" i="1"/>
  <c r="AS257" i="1"/>
  <c r="AT257" i="1"/>
  <c r="AU257" i="1"/>
  <c r="AV257" i="1"/>
  <c r="AW257" i="1"/>
  <c r="AX257" i="1"/>
  <c r="AY257" i="1"/>
  <c r="AZ257" i="1"/>
  <c r="BA257" i="1"/>
  <c r="B258" i="1"/>
  <c r="C258" i="1"/>
  <c r="D258" i="1"/>
  <c r="E258" i="1"/>
  <c r="F258" i="1"/>
  <c r="G258" i="1"/>
  <c r="H258" i="1"/>
  <c r="I258" i="1"/>
  <c r="J258" i="1"/>
  <c r="K258" i="1"/>
  <c r="L258" i="1"/>
  <c r="M258" i="1"/>
  <c r="N258" i="1"/>
  <c r="O258" i="1"/>
  <c r="Q258" i="1"/>
  <c r="R258" i="1"/>
  <c r="U258" i="1"/>
  <c r="V258" i="1"/>
  <c r="W258" i="1"/>
  <c r="X258" i="1"/>
  <c r="Y258" i="1"/>
  <c r="AB258" i="1"/>
  <c r="AC258" i="1"/>
  <c r="AD258" i="1"/>
  <c r="AE258" i="1"/>
  <c r="AF258" i="1"/>
  <c r="AG258" i="1"/>
  <c r="AH258" i="1"/>
  <c r="AI258" i="1"/>
  <c r="AJ258" i="1"/>
  <c r="AK258" i="1"/>
  <c r="AL258" i="1"/>
  <c r="AM258" i="1"/>
  <c r="AN258" i="1"/>
  <c r="AO258" i="1"/>
  <c r="AP258" i="1"/>
  <c r="AQ258" i="1"/>
  <c r="AR258" i="1"/>
  <c r="AS258" i="1"/>
  <c r="AT258" i="1"/>
  <c r="AU258" i="1"/>
  <c r="AV258" i="1"/>
  <c r="AW258" i="1"/>
  <c r="AX258" i="1"/>
  <c r="AY258" i="1"/>
  <c r="AZ258" i="1"/>
  <c r="BA258" i="1"/>
  <c r="B259" i="1"/>
  <c r="C259" i="1"/>
  <c r="D259" i="1"/>
  <c r="E259" i="1"/>
  <c r="F259" i="1"/>
  <c r="G259" i="1"/>
  <c r="H259" i="1"/>
  <c r="I259" i="1"/>
  <c r="J259" i="1"/>
  <c r="K259" i="1"/>
  <c r="L259" i="1"/>
  <c r="M259" i="1"/>
  <c r="N259" i="1"/>
  <c r="O259" i="1"/>
  <c r="Q259" i="1"/>
  <c r="R259" i="1"/>
  <c r="U259" i="1"/>
  <c r="V259" i="1"/>
  <c r="W259" i="1"/>
  <c r="X259" i="1"/>
  <c r="Y259" i="1"/>
  <c r="AB259" i="1"/>
  <c r="AC259" i="1"/>
  <c r="AD259" i="1"/>
  <c r="AE259" i="1"/>
  <c r="AF259" i="1"/>
  <c r="AG259" i="1"/>
  <c r="AH259" i="1"/>
  <c r="AI259" i="1"/>
  <c r="AJ259" i="1"/>
  <c r="AK259" i="1"/>
  <c r="AL259" i="1"/>
  <c r="AM259" i="1"/>
  <c r="AN259" i="1"/>
  <c r="AO259" i="1"/>
  <c r="AP259" i="1"/>
  <c r="AQ259" i="1"/>
  <c r="AR259" i="1"/>
  <c r="AS259" i="1"/>
  <c r="AT259" i="1"/>
  <c r="AU259" i="1"/>
  <c r="AV259" i="1"/>
  <c r="AW259" i="1"/>
  <c r="AX259" i="1"/>
  <c r="AY259" i="1"/>
  <c r="AZ259" i="1"/>
  <c r="BA259" i="1"/>
  <c r="B260" i="1"/>
  <c r="C260" i="1"/>
  <c r="D260" i="1"/>
  <c r="E260" i="1"/>
  <c r="F260" i="1"/>
  <c r="G260" i="1"/>
  <c r="H260" i="1"/>
  <c r="I260" i="1"/>
  <c r="J260" i="1"/>
  <c r="K260" i="1"/>
  <c r="L260" i="1"/>
  <c r="M260" i="1"/>
  <c r="N260" i="1"/>
  <c r="O260" i="1"/>
  <c r="Q260" i="1"/>
  <c r="R260" i="1"/>
  <c r="U260" i="1"/>
  <c r="V260" i="1"/>
  <c r="W260" i="1"/>
  <c r="X260" i="1"/>
  <c r="Y260" i="1"/>
  <c r="AB260" i="1"/>
  <c r="AC260" i="1"/>
  <c r="AD260" i="1"/>
  <c r="AE260" i="1"/>
  <c r="AF260" i="1"/>
  <c r="AG260" i="1"/>
  <c r="AH260" i="1"/>
  <c r="AI260" i="1"/>
  <c r="AJ260" i="1"/>
  <c r="AK260" i="1"/>
  <c r="AL260" i="1"/>
  <c r="AM260" i="1"/>
  <c r="AN260" i="1"/>
  <c r="AO260" i="1"/>
  <c r="AP260" i="1"/>
  <c r="AQ260" i="1"/>
  <c r="AR260" i="1"/>
  <c r="AS260" i="1"/>
  <c r="AT260" i="1"/>
  <c r="AU260" i="1"/>
  <c r="AV260" i="1"/>
  <c r="AW260" i="1"/>
  <c r="AX260" i="1"/>
  <c r="AY260" i="1"/>
  <c r="AZ260" i="1"/>
  <c r="BA260" i="1"/>
  <c r="B261" i="1"/>
  <c r="C261" i="1"/>
  <c r="D261" i="1"/>
  <c r="E261" i="1"/>
  <c r="F261" i="1"/>
  <c r="G261" i="1"/>
  <c r="H261" i="1"/>
  <c r="I261" i="1"/>
  <c r="J261" i="1"/>
  <c r="K261" i="1"/>
  <c r="L261" i="1"/>
  <c r="M261" i="1"/>
  <c r="N261" i="1"/>
  <c r="O261" i="1"/>
  <c r="P261" i="1"/>
  <c r="Q261" i="1"/>
  <c r="R261" i="1"/>
  <c r="U261" i="1"/>
  <c r="V261" i="1"/>
  <c r="W261" i="1"/>
  <c r="X261" i="1"/>
  <c r="Y261" i="1"/>
  <c r="AB261" i="1"/>
  <c r="AC261" i="1"/>
  <c r="AD261" i="1"/>
  <c r="AE261" i="1"/>
  <c r="AF261" i="1"/>
  <c r="AG261" i="1"/>
  <c r="AH261" i="1"/>
  <c r="AI261" i="1"/>
  <c r="AJ261" i="1"/>
  <c r="AK261" i="1"/>
  <c r="AL261" i="1"/>
  <c r="AM261" i="1"/>
  <c r="AN261" i="1"/>
  <c r="AO261" i="1"/>
  <c r="AP261" i="1"/>
  <c r="AQ261" i="1"/>
  <c r="AR261" i="1"/>
  <c r="AS261" i="1"/>
  <c r="AT261" i="1"/>
  <c r="AU261" i="1"/>
  <c r="AV261" i="1"/>
  <c r="AW261" i="1"/>
  <c r="AX261" i="1"/>
  <c r="AY261" i="1"/>
  <c r="AZ261" i="1"/>
  <c r="BA261" i="1"/>
  <c r="B262" i="1"/>
  <c r="C262" i="1"/>
  <c r="D262" i="1"/>
  <c r="E262" i="1"/>
  <c r="F262" i="1"/>
  <c r="G262" i="1"/>
  <c r="H262" i="1"/>
  <c r="I262" i="1"/>
  <c r="J262" i="1"/>
  <c r="K262" i="1"/>
  <c r="L262" i="1"/>
  <c r="M262" i="1"/>
  <c r="N262" i="1"/>
  <c r="O262" i="1"/>
  <c r="P262" i="1"/>
  <c r="Q262" i="1"/>
  <c r="R262" i="1"/>
  <c r="U262" i="1"/>
  <c r="V262" i="1"/>
  <c r="W262" i="1"/>
  <c r="X262" i="1"/>
  <c r="Y262" i="1"/>
  <c r="AB262" i="1"/>
  <c r="AC262" i="1"/>
  <c r="AD262" i="1"/>
  <c r="AE262" i="1"/>
  <c r="AF262" i="1"/>
  <c r="AG262" i="1"/>
  <c r="AH262" i="1"/>
  <c r="AI262" i="1"/>
  <c r="AJ262" i="1"/>
  <c r="AK262" i="1"/>
  <c r="AL262" i="1"/>
  <c r="AM262" i="1"/>
  <c r="AN262" i="1"/>
  <c r="AO262" i="1"/>
  <c r="AP262" i="1"/>
  <c r="AQ262" i="1"/>
  <c r="AR262" i="1"/>
  <c r="AS262" i="1"/>
  <c r="AT262" i="1"/>
  <c r="AU262" i="1"/>
  <c r="AV262" i="1"/>
  <c r="AW262" i="1"/>
  <c r="AX262" i="1"/>
  <c r="AY262" i="1"/>
  <c r="AZ262" i="1"/>
  <c r="BA262" i="1"/>
  <c r="B263" i="1"/>
  <c r="C263" i="1"/>
  <c r="D263" i="1"/>
  <c r="E263" i="1"/>
  <c r="F263" i="1"/>
  <c r="G263" i="1"/>
  <c r="H263" i="1"/>
  <c r="I263" i="1"/>
  <c r="J263" i="1"/>
  <c r="K263" i="1"/>
  <c r="L263" i="1"/>
  <c r="M263" i="1"/>
  <c r="N263" i="1"/>
  <c r="O263" i="1"/>
  <c r="P263" i="1"/>
  <c r="Q263" i="1"/>
  <c r="R263" i="1"/>
  <c r="U263" i="1"/>
  <c r="V263" i="1"/>
  <c r="W263" i="1"/>
  <c r="X263" i="1"/>
  <c r="Y263" i="1"/>
  <c r="AB263" i="1"/>
  <c r="AC263" i="1"/>
  <c r="AD263" i="1"/>
  <c r="AE263" i="1"/>
  <c r="AF263" i="1"/>
  <c r="AG263" i="1"/>
  <c r="AH263" i="1"/>
  <c r="AI263" i="1"/>
  <c r="AJ263" i="1"/>
  <c r="AK263" i="1"/>
  <c r="AL263" i="1"/>
  <c r="AM263" i="1"/>
  <c r="AN263" i="1"/>
  <c r="AO263" i="1"/>
  <c r="AP263" i="1"/>
  <c r="AQ263" i="1"/>
  <c r="AR263" i="1"/>
  <c r="AS263" i="1"/>
  <c r="AT263" i="1"/>
  <c r="AU263" i="1"/>
  <c r="AV263" i="1"/>
  <c r="AW263" i="1"/>
  <c r="AX263" i="1"/>
  <c r="AY263" i="1"/>
  <c r="AZ263" i="1"/>
  <c r="BA263" i="1"/>
  <c r="B264" i="1"/>
  <c r="C264" i="1"/>
  <c r="D264" i="1"/>
  <c r="E264" i="1"/>
  <c r="F264" i="1"/>
  <c r="G264" i="1"/>
  <c r="H264" i="1"/>
  <c r="I264" i="1"/>
  <c r="J264" i="1"/>
  <c r="K264" i="1"/>
  <c r="L264" i="1"/>
  <c r="M264" i="1"/>
  <c r="N264" i="1"/>
  <c r="O264" i="1"/>
  <c r="P264" i="1"/>
  <c r="Q264" i="1"/>
  <c r="R264" i="1"/>
  <c r="U264" i="1"/>
  <c r="V264" i="1"/>
  <c r="W264" i="1"/>
  <c r="X264" i="1"/>
  <c r="Y264" i="1"/>
  <c r="AB264" i="1"/>
  <c r="AC264" i="1"/>
  <c r="AD264" i="1"/>
  <c r="AE264" i="1"/>
  <c r="AF264" i="1"/>
  <c r="AG264" i="1"/>
  <c r="AH264" i="1"/>
  <c r="AI264" i="1"/>
  <c r="AJ264" i="1"/>
  <c r="AK264" i="1"/>
  <c r="AL264" i="1"/>
  <c r="AM264" i="1"/>
  <c r="AN264" i="1"/>
  <c r="AO264" i="1"/>
  <c r="AP264" i="1"/>
  <c r="AQ264" i="1"/>
  <c r="AR264" i="1"/>
  <c r="AS264" i="1"/>
  <c r="AT264" i="1"/>
  <c r="AU264" i="1"/>
  <c r="AV264" i="1"/>
  <c r="AW264" i="1"/>
  <c r="AX264" i="1"/>
  <c r="AY264" i="1"/>
  <c r="AZ264" i="1"/>
  <c r="BA264" i="1"/>
  <c r="B265" i="1"/>
  <c r="C265" i="1"/>
  <c r="D265" i="1"/>
  <c r="E265" i="1"/>
  <c r="F265" i="1"/>
  <c r="G265" i="1"/>
  <c r="H265" i="1"/>
  <c r="I265" i="1"/>
  <c r="J265" i="1"/>
  <c r="K265" i="1"/>
  <c r="L265" i="1"/>
  <c r="M265" i="1"/>
  <c r="N265" i="1"/>
  <c r="O265" i="1"/>
  <c r="P265" i="1"/>
  <c r="Q265" i="1"/>
  <c r="R265" i="1"/>
  <c r="U265" i="1"/>
  <c r="V265" i="1"/>
  <c r="W265" i="1"/>
  <c r="X265" i="1"/>
  <c r="Y265" i="1"/>
  <c r="AB265" i="1"/>
  <c r="AC265" i="1"/>
  <c r="AD265" i="1"/>
  <c r="AE265" i="1"/>
  <c r="AF265" i="1"/>
  <c r="AG265" i="1"/>
  <c r="AH265" i="1"/>
  <c r="AI265" i="1"/>
  <c r="AJ265" i="1"/>
  <c r="AK265" i="1"/>
  <c r="AL265" i="1"/>
  <c r="AM265" i="1"/>
  <c r="AN265" i="1"/>
  <c r="AO265" i="1"/>
  <c r="AP265" i="1"/>
  <c r="AQ265" i="1"/>
  <c r="AR265" i="1"/>
  <c r="AS265" i="1"/>
  <c r="AT265" i="1"/>
  <c r="AU265" i="1"/>
  <c r="AV265" i="1"/>
  <c r="AW265" i="1"/>
  <c r="AX265" i="1"/>
  <c r="AY265" i="1"/>
  <c r="AZ265" i="1"/>
  <c r="BA265" i="1"/>
  <c r="B266" i="1"/>
  <c r="C266" i="1"/>
  <c r="D266" i="1"/>
  <c r="E266" i="1"/>
  <c r="F266" i="1"/>
  <c r="G266" i="1"/>
  <c r="H266" i="1"/>
  <c r="I266" i="1"/>
  <c r="J266" i="1"/>
  <c r="K266" i="1"/>
  <c r="L266" i="1"/>
  <c r="M266" i="1"/>
  <c r="N266" i="1"/>
  <c r="O266" i="1"/>
  <c r="P266" i="1"/>
  <c r="Q266" i="1"/>
  <c r="R266" i="1"/>
  <c r="U266" i="1"/>
  <c r="V266" i="1"/>
  <c r="W266" i="1"/>
  <c r="X266" i="1"/>
  <c r="Y266" i="1"/>
  <c r="AB266" i="1"/>
  <c r="AC266" i="1"/>
  <c r="AD266" i="1"/>
  <c r="AE266" i="1"/>
  <c r="AF266" i="1"/>
  <c r="AG266" i="1"/>
  <c r="AH266" i="1"/>
  <c r="AI266" i="1"/>
  <c r="AJ266" i="1"/>
  <c r="AK266" i="1"/>
  <c r="AL266" i="1"/>
  <c r="AM266" i="1"/>
  <c r="AN266" i="1"/>
  <c r="AO266" i="1"/>
  <c r="AP266" i="1"/>
  <c r="AQ266" i="1"/>
  <c r="AR266" i="1"/>
  <c r="AS266" i="1"/>
  <c r="AT266" i="1"/>
  <c r="AU266" i="1"/>
  <c r="AV266" i="1"/>
  <c r="AW266" i="1"/>
  <c r="AX266" i="1"/>
  <c r="AY266" i="1"/>
  <c r="AZ266" i="1"/>
  <c r="BA266" i="1"/>
  <c r="B267" i="1"/>
  <c r="C267" i="1"/>
  <c r="D267" i="1"/>
  <c r="E267" i="1"/>
  <c r="F267" i="1"/>
  <c r="G267" i="1"/>
  <c r="H267" i="1"/>
  <c r="I267" i="1"/>
  <c r="J267" i="1"/>
  <c r="K267" i="1"/>
  <c r="L267" i="1"/>
  <c r="M267" i="1"/>
  <c r="N267" i="1"/>
  <c r="O267" i="1"/>
  <c r="P267" i="1"/>
  <c r="Q267" i="1"/>
  <c r="R267" i="1"/>
  <c r="U267" i="1"/>
  <c r="V267" i="1"/>
  <c r="W267" i="1"/>
  <c r="X267" i="1"/>
  <c r="Y267" i="1"/>
  <c r="AB267" i="1"/>
  <c r="AC267" i="1"/>
  <c r="AD267" i="1"/>
  <c r="AE267" i="1"/>
  <c r="AF267" i="1"/>
  <c r="AG267" i="1"/>
  <c r="AH267" i="1"/>
  <c r="AI267" i="1"/>
  <c r="AJ267" i="1"/>
  <c r="AK267" i="1"/>
  <c r="AL267" i="1"/>
  <c r="AM267" i="1"/>
  <c r="AN267" i="1"/>
  <c r="AO267" i="1"/>
  <c r="AP267" i="1"/>
  <c r="AQ267" i="1"/>
  <c r="AR267" i="1"/>
  <c r="AS267" i="1"/>
  <c r="AT267" i="1"/>
  <c r="AU267" i="1"/>
  <c r="AV267" i="1"/>
  <c r="AW267" i="1"/>
  <c r="AX267" i="1"/>
  <c r="AY267" i="1"/>
  <c r="AZ267" i="1"/>
  <c r="BA267" i="1"/>
  <c r="B268" i="1"/>
  <c r="C268" i="1"/>
  <c r="D268" i="1"/>
  <c r="E268" i="1"/>
  <c r="F268" i="1"/>
  <c r="G268" i="1"/>
  <c r="H268" i="1"/>
  <c r="I268" i="1"/>
  <c r="J268" i="1"/>
  <c r="K268" i="1"/>
  <c r="L268" i="1"/>
  <c r="M268" i="1"/>
  <c r="N268" i="1"/>
  <c r="O268" i="1"/>
  <c r="P268" i="1"/>
  <c r="Q268" i="1"/>
  <c r="R268" i="1"/>
  <c r="U268" i="1"/>
  <c r="V268" i="1"/>
  <c r="W268" i="1"/>
  <c r="X268" i="1"/>
  <c r="Y268" i="1"/>
  <c r="AB268" i="1"/>
  <c r="AC268" i="1"/>
  <c r="AD268" i="1"/>
  <c r="AE268" i="1"/>
  <c r="AF268" i="1"/>
  <c r="AG268" i="1"/>
  <c r="AH268" i="1"/>
  <c r="AI268" i="1"/>
  <c r="AJ268" i="1"/>
  <c r="AK268" i="1"/>
  <c r="AL268" i="1"/>
  <c r="AM268" i="1"/>
  <c r="AN268" i="1"/>
  <c r="AO268" i="1"/>
  <c r="AP268" i="1"/>
  <c r="AQ268" i="1"/>
  <c r="AR268" i="1"/>
  <c r="AS268" i="1"/>
  <c r="AT268" i="1"/>
  <c r="AU268" i="1"/>
  <c r="AV268" i="1"/>
  <c r="AW268" i="1"/>
  <c r="AX268" i="1"/>
  <c r="AY268" i="1"/>
  <c r="AZ268" i="1"/>
  <c r="BA268" i="1"/>
  <c r="B269" i="1"/>
  <c r="C269" i="1"/>
  <c r="D269" i="1"/>
  <c r="E269" i="1"/>
  <c r="F269" i="1"/>
  <c r="G269" i="1"/>
  <c r="H269" i="1"/>
  <c r="I269" i="1"/>
  <c r="J269" i="1"/>
  <c r="K269" i="1"/>
  <c r="L269" i="1"/>
  <c r="M269" i="1"/>
  <c r="N269" i="1"/>
  <c r="O269" i="1"/>
  <c r="Q269" i="1"/>
  <c r="R269" i="1"/>
  <c r="U269" i="1"/>
  <c r="V269" i="1"/>
  <c r="W269" i="1"/>
  <c r="X269" i="1"/>
  <c r="Y269" i="1"/>
  <c r="AB269" i="1"/>
  <c r="AC269" i="1"/>
  <c r="AD269" i="1"/>
  <c r="AE269" i="1"/>
  <c r="AF269" i="1"/>
  <c r="AG269" i="1"/>
  <c r="AH269" i="1"/>
  <c r="AI269" i="1"/>
  <c r="AJ269" i="1"/>
  <c r="AK269" i="1"/>
  <c r="AL269" i="1"/>
  <c r="AN269" i="1"/>
  <c r="AO269" i="1"/>
  <c r="AP269" i="1"/>
  <c r="AQ269" i="1"/>
  <c r="AS269" i="1"/>
  <c r="AT269" i="1"/>
  <c r="AU269" i="1"/>
  <c r="AV269" i="1"/>
  <c r="AW269" i="1"/>
  <c r="AX269" i="1"/>
  <c r="AY269" i="1"/>
  <c r="AZ269" i="1"/>
  <c r="BA269" i="1"/>
  <c r="B270" i="1"/>
  <c r="C270" i="1"/>
  <c r="D270" i="1"/>
  <c r="E270" i="1"/>
  <c r="F270" i="1"/>
  <c r="G270" i="1"/>
  <c r="H270" i="1"/>
  <c r="I270" i="1"/>
  <c r="J270" i="1"/>
  <c r="K270" i="1"/>
  <c r="L270" i="1"/>
  <c r="M270" i="1"/>
  <c r="N270" i="1"/>
  <c r="O270" i="1"/>
  <c r="Q270" i="1"/>
  <c r="R270" i="1"/>
  <c r="U270" i="1"/>
  <c r="V270" i="1"/>
  <c r="W270" i="1"/>
  <c r="X270" i="1"/>
  <c r="Y270" i="1"/>
  <c r="AB270" i="1"/>
  <c r="AC270" i="1"/>
  <c r="AD270" i="1"/>
  <c r="AE270" i="1"/>
  <c r="AF270" i="1"/>
  <c r="AG270" i="1"/>
  <c r="AH270" i="1"/>
  <c r="AI270" i="1"/>
  <c r="AJ270" i="1"/>
  <c r="AK270" i="1"/>
  <c r="AN270" i="1"/>
  <c r="AO270" i="1"/>
  <c r="AP270" i="1"/>
  <c r="AQ270" i="1"/>
  <c r="AS270" i="1"/>
  <c r="AT270" i="1"/>
  <c r="AU270" i="1"/>
  <c r="AV270" i="1"/>
  <c r="AW270" i="1"/>
  <c r="AX270" i="1"/>
  <c r="AY270" i="1"/>
  <c r="AZ270" i="1"/>
  <c r="BA270" i="1"/>
  <c r="B271" i="1"/>
  <c r="C271" i="1"/>
  <c r="D271" i="1"/>
  <c r="E271" i="1"/>
  <c r="F271" i="1"/>
  <c r="G271" i="1"/>
  <c r="H271" i="1"/>
  <c r="I271" i="1"/>
  <c r="J271" i="1"/>
  <c r="K271" i="1"/>
  <c r="L271" i="1"/>
  <c r="M271" i="1"/>
  <c r="N271" i="1"/>
  <c r="O271" i="1"/>
  <c r="Q271" i="1"/>
  <c r="R271" i="1"/>
  <c r="U271" i="1"/>
  <c r="V271" i="1"/>
  <c r="W271" i="1"/>
  <c r="X271" i="1"/>
  <c r="Y271" i="1"/>
  <c r="AB271" i="1"/>
  <c r="AC271" i="1"/>
  <c r="AD271" i="1"/>
  <c r="AE271" i="1"/>
  <c r="AF271" i="1"/>
  <c r="AG271" i="1"/>
  <c r="AH271" i="1"/>
  <c r="AI271" i="1"/>
  <c r="AJ271" i="1"/>
  <c r="AK271" i="1"/>
  <c r="AL271" i="1"/>
  <c r="AN271" i="1"/>
  <c r="AO271" i="1"/>
  <c r="AP271" i="1"/>
  <c r="AQ271" i="1"/>
  <c r="AS271" i="1"/>
  <c r="AT271" i="1"/>
  <c r="AU271" i="1"/>
  <c r="AV271" i="1"/>
  <c r="AW271" i="1"/>
  <c r="AX271" i="1"/>
  <c r="AY271" i="1"/>
  <c r="AZ271" i="1"/>
  <c r="BA271" i="1"/>
  <c r="B272" i="1"/>
  <c r="C272" i="1"/>
  <c r="D272" i="1"/>
  <c r="E272" i="1"/>
  <c r="F272" i="1"/>
  <c r="G272" i="1"/>
  <c r="H272" i="1"/>
  <c r="I272" i="1"/>
  <c r="J272" i="1"/>
  <c r="K272" i="1"/>
  <c r="L272" i="1"/>
  <c r="M272" i="1"/>
  <c r="N272" i="1"/>
  <c r="O272" i="1"/>
  <c r="Q272" i="1"/>
  <c r="R272" i="1"/>
  <c r="U272" i="1"/>
  <c r="V272" i="1"/>
  <c r="W272" i="1"/>
  <c r="X272" i="1"/>
  <c r="Y272" i="1"/>
  <c r="AB272" i="1"/>
  <c r="AC272" i="1"/>
  <c r="AD272" i="1"/>
  <c r="AE272" i="1"/>
  <c r="AF272" i="1"/>
  <c r="AG272" i="1"/>
  <c r="AH272" i="1"/>
  <c r="AI272" i="1"/>
  <c r="AJ272" i="1"/>
  <c r="AK272" i="1"/>
  <c r="AL272" i="1"/>
  <c r="AN272" i="1"/>
  <c r="AO272" i="1"/>
  <c r="AP272" i="1"/>
  <c r="AQ272" i="1"/>
  <c r="AS272" i="1"/>
  <c r="AT272" i="1"/>
  <c r="AU272" i="1"/>
  <c r="AV272" i="1"/>
  <c r="AW272" i="1"/>
  <c r="AX272" i="1"/>
  <c r="AY272" i="1"/>
  <c r="AZ272" i="1"/>
  <c r="BA272" i="1"/>
  <c r="B273" i="1"/>
  <c r="C273" i="1"/>
  <c r="D273" i="1"/>
  <c r="E273" i="1"/>
  <c r="F273" i="1"/>
  <c r="G273" i="1"/>
  <c r="H273" i="1"/>
  <c r="I273" i="1"/>
  <c r="J273" i="1"/>
  <c r="K273" i="1"/>
  <c r="L273" i="1"/>
  <c r="M273" i="1"/>
  <c r="N273" i="1"/>
  <c r="O273" i="1"/>
  <c r="Q273" i="1"/>
  <c r="R273" i="1"/>
  <c r="U273" i="1"/>
  <c r="V273" i="1"/>
  <c r="W273" i="1"/>
  <c r="X273" i="1"/>
  <c r="Y273" i="1"/>
  <c r="AB273" i="1"/>
  <c r="AC273" i="1"/>
  <c r="AD273" i="1"/>
  <c r="AE273" i="1"/>
  <c r="AF273" i="1"/>
  <c r="AG273" i="1"/>
  <c r="AH273" i="1"/>
  <c r="AI273" i="1"/>
  <c r="AJ273" i="1"/>
  <c r="AK273" i="1"/>
  <c r="AL273" i="1"/>
  <c r="AN273" i="1"/>
  <c r="AO273" i="1"/>
  <c r="AP273" i="1"/>
  <c r="AQ273" i="1"/>
  <c r="AS273" i="1"/>
  <c r="AT273" i="1"/>
  <c r="AU273" i="1"/>
  <c r="AV273" i="1"/>
  <c r="AW273" i="1"/>
  <c r="AX273" i="1"/>
  <c r="AY273" i="1"/>
  <c r="AZ273" i="1"/>
  <c r="BA273" i="1"/>
  <c r="B274" i="1"/>
  <c r="C274" i="1"/>
  <c r="D274" i="1"/>
  <c r="E274" i="1"/>
  <c r="F274" i="1"/>
  <c r="G274" i="1"/>
  <c r="H274" i="1"/>
  <c r="I274" i="1"/>
  <c r="J274" i="1"/>
  <c r="K274" i="1"/>
  <c r="L274" i="1"/>
  <c r="M274" i="1"/>
  <c r="N274" i="1"/>
  <c r="O274" i="1"/>
  <c r="Q274" i="1"/>
  <c r="R274" i="1"/>
  <c r="U274" i="1"/>
  <c r="V274" i="1"/>
  <c r="W274" i="1"/>
  <c r="X274" i="1"/>
  <c r="Y274" i="1"/>
  <c r="AB274" i="1"/>
  <c r="AC274" i="1"/>
  <c r="AD274" i="1"/>
  <c r="AE274" i="1"/>
  <c r="AF274" i="1"/>
  <c r="AG274" i="1"/>
  <c r="AH274" i="1"/>
  <c r="AI274" i="1"/>
  <c r="AJ274" i="1"/>
  <c r="AK274" i="1"/>
  <c r="AL274" i="1"/>
  <c r="AN274" i="1"/>
  <c r="AO274" i="1"/>
  <c r="AP274" i="1"/>
  <c r="AQ274" i="1"/>
  <c r="AS274" i="1"/>
  <c r="AT274" i="1"/>
  <c r="AU274" i="1"/>
  <c r="AV274" i="1"/>
  <c r="AW274" i="1"/>
  <c r="AX274" i="1"/>
  <c r="AY274" i="1"/>
  <c r="AZ274" i="1"/>
  <c r="BA274" i="1"/>
  <c r="B275" i="1"/>
  <c r="C275" i="1"/>
  <c r="D275" i="1"/>
  <c r="E275" i="1"/>
  <c r="F275" i="1"/>
  <c r="G275" i="1"/>
  <c r="H275" i="1"/>
  <c r="I275" i="1"/>
  <c r="J275" i="1"/>
  <c r="K275" i="1"/>
  <c r="L275" i="1"/>
  <c r="M275" i="1"/>
  <c r="N275" i="1"/>
  <c r="O275" i="1"/>
  <c r="Q275" i="1"/>
  <c r="R275" i="1"/>
  <c r="U275" i="1"/>
  <c r="V275" i="1"/>
  <c r="W275" i="1"/>
  <c r="X275" i="1"/>
  <c r="Y275" i="1"/>
  <c r="AB275" i="1"/>
  <c r="AC275" i="1"/>
  <c r="AD275" i="1"/>
  <c r="AE275" i="1"/>
  <c r="AF275" i="1"/>
  <c r="AG275" i="1"/>
  <c r="AH275" i="1"/>
  <c r="AI275" i="1"/>
  <c r="AJ275" i="1"/>
  <c r="AK275" i="1"/>
  <c r="AL275" i="1"/>
  <c r="AN275" i="1"/>
  <c r="AO275" i="1"/>
  <c r="AP275" i="1"/>
  <c r="AQ275" i="1"/>
  <c r="AS275" i="1"/>
  <c r="AT275" i="1"/>
  <c r="AU275" i="1"/>
  <c r="AV275" i="1"/>
  <c r="AW275" i="1"/>
  <c r="AX275" i="1"/>
  <c r="AY275" i="1"/>
  <c r="AZ275" i="1"/>
  <c r="BA275" i="1"/>
  <c r="E2" i="1"/>
  <c r="F2" i="1"/>
  <c r="G2" i="1"/>
  <c r="H2" i="1"/>
  <c r="I2" i="1"/>
  <c r="J2" i="1"/>
  <c r="K2" i="1"/>
  <c r="L2" i="1"/>
  <c r="M2" i="1"/>
  <c r="N2" i="1"/>
  <c r="O2" i="1"/>
  <c r="Q2" i="1"/>
  <c r="R2" i="1"/>
  <c r="U2" i="1"/>
  <c r="V2" i="1"/>
  <c r="W2" i="1"/>
  <c r="X2" i="1"/>
  <c r="Y2" i="1"/>
  <c r="AB2" i="1"/>
  <c r="AC2" i="1"/>
  <c r="AD2" i="1"/>
  <c r="AE2" i="1"/>
  <c r="AF2" i="1"/>
  <c r="AG2" i="1"/>
  <c r="AH2" i="1"/>
  <c r="AI2" i="1"/>
  <c r="AJ2" i="1"/>
  <c r="AK2" i="1"/>
  <c r="AL2" i="1"/>
  <c r="AN2" i="1"/>
  <c r="AO2" i="1"/>
  <c r="AP2" i="1"/>
  <c r="AQ2" i="1"/>
  <c r="AS2" i="1"/>
  <c r="AT2" i="1"/>
  <c r="AU2" i="1"/>
  <c r="AV2" i="1"/>
  <c r="AW2" i="1"/>
  <c r="AX2" i="1"/>
  <c r="AY2" i="1"/>
  <c r="AZ2" i="1"/>
  <c r="BA2" i="1"/>
  <c r="AR10" i="1"/>
  <c r="AM10" i="1"/>
  <c r="X44" i="12" l="1"/>
  <c r="X97" i="12"/>
  <c r="X48" i="12"/>
  <c r="Z50" i="12"/>
  <c r="Y45" i="12"/>
  <c r="Y102" i="12"/>
  <c r="X47" i="12"/>
  <c r="Z46" i="12"/>
  <c r="Y48" i="12"/>
  <c r="Z97" i="12"/>
  <c r="Y98" i="12"/>
  <c r="Y44" i="12"/>
  <c r="Z100" i="12"/>
  <c r="Y49" i="12"/>
  <c r="Z49" i="12"/>
  <c r="X98" i="12"/>
  <c r="Z45" i="12"/>
  <c r="X100" i="12"/>
  <c r="Y99" i="12"/>
  <c r="X101" i="12"/>
  <c r="Z48" i="12"/>
  <c r="Y101" i="12"/>
  <c r="X50" i="12"/>
  <c r="X49" i="12"/>
  <c r="X96" i="12"/>
  <c r="Z47" i="12"/>
  <c r="Z99" i="12"/>
  <c r="X102" i="12"/>
  <c r="Y96" i="12"/>
  <c r="X99" i="12"/>
  <c r="Z98" i="12"/>
  <c r="Z96" i="12"/>
  <c r="Y100" i="12"/>
  <c r="Y47" i="12"/>
  <c r="Y46" i="12"/>
  <c r="Z44" i="12"/>
  <c r="Y50" i="12"/>
  <c r="Z102" i="12"/>
  <c r="Y97" i="12"/>
  <c r="X46" i="12"/>
  <c r="Z101" i="12"/>
  <c r="X45" i="12"/>
  <c r="X63" i="12"/>
  <c r="Z60" i="12"/>
  <c r="Y63" i="12"/>
  <c r="X58" i="12"/>
  <c r="Y51" i="12"/>
  <c r="Y58" i="12"/>
  <c r="Y53" i="12"/>
  <c r="Y55" i="12"/>
  <c r="Z63" i="12"/>
  <c r="Z56" i="12"/>
  <c r="X52" i="12"/>
  <c r="X53" i="12"/>
  <c r="Z58" i="12"/>
  <c r="Y62" i="12"/>
  <c r="X62" i="12"/>
  <c r="Y52" i="12"/>
  <c r="Z52" i="12"/>
  <c r="Z64" i="12"/>
  <c r="X61" i="12"/>
  <c r="X54" i="12"/>
  <c r="X64" i="12"/>
  <c r="Z62" i="12"/>
  <c r="Y59" i="12"/>
  <c r="Y64" i="12"/>
  <c r="Z51" i="12"/>
  <c r="X55" i="12"/>
  <c r="Y60" i="12"/>
  <c r="Y57" i="12"/>
  <c r="X60" i="12"/>
  <c r="Z54" i="12"/>
  <c r="Z59" i="12"/>
  <c r="Z55" i="12"/>
  <c r="X59" i="12"/>
  <c r="Z57" i="12"/>
  <c r="Y61" i="12"/>
  <c r="Y54" i="12"/>
  <c r="Z61" i="12"/>
  <c r="X56" i="12"/>
  <c r="X51" i="12"/>
  <c r="X57" i="12"/>
  <c r="Z53" i="12"/>
  <c r="Y56" i="12"/>
  <c r="AB24" i="1"/>
  <c r="AB14" i="1"/>
  <c r="AB3" i="1"/>
  <c r="P10" i="1"/>
  <c r="AR148" i="1"/>
  <c r="AR149" i="1"/>
  <c r="AR150" i="1"/>
  <c r="AR151" i="1"/>
  <c r="AR152" i="1"/>
  <c r="AR153" i="1"/>
  <c r="AR154" i="1"/>
  <c r="AM144" i="1"/>
  <c r="AM145" i="1"/>
  <c r="AM146" i="1"/>
  <c r="AM147" i="1"/>
  <c r="AM148" i="1"/>
  <c r="AM149" i="1"/>
  <c r="AM150" i="1"/>
  <c r="AM151" i="1"/>
  <c r="AM152" i="1"/>
  <c r="AM153" i="1"/>
  <c r="AM154" i="1" l="1"/>
  <c r="P154" i="1"/>
  <c r="S267" i="1"/>
  <c r="S268" i="1"/>
  <c r="T268" i="1" l="1"/>
  <c r="T267" i="1"/>
  <c r="S154" i="1"/>
  <c r="Z267" i="1" l="1"/>
  <c r="Z268" i="1"/>
  <c r="S266" i="1"/>
  <c r="S265" i="1"/>
  <c r="T154" i="1" l="1"/>
  <c r="Z154" i="1"/>
  <c r="AA267" i="1"/>
  <c r="T266" i="1"/>
  <c r="AA268" i="1"/>
  <c r="P153" i="1"/>
  <c r="P152" i="1"/>
  <c r="S152" i="1"/>
  <c r="S153" i="1"/>
  <c r="S149" i="1"/>
  <c r="S150" i="1"/>
  <c r="P94" i="1"/>
  <c r="P150" i="1" l="1"/>
  <c r="P149" i="1"/>
  <c r="Z266" i="1"/>
  <c r="AA154" i="1"/>
  <c r="T153" i="1" l="1"/>
  <c r="T152" i="1"/>
  <c r="T94" i="1"/>
  <c r="Z94" i="1"/>
  <c r="T149" i="1"/>
  <c r="T150" i="1"/>
  <c r="AA266" i="1"/>
  <c r="Z149" i="1"/>
  <c r="AR15" i="1"/>
  <c r="AR16" i="1"/>
  <c r="AR17" i="1"/>
  <c r="AR27" i="1"/>
  <c r="AR28" i="1"/>
  <c r="AR29" i="1"/>
  <c r="AR30" i="1"/>
  <c r="AR31" i="1"/>
  <c r="AR287" i="1"/>
  <c r="AR35" i="1"/>
  <c r="AR36" i="1"/>
  <c r="AR39" i="1"/>
  <c r="AR41" i="1"/>
  <c r="AR42" i="1"/>
  <c r="AR43" i="1"/>
  <c r="AR44" i="1"/>
  <c r="AR45" i="1"/>
  <c r="AR46" i="1"/>
  <c r="AR47" i="1"/>
  <c r="AR50" i="1"/>
  <c r="AR61" i="1"/>
  <c r="AR62" i="1"/>
  <c r="AR288" i="1"/>
  <c r="AR66" i="1"/>
  <c r="AR67" i="1"/>
  <c r="AR68" i="1"/>
  <c r="AR69" i="1"/>
  <c r="AR70" i="1"/>
  <c r="AR71" i="1"/>
  <c r="AR72" i="1"/>
  <c r="AR73" i="1"/>
  <c r="AR74" i="1"/>
  <c r="AR75" i="1"/>
  <c r="AR76" i="1"/>
  <c r="AR77" i="1"/>
  <c r="AR78" i="1"/>
  <c r="AR79" i="1"/>
  <c r="AR80" i="1"/>
  <c r="AR81" i="1"/>
  <c r="AR82" i="1"/>
  <c r="AR83" i="1"/>
  <c r="AR84" i="1"/>
  <c r="AR85" i="1"/>
  <c r="AR86" i="1"/>
  <c r="AR87" i="1"/>
  <c r="AR88" i="1"/>
  <c r="AR89" i="1"/>
  <c r="AR90" i="1"/>
  <c r="AR91" i="1"/>
  <c r="AR92" i="1"/>
  <c r="AR93" i="1"/>
  <c r="AR95" i="1"/>
  <c r="AR96" i="1"/>
  <c r="AR97" i="1"/>
  <c r="AR100" i="1"/>
  <c r="AR101" i="1"/>
  <c r="AR102" i="1"/>
  <c r="AR103" i="1"/>
  <c r="AR104" i="1"/>
  <c r="AR105" i="1"/>
  <c r="AR106" i="1"/>
  <c r="AR108" i="1"/>
  <c r="AR109" i="1"/>
  <c r="AR110" i="1"/>
  <c r="AR111" i="1"/>
  <c r="AR112" i="1"/>
  <c r="AR113" i="1"/>
  <c r="AR114" i="1"/>
  <c r="AR117" i="1"/>
  <c r="AR118" i="1"/>
  <c r="AR119" i="1"/>
  <c r="AR120" i="1"/>
  <c r="AR121" i="1"/>
  <c r="AR122" i="1"/>
  <c r="AR123" i="1"/>
  <c r="AR124" i="1"/>
  <c r="AR125" i="1"/>
  <c r="AR126" i="1"/>
  <c r="AR127" i="1"/>
  <c r="AR128" i="1"/>
  <c r="AR129" i="1"/>
  <c r="AR130" i="1"/>
  <c r="AR131" i="1"/>
  <c r="AR133" i="1"/>
  <c r="AR135" i="1"/>
  <c r="AR136" i="1"/>
  <c r="AR137" i="1"/>
  <c r="AR138" i="1"/>
  <c r="AR139" i="1"/>
  <c r="AR140" i="1"/>
  <c r="AR141" i="1"/>
  <c r="AR142" i="1"/>
  <c r="AR144" i="1"/>
  <c r="AR145" i="1"/>
  <c r="AR146" i="1"/>
  <c r="P148" i="1"/>
  <c r="AR13" i="1"/>
  <c r="S151" i="1"/>
  <c r="AR143" i="1" l="1"/>
  <c r="AR60" i="1"/>
  <c r="AR52" i="1"/>
  <c r="AR51" i="1"/>
  <c r="AR49" i="1"/>
  <c r="AR59" i="1"/>
  <c r="AR134" i="1"/>
  <c r="AR99" i="1"/>
  <c r="AR132" i="1"/>
  <c r="AR116" i="1"/>
  <c r="AR166" i="1"/>
  <c r="AR53" i="1"/>
  <c r="AR115" i="1"/>
  <c r="AR165" i="1"/>
  <c r="AR58" i="1"/>
  <c r="AR48" i="1"/>
  <c r="AR57" i="1"/>
  <c r="AR26" i="1"/>
  <c r="AR55" i="1"/>
  <c r="AR56" i="1"/>
  <c r="AR107" i="1"/>
  <c r="AR147" i="1"/>
  <c r="AR54" i="1"/>
  <c r="AR33" i="1"/>
  <c r="AR290" i="1"/>
  <c r="AR23" i="1"/>
  <c r="AR282" i="1"/>
  <c r="AR32" i="1"/>
  <c r="AR276" i="1"/>
  <c r="AR22" i="1"/>
  <c r="AR281" i="1"/>
  <c r="AR21" i="1"/>
  <c r="AR280" i="1"/>
  <c r="AR20" i="1"/>
  <c r="AR279" i="1"/>
  <c r="AR19" i="1"/>
  <c r="AR278" i="1"/>
  <c r="AR18" i="1"/>
  <c r="AR277" i="1"/>
  <c r="AR63" i="1"/>
  <c r="AR286" i="1"/>
  <c r="AR98" i="1"/>
  <c r="AR25" i="1"/>
  <c r="AR284" i="1"/>
  <c r="AR34" i="1"/>
  <c r="AR285" i="1"/>
  <c r="AR24" i="1"/>
  <c r="AR283" i="1"/>
  <c r="AR14" i="1"/>
  <c r="AR291" i="1"/>
  <c r="P151" i="1"/>
  <c r="Z153" i="1"/>
  <c r="AA153" i="1"/>
  <c r="Z150" i="1"/>
  <c r="Z152" i="1"/>
  <c r="AA152" i="1"/>
  <c r="AA150" i="1"/>
  <c r="AA149" i="1"/>
  <c r="S10" i="1"/>
  <c r="AM24" i="1"/>
  <c r="AM25" i="1"/>
  <c r="S148" i="1"/>
  <c r="T151" i="1" l="1"/>
  <c r="T10" i="1"/>
  <c r="S263" i="1"/>
  <c r="S264" i="1"/>
  <c r="Z151" i="1" l="1"/>
  <c r="T148" i="1"/>
  <c r="Z10" i="1"/>
  <c r="AA151" i="1"/>
  <c r="T264" i="1"/>
  <c r="T265" i="1"/>
  <c r="T263" i="1" l="1"/>
  <c r="Z148" i="1"/>
  <c r="Z263" i="1"/>
  <c r="AA10" i="1"/>
  <c r="AA148" i="1"/>
  <c r="Z264" i="1"/>
  <c r="Z265" i="1"/>
  <c r="AA264" i="1" l="1"/>
  <c r="S261" i="1"/>
  <c r="S262" i="1"/>
  <c r="AA265" i="1" l="1"/>
  <c r="AA263" i="1"/>
  <c r="T262" i="1"/>
  <c r="T261" i="1"/>
  <c r="AM93" i="1"/>
  <c r="S93" i="1"/>
  <c r="P93" i="1" l="1"/>
  <c r="Z261" i="1"/>
  <c r="Z262" i="1"/>
  <c r="AA261" i="1" l="1"/>
  <c r="AA262" i="1"/>
  <c r="P256" i="1"/>
  <c r="P259" i="1"/>
  <c r="P260" i="1"/>
  <c r="S260" i="1"/>
  <c r="P253" i="1" l="1"/>
  <c r="P254" i="1"/>
  <c r="P258" i="1"/>
  <c r="P257" i="1"/>
  <c r="P255" i="1"/>
  <c r="T93" i="1"/>
  <c r="Z93" i="1"/>
  <c r="T260" i="1"/>
  <c r="AA93" i="1" l="1"/>
  <c r="S259" i="1"/>
  <c r="Z260" i="1" l="1"/>
  <c r="T259" i="1"/>
  <c r="AM170" i="1"/>
  <c r="S258" i="1"/>
  <c r="S257" i="1" l="1"/>
  <c r="S74" i="1"/>
  <c r="AA260" i="1"/>
  <c r="T258" i="1"/>
  <c r="T257" i="1"/>
  <c r="AR273" i="1"/>
  <c r="Z259" i="1" l="1"/>
  <c r="S251" i="1"/>
  <c r="S252" i="1"/>
  <c r="P238" i="1"/>
  <c r="P239" i="1"/>
  <c r="P240" i="1"/>
  <c r="P241" i="1"/>
  <c r="P242" i="1"/>
  <c r="P243" i="1"/>
  <c r="P244" i="1"/>
  <c r="P245" i="1"/>
  <c r="P251" i="1"/>
  <c r="P252" i="1"/>
  <c r="P246" i="1" l="1"/>
  <c r="P248" i="1"/>
  <c r="P250" i="1"/>
  <c r="P249" i="1"/>
  <c r="S255" i="1"/>
  <c r="S253" i="1"/>
  <c r="P247" i="1"/>
  <c r="P73" i="1"/>
  <c r="Z258" i="1"/>
  <c r="Z257" i="1"/>
  <c r="AA259" i="1"/>
  <c r="T251" i="1"/>
  <c r="T252" i="1"/>
  <c r="T255" i="1" l="1"/>
  <c r="T253" i="1"/>
  <c r="AA258" i="1"/>
  <c r="AA257" i="1"/>
  <c r="Z251" i="1"/>
  <c r="Z253" i="1"/>
  <c r="Z252" i="1"/>
  <c r="E34" i="20"/>
  <c r="E14" i="20"/>
  <c r="E27" i="20"/>
  <c r="E25" i="20"/>
  <c r="E13" i="20"/>
  <c r="E7" i="20"/>
  <c r="E18" i="20"/>
  <c r="E19" i="20"/>
  <c r="E21" i="20"/>
  <c r="E30" i="20"/>
  <c r="E6" i="20"/>
  <c r="D35" i="20"/>
  <c r="F35" i="20"/>
  <c r="D60" i="20"/>
  <c r="E60" i="20"/>
  <c r="D49" i="20"/>
  <c r="E49" i="20"/>
  <c r="D50" i="20"/>
  <c r="E50" i="20"/>
  <c r="D51" i="20"/>
  <c r="E51" i="20"/>
  <c r="D52" i="20"/>
  <c r="E52" i="20"/>
  <c r="D53" i="20"/>
  <c r="E53" i="20"/>
  <c r="D54" i="20"/>
  <c r="E54" i="20"/>
  <c r="D55" i="20"/>
  <c r="E55" i="20"/>
  <c r="D56" i="20"/>
  <c r="E56" i="20"/>
  <c r="D57" i="20"/>
  <c r="E57" i="20"/>
  <c r="D61" i="20"/>
  <c r="E61" i="20"/>
  <c r="D62" i="20"/>
  <c r="E62" i="20"/>
  <c r="D63" i="20"/>
  <c r="E63" i="20"/>
  <c r="D64" i="20"/>
  <c r="E64" i="20"/>
  <c r="D65" i="20"/>
  <c r="E65" i="20"/>
  <c r="D66" i="20"/>
  <c r="E66" i="20"/>
  <c r="D58" i="20"/>
  <c r="E58" i="20"/>
  <c r="D67" i="20"/>
  <c r="E67" i="20"/>
  <c r="D68" i="20"/>
  <c r="E68" i="20"/>
  <c r="D69" i="20"/>
  <c r="E69" i="20"/>
  <c r="D70" i="20"/>
  <c r="E70" i="20"/>
  <c r="D71" i="20"/>
  <c r="E71" i="20"/>
  <c r="D72" i="20"/>
  <c r="E72" i="20"/>
  <c r="D73" i="20"/>
  <c r="E73" i="20"/>
  <c r="D74" i="20"/>
  <c r="E74" i="20"/>
  <c r="D75" i="20"/>
  <c r="E75" i="20"/>
  <c r="D76" i="20"/>
  <c r="E76" i="20"/>
  <c r="D77" i="20"/>
  <c r="E77" i="20"/>
  <c r="D78" i="20"/>
  <c r="E78" i="20"/>
  <c r="D79" i="20"/>
  <c r="E79" i="20"/>
  <c r="D80" i="20"/>
  <c r="E80" i="20"/>
  <c r="D81" i="20"/>
  <c r="E81" i="20"/>
  <c r="D82" i="20"/>
  <c r="E82" i="20"/>
  <c r="D83" i="20"/>
  <c r="E83" i="20"/>
  <c r="D84" i="20"/>
  <c r="E84" i="20"/>
  <c r="D85" i="20"/>
  <c r="E85" i="20"/>
  <c r="D86" i="20"/>
  <c r="E86" i="20"/>
  <c r="D87" i="20"/>
  <c r="E87" i="20"/>
  <c r="D88" i="20"/>
  <c r="E88" i="20"/>
  <c r="D89" i="20"/>
  <c r="E89" i="20"/>
  <c r="D90" i="20"/>
  <c r="E90" i="20"/>
  <c r="D91" i="20"/>
  <c r="E91" i="20"/>
  <c r="D92" i="20"/>
  <c r="E92" i="20"/>
  <c r="D93" i="20"/>
  <c r="E93" i="20"/>
  <c r="D94" i="20"/>
  <c r="E94" i="20"/>
  <c r="D95" i="20"/>
  <c r="E95" i="20"/>
  <c r="D96" i="20"/>
  <c r="E96" i="20"/>
  <c r="D97" i="20"/>
  <c r="E97" i="20"/>
  <c r="D98" i="20"/>
  <c r="E98" i="20"/>
  <c r="D99" i="20"/>
  <c r="E99" i="20"/>
  <c r="D100" i="20"/>
  <c r="E100" i="20"/>
  <c r="D101" i="20"/>
  <c r="E101" i="20"/>
  <c r="D102" i="20"/>
  <c r="E102" i="20"/>
  <c r="D103" i="20"/>
  <c r="E103" i="20"/>
  <c r="D104" i="20"/>
  <c r="E104" i="20"/>
  <c r="D105" i="20"/>
  <c r="E105" i="20"/>
  <c r="D106" i="20"/>
  <c r="E106" i="20"/>
  <c r="D107" i="20"/>
  <c r="E107" i="20"/>
  <c r="D108" i="20"/>
  <c r="E108" i="20"/>
  <c r="D109" i="20"/>
  <c r="E109" i="20"/>
  <c r="D110" i="20"/>
  <c r="E110" i="20"/>
  <c r="D111" i="20"/>
  <c r="E111" i="20"/>
  <c r="D112" i="20"/>
  <c r="E112" i="20"/>
  <c r="D113" i="20"/>
  <c r="E113" i="20"/>
  <c r="D114" i="20"/>
  <c r="E114" i="20"/>
  <c r="D115" i="20"/>
  <c r="E115" i="20"/>
  <c r="D116" i="20"/>
  <c r="E116" i="20"/>
  <c r="D117" i="20"/>
  <c r="E117" i="20"/>
  <c r="D118" i="20"/>
  <c r="E118" i="20"/>
  <c r="D119" i="20"/>
  <c r="E119" i="20"/>
  <c r="D120" i="20"/>
  <c r="E120" i="20"/>
  <c r="D121" i="20"/>
  <c r="E121" i="20"/>
  <c r="D122" i="20"/>
  <c r="E122" i="20"/>
  <c r="D123" i="20"/>
  <c r="E123" i="20"/>
  <c r="D124" i="20"/>
  <c r="E124" i="20"/>
  <c r="D125" i="20"/>
  <c r="E125" i="20"/>
  <c r="D126" i="20"/>
  <c r="E126" i="20"/>
  <c r="D127" i="20"/>
  <c r="E127" i="20"/>
  <c r="D128" i="20"/>
  <c r="E128" i="20"/>
  <c r="D129" i="20"/>
  <c r="E129" i="20"/>
  <c r="D168" i="20"/>
  <c r="E168" i="20"/>
  <c r="D170" i="20"/>
  <c r="E170" i="20"/>
  <c r="D181" i="20"/>
  <c r="E181" i="20"/>
  <c r="D182" i="20"/>
  <c r="E182" i="20"/>
  <c r="D183" i="20"/>
  <c r="E183" i="20"/>
  <c r="D184" i="20"/>
  <c r="E184" i="20"/>
  <c r="D186" i="20"/>
  <c r="E186" i="20"/>
  <c r="D188" i="20"/>
  <c r="E188" i="20"/>
  <c r="D190" i="20"/>
  <c r="E190" i="20"/>
  <c r="D191" i="20"/>
  <c r="E191" i="20"/>
  <c r="D192" i="20"/>
  <c r="E192" i="20"/>
  <c r="D194" i="20"/>
  <c r="E194" i="20"/>
  <c r="D46" i="20"/>
  <c r="E46" i="20"/>
  <c r="D130" i="20"/>
  <c r="E130" i="20"/>
  <c r="F130" i="20"/>
  <c r="D131" i="20"/>
  <c r="E131" i="20"/>
  <c r="F131" i="20"/>
  <c r="D132" i="20"/>
  <c r="E132" i="20"/>
  <c r="F132" i="20"/>
  <c r="D133" i="20"/>
  <c r="E133" i="20"/>
  <c r="F133" i="20"/>
  <c r="D134" i="20"/>
  <c r="E134" i="20"/>
  <c r="F134" i="20"/>
  <c r="D135" i="20"/>
  <c r="E135" i="20"/>
  <c r="F135" i="20"/>
  <c r="D136" i="20"/>
  <c r="E136" i="20"/>
  <c r="F136" i="20"/>
  <c r="D137" i="20"/>
  <c r="E137" i="20"/>
  <c r="F137" i="20"/>
  <c r="D138" i="20"/>
  <c r="E138" i="20"/>
  <c r="F138" i="20"/>
  <c r="D139" i="20"/>
  <c r="E139" i="20"/>
  <c r="F139" i="20"/>
  <c r="D140" i="20"/>
  <c r="E140" i="20"/>
  <c r="F140" i="20"/>
  <c r="D141" i="20"/>
  <c r="E141" i="20"/>
  <c r="F141" i="20"/>
  <c r="D142" i="20"/>
  <c r="E142" i="20"/>
  <c r="F142" i="20"/>
  <c r="D143" i="20"/>
  <c r="E143" i="20"/>
  <c r="F143" i="20"/>
  <c r="D144" i="20"/>
  <c r="E144" i="20"/>
  <c r="F144" i="20"/>
  <c r="D145" i="20"/>
  <c r="E145" i="20"/>
  <c r="F145" i="20"/>
  <c r="D146" i="20"/>
  <c r="E146" i="20"/>
  <c r="F146" i="20"/>
  <c r="D147" i="20"/>
  <c r="E147" i="20"/>
  <c r="F147" i="20"/>
  <c r="D148" i="20"/>
  <c r="E148" i="20"/>
  <c r="F148" i="20"/>
  <c r="D149" i="20"/>
  <c r="E149" i="20"/>
  <c r="F149" i="20"/>
  <c r="D150" i="20"/>
  <c r="E150" i="20"/>
  <c r="F150" i="20"/>
  <c r="D151" i="20"/>
  <c r="E151" i="20"/>
  <c r="F151" i="20"/>
  <c r="D152" i="20"/>
  <c r="E152" i="20"/>
  <c r="F152" i="20"/>
  <c r="D153" i="20"/>
  <c r="E153" i="20"/>
  <c r="F153" i="20"/>
  <c r="D154" i="20"/>
  <c r="E154" i="20"/>
  <c r="F154" i="20"/>
  <c r="D155" i="20"/>
  <c r="E155" i="20"/>
  <c r="F155" i="20"/>
  <c r="D156" i="20"/>
  <c r="E156" i="20"/>
  <c r="F156" i="20"/>
  <c r="D157" i="20"/>
  <c r="E157" i="20"/>
  <c r="F157" i="20"/>
  <c r="D158" i="20"/>
  <c r="E158" i="20"/>
  <c r="F158" i="20"/>
  <c r="D159" i="20"/>
  <c r="E159" i="20"/>
  <c r="F159" i="20"/>
  <c r="D160" i="20"/>
  <c r="E160" i="20"/>
  <c r="F160" i="20"/>
  <c r="D161" i="20"/>
  <c r="E161" i="20"/>
  <c r="F161" i="20"/>
  <c r="D162" i="20"/>
  <c r="E162" i="20"/>
  <c r="F162" i="20"/>
  <c r="D163" i="20"/>
  <c r="E163" i="20"/>
  <c r="F163" i="20"/>
  <c r="D164" i="20"/>
  <c r="E164" i="20"/>
  <c r="F164" i="20"/>
  <c r="D165" i="20"/>
  <c r="E165" i="20"/>
  <c r="F165" i="20"/>
  <c r="D166" i="20"/>
  <c r="E166" i="20"/>
  <c r="F166" i="20"/>
  <c r="D167" i="20"/>
  <c r="E167" i="20"/>
  <c r="F167" i="20"/>
  <c r="D169" i="20"/>
  <c r="E169" i="20"/>
  <c r="F169" i="20"/>
  <c r="D59" i="20"/>
  <c r="E59" i="20"/>
  <c r="D171" i="20"/>
  <c r="E171" i="20"/>
  <c r="F171" i="20"/>
  <c r="D172" i="20"/>
  <c r="E172" i="20"/>
  <c r="F172" i="20"/>
  <c r="D173" i="20"/>
  <c r="E173" i="20"/>
  <c r="F173" i="20"/>
  <c r="D174" i="20"/>
  <c r="E174" i="20"/>
  <c r="F174" i="20"/>
  <c r="D175" i="20"/>
  <c r="E175" i="20"/>
  <c r="F175" i="20"/>
  <c r="D176" i="20"/>
  <c r="E176" i="20"/>
  <c r="F176" i="20"/>
  <c r="D177" i="20"/>
  <c r="E177" i="20"/>
  <c r="F177" i="20"/>
  <c r="D178" i="20"/>
  <c r="E178" i="20"/>
  <c r="F178" i="20"/>
  <c r="D179" i="20"/>
  <c r="E179" i="20"/>
  <c r="F179" i="20"/>
  <c r="D180" i="20"/>
  <c r="E180" i="20"/>
  <c r="F180" i="20"/>
  <c r="D185" i="20"/>
  <c r="E185" i="20"/>
  <c r="F185" i="20"/>
  <c r="D187" i="20"/>
  <c r="E187" i="20"/>
  <c r="F187" i="20"/>
  <c r="D189" i="20"/>
  <c r="E189" i="20"/>
  <c r="F189" i="20"/>
  <c r="D44" i="20"/>
  <c r="E44" i="20"/>
  <c r="D45" i="20"/>
  <c r="E45" i="20"/>
  <c r="D193" i="20"/>
  <c r="E193" i="20"/>
  <c r="F193" i="20"/>
  <c r="D47" i="20"/>
  <c r="E47" i="20"/>
  <c r="E48" i="20"/>
  <c r="D48" i="20"/>
  <c r="F36" i="20"/>
  <c r="F30" i="20"/>
  <c r="F8" i="20"/>
  <c r="F4" i="20"/>
  <c r="F5" i="20"/>
  <c r="F31" i="20"/>
  <c r="F6" i="20"/>
  <c r="F10" i="20"/>
  <c r="F11" i="20"/>
  <c r="F12" i="20"/>
  <c r="F15" i="20"/>
  <c r="F16" i="20"/>
  <c r="F17" i="20"/>
  <c r="F20" i="20"/>
  <c r="F22" i="20"/>
  <c r="F23" i="20"/>
  <c r="F28" i="20"/>
  <c r="F25" i="20"/>
  <c r="F14" i="20"/>
  <c r="F9" i="20"/>
  <c r="F27" i="20"/>
  <c r="F29" i="20"/>
  <c r="F34" i="20"/>
  <c r="D36" i="20"/>
  <c r="D28" i="20"/>
  <c r="E28" i="20"/>
  <c r="D8" i="20"/>
  <c r="D11" i="20"/>
  <c r="E11" i="20"/>
  <c r="D4" i="20"/>
  <c r="E4" i="20"/>
  <c r="D5" i="20"/>
  <c r="E5" i="20"/>
  <c r="D12" i="20"/>
  <c r="E12" i="20"/>
  <c r="D29" i="20"/>
  <c r="E29" i="20"/>
  <c r="D21" i="20"/>
  <c r="D13" i="20"/>
  <c r="D7" i="20"/>
  <c r="D18" i="20"/>
  <c r="D19" i="20"/>
  <c r="D32" i="20"/>
  <c r="E32" i="20"/>
  <c r="D33" i="20"/>
  <c r="E33" i="20"/>
  <c r="D31" i="20"/>
  <c r="E31" i="20"/>
  <c r="D30" i="20"/>
  <c r="D6" i="20"/>
  <c r="D34" i="20"/>
  <c r="D25" i="20"/>
  <c r="D14" i="20"/>
  <c r="D9" i="20"/>
  <c r="D27" i="20"/>
  <c r="D23" i="20"/>
  <c r="E23" i="20"/>
  <c r="D22" i="20"/>
  <c r="E22" i="20"/>
  <c r="D15" i="20"/>
  <c r="E15" i="20"/>
  <c r="D24" i="20"/>
  <c r="E24" i="20"/>
  <c r="D16" i="20"/>
  <c r="E16" i="20"/>
  <c r="D17" i="20"/>
  <c r="E17" i="20"/>
  <c r="D26" i="20"/>
  <c r="E26" i="20"/>
  <c r="D20" i="20"/>
  <c r="E20" i="20"/>
  <c r="D10" i="20"/>
  <c r="E10" i="20"/>
  <c r="S250" i="1"/>
  <c r="S256" i="1" l="1"/>
  <c r="S254" i="1"/>
  <c r="Z255" i="1"/>
  <c r="AA253" i="1"/>
  <c r="AA251" i="1"/>
  <c r="AA252" i="1"/>
  <c r="T250" i="1"/>
  <c r="T256" i="1" l="1"/>
  <c r="T254" i="1"/>
  <c r="AA255" i="1"/>
  <c r="Z254" i="1"/>
  <c r="Z250" i="1"/>
  <c r="Z256" i="1" l="1"/>
  <c r="AA254" i="1"/>
  <c r="AA250" i="1"/>
  <c r="AL270" i="1"/>
  <c r="AR272" i="1"/>
  <c r="AM272" i="1"/>
  <c r="AA256" i="1" l="1"/>
  <c r="S248" i="1" l="1"/>
  <c r="S249" i="1"/>
  <c r="P219" i="1"/>
  <c r="P220" i="1"/>
  <c r="P221" i="1"/>
  <c r="P222" i="1"/>
  <c r="P223" i="1"/>
  <c r="P224" i="1"/>
  <c r="P225" i="1"/>
  <c r="S219" i="1"/>
  <c r="S220" i="1"/>
  <c r="S221" i="1"/>
  <c r="S222" i="1"/>
  <c r="S223" i="1"/>
  <c r="S224" i="1"/>
  <c r="S225" i="1"/>
  <c r="E1" i="19"/>
  <c r="S246" i="1" l="1"/>
  <c r="S247" i="1"/>
  <c r="S73" i="1"/>
  <c r="T248" i="1"/>
  <c r="T249" i="1"/>
  <c r="T246" i="1"/>
  <c r="T222" i="1"/>
  <c r="T220" i="1"/>
  <c r="T219" i="1"/>
  <c r="T224" i="1"/>
  <c r="T223" i="1"/>
  <c r="T221" i="1"/>
  <c r="T225" i="1"/>
  <c r="T247" i="1" l="1"/>
  <c r="T73" i="1"/>
  <c r="Z249" i="1"/>
  <c r="Z220" i="1"/>
  <c r="Z221" i="1"/>
  <c r="Z223" i="1"/>
  <c r="Z224" i="1"/>
  <c r="Z225" i="1"/>
  <c r="Z219" i="1"/>
  <c r="Z248" i="1"/>
  <c r="Z222" i="1"/>
  <c r="AR275" i="1"/>
  <c r="AM275" i="1"/>
  <c r="S275" i="1"/>
  <c r="AR274" i="1"/>
  <c r="AM274" i="1"/>
  <c r="S274" i="1"/>
  <c r="AM273" i="1"/>
  <c r="AR271" i="1"/>
  <c r="AM271" i="1"/>
  <c r="S271" i="1"/>
  <c r="AR270" i="1"/>
  <c r="AM270" i="1"/>
  <c r="S270" i="1"/>
  <c r="S245" i="1"/>
  <c r="S244" i="1"/>
  <c r="S243" i="1"/>
  <c r="S242" i="1"/>
  <c r="S241" i="1"/>
  <c r="S240" i="1"/>
  <c r="S239" i="1"/>
  <c r="S238" i="1"/>
  <c r="S237" i="1"/>
  <c r="P237" i="1"/>
  <c r="S236" i="1"/>
  <c r="P236" i="1"/>
  <c r="S235" i="1"/>
  <c r="P235" i="1"/>
  <c r="S234" i="1"/>
  <c r="P234" i="1"/>
  <c r="S233" i="1"/>
  <c r="S232" i="1"/>
  <c r="P232" i="1"/>
  <c r="S231" i="1"/>
  <c r="P231" i="1"/>
  <c r="S230" i="1"/>
  <c r="P230" i="1"/>
  <c r="S229" i="1"/>
  <c r="P229" i="1"/>
  <c r="S228" i="1"/>
  <c r="P228" i="1"/>
  <c r="S227" i="1"/>
  <c r="P227" i="1"/>
  <c r="S226" i="1"/>
  <c r="P226" i="1"/>
  <c r="S218" i="1"/>
  <c r="P218" i="1"/>
  <c r="S217" i="1"/>
  <c r="P217" i="1"/>
  <c r="S216" i="1"/>
  <c r="P216" i="1"/>
  <c r="S215" i="1"/>
  <c r="P215" i="1"/>
  <c r="S214" i="1"/>
  <c r="P214" i="1"/>
  <c r="S213" i="1"/>
  <c r="P213" i="1"/>
  <c r="S212" i="1"/>
  <c r="P212" i="1"/>
  <c r="S211" i="1"/>
  <c r="P211" i="1"/>
  <c r="S210" i="1"/>
  <c r="P210" i="1"/>
  <c r="S209" i="1"/>
  <c r="P209" i="1"/>
  <c r="S208" i="1"/>
  <c r="P208" i="1"/>
  <c r="AR207" i="1"/>
  <c r="AM207" i="1"/>
  <c r="S207" i="1"/>
  <c r="AR206" i="1"/>
  <c r="AM206" i="1"/>
  <c r="S206" i="1"/>
  <c r="AR205" i="1"/>
  <c r="AM205" i="1"/>
  <c r="AR204" i="1"/>
  <c r="AM204" i="1"/>
  <c r="AR203" i="1"/>
  <c r="AM203" i="1"/>
  <c r="S203" i="1"/>
  <c r="AR202" i="1"/>
  <c r="AM202" i="1"/>
  <c r="S202" i="1"/>
  <c r="AR201" i="1"/>
  <c r="AM201" i="1"/>
  <c r="S201" i="1"/>
  <c r="AR200" i="1"/>
  <c r="AM200" i="1"/>
  <c r="S200" i="1"/>
  <c r="AR199" i="1"/>
  <c r="AM199" i="1"/>
  <c r="S199" i="1"/>
  <c r="AR198" i="1"/>
  <c r="AM198" i="1"/>
  <c r="S198" i="1"/>
  <c r="AR197" i="1"/>
  <c r="AM197" i="1"/>
  <c r="S197" i="1"/>
  <c r="AR196" i="1"/>
  <c r="AM196" i="1"/>
  <c r="S196" i="1"/>
  <c r="AR195" i="1"/>
  <c r="AM195" i="1"/>
  <c r="S195" i="1"/>
  <c r="AR194" i="1"/>
  <c r="AM194" i="1"/>
  <c r="S194" i="1"/>
  <c r="AR193" i="1"/>
  <c r="AM193" i="1"/>
  <c r="S193" i="1"/>
  <c r="AR192" i="1"/>
  <c r="AM192" i="1"/>
  <c r="S192" i="1"/>
  <c r="AR191" i="1"/>
  <c r="AM191" i="1"/>
  <c r="S191" i="1"/>
  <c r="AR190" i="1"/>
  <c r="AM190" i="1"/>
  <c r="S190" i="1"/>
  <c r="AR189" i="1"/>
  <c r="AM189" i="1"/>
  <c r="S189" i="1"/>
  <c r="AR188" i="1"/>
  <c r="S188" i="1"/>
  <c r="AR187" i="1"/>
  <c r="AM187" i="1"/>
  <c r="S187" i="1"/>
  <c r="AR186" i="1"/>
  <c r="AM186" i="1"/>
  <c r="S186" i="1"/>
  <c r="AR185" i="1"/>
  <c r="AM185" i="1"/>
  <c r="S185" i="1"/>
  <c r="AR184" i="1"/>
  <c r="AM184" i="1"/>
  <c r="S184" i="1"/>
  <c r="AR183" i="1"/>
  <c r="AM183" i="1"/>
  <c r="S183" i="1"/>
  <c r="AR182" i="1"/>
  <c r="AM182" i="1"/>
  <c r="S182" i="1"/>
  <c r="AR181" i="1"/>
  <c r="AM181" i="1"/>
  <c r="S181" i="1"/>
  <c r="AR180" i="1"/>
  <c r="AM180" i="1"/>
  <c r="S180" i="1"/>
  <c r="AR179" i="1"/>
  <c r="AM179" i="1"/>
  <c r="S179" i="1"/>
  <c r="AR178" i="1"/>
  <c r="AM178" i="1"/>
  <c r="S178" i="1"/>
  <c r="AR177" i="1"/>
  <c r="AM177" i="1"/>
  <c r="S177" i="1"/>
  <c r="AR176" i="1"/>
  <c r="AM176" i="1"/>
  <c r="S176" i="1"/>
  <c r="AR175" i="1"/>
  <c r="AM175" i="1"/>
  <c r="S175" i="1"/>
  <c r="AM174" i="1"/>
  <c r="AM173" i="1"/>
  <c r="AR172" i="1"/>
  <c r="AM172" i="1"/>
  <c r="AR171" i="1"/>
  <c r="AM171" i="1"/>
  <c r="AR170" i="1"/>
  <c r="AM169" i="1"/>
  <c r="AR168" i="1"/>
  <c r="AM168" i="1"/>
  <c r="AR167" i="1"/>
  <c r="AM167" i="1"/>
  <c r="AM166" i="1"/>
  <c r="AM165" i="1"/>
  <c r="AM164" i="1"/>
  <c r="S164" i="1"/>
  <c r="AM163" i="1"/>
  <c r="S163" i="1"/>
  <c r="AM162" i="1"/>
  <c r="S162" i="1"/>
  <c r="AM161" i="1"/>
  <c r="S161" i="1"/>
  <c r="S160" i="1"/>
  <c r="S158" i="1"/>
  <c r="S157" i="1"/>
  <c r="S156" i="1"/>
  <c r="AM143" i="1"/>
  <c r="AM142" i="1"/>
  <c r="AM141" i="1"/>
  <c r="AM140" i="1"/>
  <c r="AM139" i="1"/>
  <c r="AM138" i="1"/>
  <c r="S138" i="1"/>
  <c r="AM137" i="1"/>
  <c r="S137" i="1"/>
  <c r="AM136" i="1"/>
  <c r="S136" i="1"/>
  <c r="AM135" i="1"/>
  <c r="AM134" i="1"/>
  <c r="AM133" i="1"/>
  <c r="AM132" i="1"/>
  <c r="AM131" i="1"/>
  <c r="S131" i="1"/>
  <c r="AM130" i="1"/>
  <c r="S130" i="1"/>
  <c r="AM129" i="1"/>
  <c r="S129" i="1"/>
  <c r="AM128" i="1"/>
  <c r="S128" i="1"/>
  <c r="AM125" i="1"/>
  <c r="AM121" i="1"/>
  <c r="AM120" i="1"/>
  <c r="S118" i="1"/>
  <c r="AM115" i="1"/>
  <c r="S115" i="1"/>
  <c r="AM114" i="1"/>
  <c r="S114" i="1"/>
  <c r="AM113" i="1"/>
  <c r="S113" i="1"/>
  <c r="AM112" i="1"/>
  <c r="S112" i="1"/>
  <c r="AM111" i="1"/>
  <c r="S111" i="1"/>
  <c r="AM110" i="1"/>
  <c r="S110" i="1"/>
  <c r="AM109" i="1"/>
  <c r="S109" i="1"/>
  <c r="AM108" i="1"/>
  <c r="S108" i="1"/>
  <c r="AM107" i="1"/>
  <c r="AM106" i="1"/>
  <c r="AM105" i="1"/>
  <c r="AM104" i="1"/>
  <c r="S104" i="1"/>
  <c r="AM103" i="1"/>
  <c r="AM102" i="1"/>
  <c r="AM101" i="1"/>
  <c r="AM100" i="1"/>
  <c r="AM99" i="1"/>
  <c r="AM98" i="1"/>
  <c r="AM97" i="1"/>
  <c r="S97" i="1"/>
  <c r="AM96" i="1"/>
  <c r="S96" i="1"/>
  <c r="AM95" i="1"/>
  <c r="AM92" i="1"/>
  <c r="S92" i="1"/>
  <c r="AM91" i="1"/>
  <c r="S91" i="1"/>
  <c r="AM90" i="1"/>
  <c r="S90" i="1"/>
  <c r="AM89" i="1"/>
  <c r="S89" i="1"/>
  <c r="AM88" i="1"/>
  <c r="S88" i="1"/>
  <c r="AM87" i="1"/>
  <c r="S87" i="1"/>
  <c r="AM86" i="1"/>
  <c r="AM85" i="1"/>
  <c r="AM84" i="1"/>
  <c r="AM83" i="1"/>
  <c r="S83" i="1"/>
  <c r="AM82" i="1"/>
  <c r="S82" i="1"/>
  <c r="AM81" i="1"/>
  <c r="S81" i="1"/>
  <c r="AM80" i="1"/>
  <c r="S80" i="1"/>
  <c r="AM79" i="1"/>
  <c r="S79" i="1"/>
  <c r="AM78" i="1"/>
  <c r="S78" i="1"/>
  <c r="AM77" i="1"/>
  <c r="S77" i="1"/>
  <c r="AM76" i="1"/>
  <c r="S76" i="1"/>
  <c r="AM75" i="1"/>
  <c r="S75" i="1"/>
  <c r="AM74" i="1"/>
  <c r="AM72" i="1"/>
  <c r="AM71" i="1"/>
  <c r="AM70" i="1"/>
  <c r="S70" i="1"/>
  <c r="AM69" i="1"/>
  <c r="S69" i="1"/>
  <c r="AM68" i="1"/>
  <c r="S68" i="1"/>
  <c r="AM67" i="1"/>
  <c r="S67" i="1"/>
  <c r="AM66" i="1"/>
  <c r="S66" i="1"/>
  <c r="AM65" i="1"/>
  <c r="S65" i="1"/>
  <c r="AM64" i="1"/>
  <c r="S64" i="1"/>
  <c r="AM63" i="1"/>
  <c r="S288" i="1"/>
  <c r="AM62" i="1"/>
  <c r="S62" i="1"/>
  <c r="AM61" i="1"/>
  <c r="S61" i="1"/>
  <c r="AM57" i="1"/>
  <c r="AM56" i="1"/>
  <c r="AM55" i="1"/>
  <c r="S55" i="1"/>
  <c r="AM54" i="1"/>
  <c r="AM53" i="1"/>
  <c r="AM52" i="1"/>
  <c r="AM51" i="1"/>
  <c r="AM50" i="1"/>
  <c r="AM49" i="1"/>
  <c r="AM48" i="1"/>
  <c r="S48" i="1"/>
  <c r="AM47" i="1"/>
  <c r="S47" i="1"/>
  <c r="AM46" i="1"/>
  <c r="S46" i="1"/>
  <c r="AM45" i="1"/>
  <c r="S44" i="1"/>
  <c r="AM43" i="1"/>
  <c r="AM42" i="1"/>
  <c r="S42" i="1"/>
  <c r="AM41" i="1"/>
  <c r="AM40" i="1"/>
  <c r="AM39" i="1"/>
  <c r="S39" i="1"/>
  <c r="AM119" i="1"/>
  <c r="AM36" i="1"/>
  <c r="S36" i="1"/>
  <c r="AM35" i="1"/>
  <c r="S35" i="1"/>
  <c r="AM34" i="1"/>
  <c r="S287" i="1"/>
  <c r="AM33" i="1"/>
  <c r="AM32" i="1"/>
  <c r="AM31" i="1"/>
  <c r="S31" i="1"/>
  <c r="AM30" i="1"/>
  <c r="S30" i="1"/>
  <c r="AM29" i="1"/>
  <c r="S29" i="1"/>
  <c r="AM28" i="1"/>
  <c r="S28" i="1"/>
  <c r="AM27" i="1"/>
  <c r="S27" i="1"/>
  <c r="AM26" i="1"/>
  <c r="S26" i="1"/>
  <c r="AM23" i="1"/>
  <c r="S284" i="1"/>
  <c r="AM22" i="1"/>
  <c r="S283" i="1"/>
  <c r="AM21" i="1"/>
  <c r="AM20" i="1"/>
  <c r="AM19" i="1"/>
  <c r="AM18" i="1"/>
  <c r="AM17" i="1"/>
  <c r="S17" i="1"/>
  <c r="AM16" i="1"/>
  <c r="AM15" i="1"/>
  <c r="AM14" i="1"/>
  <c r="AM13" i="1"/>
  <c r="S13" i="1"/>
  <c r="AM9" i="1"/>
  <c r="S9" i="1"/>
  <c r="AR4" i="1"/>
  <c r="AR3" i="1"/>
  <c r="AR2" i="1"/>
  <c r="AM2" i="1"/>
  <c r="S2" i="1"/>
  <c r="AR5" i="1" l="1"/>
  <c r="S168" i="1"/>
  <c r="Z246" i="1"/>
  <c r="AM7" i="1"/>
  <c r="S52" i="1"/>
  <c r="S45" i="1"/>
  <c r="S57" i="1"/>
  <c r="S50" i="1"/>
  <c r="S38" i="1"/>
  <c r="S142" i="1"/>
  <c r="AM4" i="1"/>
  <c r="S139" i="1"/>
  <c r="S140" i="1"/>
  <c r="S166" i="1"/>
  <c r="S172" i="1"/>
  <c r="S4" i="1"/>
  <c r="S5" i="1"/>
  <c r="AM124" i="1"/>
  <c r="S122" i="1"/>
  <c r="AM116" i="1"/>
  <c r="S125" i="1"/>
  <c r="S120" i="1"/>
  <c r="S126" i="1"/>
  <c r="AM126" i="1"/>
  <c r="S100" i="1"/>
  <c r="S121" i="1"/>
  <c r="S8" i="1"/>
  <c r="AM37" i="1"/>
  <c r="S84" i="1"/>
  <c r="S58" i="1"/>
  <c r="AR174" i="1"/>
  <c r="AR65" i="1"/>
  <c r="S205" i="1"/>
  <c r="S107" i="1"/>
  <c r="S147" i="1"/>
  <c r="AR9" i="1"/>
  <c r="AR40" i="1"/>
  <c r="S40" i="1"/>
  <c r="S85" i="1"/>
  <c r="S59" i="1"/>
  <c r="S51" i="1"/>
  <c r="S56" i="1"/>
  <c r="S103" i="1"/>
  <c r="S144" i="1"/>
  <c r="S7" i="1"/>
  <c r="S37" i="1"/>
  <c r="S41" i="1"/>
  <c r="S86" i="1"/>
  <c r="S60" i="1"/>
  <c r="S141" i="1"/>
  <c r="S159" i="1"/>
  <c r="S272" i="1"/>
  <c r="S165" i="1"/>
  <c r="S173" i="1"/>
  <c r="S53" i="1"/>
  <c r="S71" i="1"/>
  <c r="S24" i="1"/>
  <c r="S105" i="1"/>
  <c r="S145" i="1"/>
  <c r="S170" i="1"/>
  <c r="AR173" i="1"/>
  <c r="AR64" i="1"/>
  <c r="S204" i="1"/>
  <c r="S43" i="1"/>
  <c r="S143" i="1"/>
  <c r="S167" i="1"/>
  <c r="S174" i="1"/>
  <c r="AR7" i="1"/>
  <c r="AR37" i="1"/>
  <c r="AM5" i="1"/>
  <c r="AR8" i="1"/>
  <c r="AR38" i="1"/>
  <c r="S16" i="1"/>
  <c r="AM38" i="1"/>
  <c r="S49" i="1"/>
  <c r="S54" i="1"/>
  <c r="S72" i="1"/>
  <c r="S25" i="1"/>
  <c r="S106" i="1"/>
  <c r="S146" i="1"/>
  <c r="S171" i="1"/>
  <c r="S273" i="1"/>
  <c r="S14" i="1"/>
  <c r="S291" i="1"/>
  <c r="S19" i="1"/>
  <c r="S278" i="1"/>
  <c r="S99" i="1"/>
  <c r="S119" i="1"/>
  <c r="S124" i="1"/>
  <c r="S134" i="1"/>
  <c r="Z247" i="1"/>
  <c r="Z73" i="1"/>
  <c r="S21" i="1"/>
  <c r="S280" i="1"/>
  <c r="S33" i="1"/>
  <c r="S290" i="1"/>
  <c r="S101" i="1"/>
  <c r="S116" i="1"/>
  <c r="S169" i="1"/>
  <c r="S292" i="1"/>
  <c r="S6" i="1"/>
  <c r="S269" i="1"/>
  <c r="S22" i="1"/>
  <c r="S281" i="1"/>
  <c r="S34" i="1"/>
  <c r="S285" i="1"/>
  <c r="S63" i="1"/>
  <c r="S286" i="1"/>
  <c r="S102" i="1"/>
  <c r="S117" i="1"/>
  <c r="S127" i="1"/>
  <c r="S132" i="1"/>
  <c r="AR169" i="1"/>
  <c r="AR292" i="1"/>
  <c r="S3" i="1"/>
  <c r="AM6" i="1"/>
  <c r="AM269" i="1"/>
  <c r="AM117" i="1"/>
  <c r="AM122" i="1"/>
  <c r="AM127" i="1"/>
  <c r="S20" i="1"/>
  <c r="S279" i="1"/>
  <c r="S32" i="1"/>
  <c r="S276" i="1"/>
  <c r="AR6" i="1"/>
  <c r="AR269" i="1"/>
  <c r="S18" i="1"/>
  <c r="S277" i="1"/>
  <c r="S23" i="1"/>
  <c r="S282" i="1"/>
  <c r="S98" i="1"/>
  <c r="S123" i="1"/>
  <c r="S133" i="1"/>
  <c r="AM118" i="1"/>
  <c r="AM123" i="1"/>
  <c r="AM3" i="1"/>
  <c r="S15" i="1"/>
  <c r="S135" i="1"/>
  <c r="AM188" i="1"/>
  <c r="P188" i="1"/>
  <c r="AM44" i="1"/>
  <c r="P44" i="1"/>
  <c r="AM8" i="1"/>
  <c r="AM157" i="1"/>
  <c r="P157" i="1"/>
  <c r="AM158" i="1"/>
  <c r="P158" i="1"/>
  <c r="AM159" i="1"/>
  <c r="AM155" i="1"/>
  <c r="P155" i="1"/>
  <c r="AM160" i="1"/>
  <c r="P160" i="1"/>
  <c r="AM156" i="1"/>
  <c r="P156" i="1"/>
  <c r="S155" i="1"/>
  <c r="AA249" i="1"/>
  <c r="AA223" i="1"/>
  <c r="AA222" i="1"/>
  <c r="AA220" i="1"/>
  <c r="P95" i="1"/>
  <c r="P69" i="1"/>
  <c r="T162" i="1"/>
  <c r="T237" i="1"/>
  <c r="T210" i="1"/>
  <c r="T214" i="1"/>
  <c r="T218" i="1"/>
  <c r="T229" i="1"/>
  <c r="T233" i="1"/>
  <c r="T241" i="1"/>
  <c r="T163" i="1"/>
  <c r="T234" i="1"/>
  <c r="T211" i="1"/>
  <c r="T215" i="1"/>
  <c r="T226" i="1"/>
  <c r="T230" i="1"/>
  <c r="T238" i="1"/>
  <c r="T242" i="1"/>
  <c r="T164" i="1"/>
  <c r="T235" i="1"/>
  <c r="T208" i="1"/>
  <c r="T212" i="1"/>
  <c r="T216" i="1"/>
  <c r="T227" i="1"/>
  <c r="T231" i="1"/>
  <c r="T239" i="1"/>
  <c r="T243" i="1"/>
  <c r="T161" i="1"/>
  <c r="T236" i="1"/>
  <c r="T244" i="1"/>
  <c r="T209" i="1"/>
  <c r="T213" i="1"/>
  <c r="T217" i="1"/>
  <c r="T228" i="1"/>
  <c r="T232" i="1"/>
  <c r="T240" i="1"/>
  <c r="T245" i="1"/>
  <c r="P29" i="1"/>
  <c r="P26" i="1"/>
  <c r="P32" i="1"/>
  <c r="P27" i="1"/>
  <c r="P18" i="1"/>
  <c r="P30" i="1"/>
  <c r="P28" i="1"/>
  <c r="P31" i="1"/>
  <c r="P47" i="1"/>
  <c r="AA219" i="1"/>
  <c r="AA221" i="1"/>
  <c r="AA225" i="1"/>
  <c r="AA224" i="1"/>
  <c r="AA248" i="1"/>
  <c r="P109" i="1"/>
  <c r="P132" i="1"/>
  <c r="P96" i="1"/>
  <c r="P74" i="1"/>
  <c r="P16" i="1"/>
  <c r="P113" i="1"/>
  <c r="P14" i="1"/>
  <c r="P36" i="1"/>
  <c r="P82" i="1"/>
  <c r="P87" i="1"/>
  <c r="P111" i="1"/>
  <c r="P128" i="1"/>
  <c r="P175" i="1"/>
  <c r="P179" i="1"/>
  <c r="P46" i="1"/>
  <c r="P184" i="1"/>
  <c r="P192" i="1"/>
  <c r="P196" i="1"/>
  <c r="P274" i="1"/>
  <c r="P112" i="1"/>
  <c r="P129" i="1"/>
  <c r="P67" i="1"/>
  <c r="P78" i="1"/>
  <c r="P102" i="1"/>
  <c r="P168" i="1"/>
  <c r="P77" i="1"/>
  <c r="P130" i="1"/>
  <c r="P134" i="1"/>
  <c r="P83" i="1"/>
  <c r="P88" i="1"/>
  <c r="P9" i="1"/>
  <c r="P42" i="1"/>
  <c r="P68" i="1"/>
  <c r="P97" i="1"/>
  <c r="P108" i="1"/>
  <c r="P169" i="1"/>
  <c r="P15" i="1"/>
  <c r="P167" i="1"/>
  <c r="P79" i="1"/>
  <c r="P90" i="1"/>
  <c r="P131" i="1"/>
  <c r="P41" i="1"/>
  <c r="P17" i="1"/>
  <c r="P33" i="1"/>
  <c r="P43" i="1"/>
  <c r="P98" i="1"/>
  <c r="P114" i="1"/>
  <c r="P66" i="1"/>
  <c r="P101" i="1"/>
  <c r="P89" i="1"/>
  <c r="P13" i="1"/>
  <c r="P70" i="1"/>
  <c r="P80" i="1"/>
  <c r="P91" i="1"/>
  <c r="P104" i="1"/>
  <c r="P198" i="1"/>
  <c r="P38" i="1"/>
  <c r="P34" i="1"/>
  <c r="P39" i="1"/>
  <c r="P99" i="1"/>
  <c r="P81" i="1"/>
  <c r="P92" i="1"/>
  <c r="P110" i="1"/>
  <c r="P40" i="1"/>
  <c r="P35" i="1"/>
  <c r="P45" i="1"/>
  <c r="P100" i="1"/>
  <c r="P133" i="1"/>
  <c r="P187" i="1"/>
  <c r="P191" i="1"/>
  <c r="P199" i="1"/>
  <c r="P185" i="1"/>
  <c r="P200" i="1"/>
  <c r="P204" i="1"/>
  <c r="P138" i="1"/>
  <c r="P174" i="1"/>
  <c r="P182" i="1"/>
  <c r="P197" i="1"/>
  <c r="P190" i="1"/>
  <c r="P201" i="1"/>
  <c r="P205" i="1"/>
  <c r="P273" i="1"/>
  <c r="P172" i="1"/>
  <c r="P176" i="1"/>
  <c r="P180" i="1"/>
  <c r="P203" i="1"/>
  <c r="P207" i="1"/>
  <c r="P275" i="1"/>
  <c r="P206" i="1"/>
  <c r="P194" i="1"/>
  <c r="P186" i="1"/>
  <c r="P189" i="1"/>
  <c r="P270" i="1"/>
  <c r="P202" i="1"/>
  <c r="P271" i="1"/>
  <c r="P181" i="1"/>
  <c r="P193" i="1"/>
  <c r="P2" i="1"/>
  <c r="P178" i="1"/>
  <c r="P139" i="1"/>
  <c r="P183" i="1"/>
  <c r="P177" i="1"/>
  <c r="P195" i="1"/>
  <c r="P127" i="1" l="1"/>
  <c r="P57" i="1"/>
  <c r="P65" i="1"/>
  <c r="AA246" i="1"/>
  <c r="P20" i="1"/>
  <c r="P140" i="1"/>
  <c r="P171" i="1"/>
  <c r="P23" i="1"/>
  <c r="P141" i="1"/>
  <c r="P48" i="1"/>
  <c r="P7" i="1"/>
  <c r="P55" i="1"/>
  <c r="P6" i="1"/>
  <c r="P170" i="1"/>
  <c r="P52" i="1"/>
  <c r="P54" i="1"/>
  <c r="P125" i="1"/>
  <c r="P120" i="1"/>
  <c r="P122" i="1"/>
  <c r="P3" i="1"/>
  <c r="P123" i="1"/>
  <c r="P121" i="1"/>
  <c r="P269" i="1"/>
  <c r="P105" i="1"/>
  <c r="P145" i="1"/>
  <c r="P72" i="1"/>
  <c r="P25" i="1"/>
  <c r="P116" i="1"/>
  <c r="P166" i="1"/>
  <c r="P4" i="1"/>
  <c r="P173" i="1"/>
  <c r="P115" i="1"/>
  <c r="P165" i="1"/>
  <c r="P143" i="1"/>
  <c r="P159" i="1"/>
  <c r="P272" i="1"/>
  <c r="P76" i="1"/>
  <c r="P50" i="1"/>
  <c r="P107" i="1"/>
  <c r="P147" i="1"/>
  <c r="P71" i="1"/>
  <c r="P24" i="1"/>
  <c r="P103" i="1"/>
  <c r="P144" i="1"/>
  <c r="P86" i="1"/>
  <c r="P60" i="1"/>
  <c r="P84" i="1"/>
  <c r="P58" i="1"/>
  <c r="P106" i="1"/>
  <c r="P146" i="1"/>
  <c r="P51" i="1"/>
  <c r="P19" i="1"/>
  <c r="P8" i="1"/>
  <c r="P21" i="1"/>
  <c r="P64" i="1"/>
  <c r="P142" i="1"/>
  <c r="P75" i="1"/>
  <c r="P49" i="1"/>
  <c r="P85" i="1"/>
  <c r="P59" i="1"/>
  <c r="P56" i="1"/>
  <c r="P37" i="1"/>
  <c r="P53" i="1"/>
  <c r="P22" i="1"/>
  <c r="AA247" i="1"/>
  <c r="AA73" i="1"/>
  <c r="P117" i="1"/>
  <c r="P5" i="1"/>
  <c r="P119" i="1"/>
  <c r="P124" i="1"/>
  <c r="T292" i="1"/>
  <c r="P126" i="1"/>
  <c r="P118" i="1"/>
  <c r="T157" i="1"/>
  <c r="T156" i="1"/>
  <c r="P63" i="1"/>
  <c r="T288" i="1"/>
  <c r="P136" i="1"/>
  <c r="P137" i="1"/>
  <c r="P135" i="1"/>
  <c r="T160" i="1"/>
  <c r="T158" i="1"/>
  <c r="T62" i="1"/>
  <c r="T61" i="1"/>
  <c r="Z61" i="1"/>
  <c r="T199" i="1"/>
  <c r="T184" i="1"/>
  <c r="T270" i="1"/>
  <c r="T275" i="1"/>
  <c r="T181" i="1"/>
  <c r="T191" i="1"/>
  <c r="T274" i="1"/>
  <c r="T187" i="1"/>
  <c r="T198" i="1"/>
  <c r="T189" i="1"/>
  <c r="T178" i="1"/>
  <c r="T186" i="1"/>
  <c r="T206" i="1"/>
  <c r="T180" i="1"/>
  <c r="T201" i="1"/>
  <c r="T170" i="1"/>
  <c r="T179" i="1"/>
  <c r="T193" i="1"/>
  <c r="T182" i="1"/>
  <c r="T183" i="1"/>
  <c r="T194" i="1"/>
  <c r="T207" i="1"/>
  <c r="T271" i="1"/>
  <c r="T203" i="1"/>
  <c r="T273" i="1"/>
  <c r="T195" i="1"/>
  <c r="T202" i="1"/>
  <c r="T176" i="1"/>
  <c r="T190" i="1"/>
  <c r="T200" i="1"/>
  <c r="T196" i="1"/>
  <c r="T175" i="1"/>
  <c r="T177" i="1"/>
  <c r="T197" i="1"/>
  <c r="T185" i="1"/>
  <c r="T188" i="1"/>
  <c r="T192" i="1"/>
  <c r="Z233" i="1"/>
  <c r="T144" i="1"/>
  <c r="T25" i="1"/>
  <c r="T167" i="1"/>
  <c r="T145" i="1"/>
  <c r="T60" i="1"/>
  <c r="T59" i="1"/>
  <c r="T58" i="1"/>
  <c r="T49" i="1"/>
  <c r="T50" i="1"/>
  <c r="T166" i="1"/>
  <c r="Z243" i="1"/>
  <c r="T165" i="1"/>
  <c r="T7" i="1"/>
  <c r="Z234" i="1"/>
  <c r="Z216" i="1"/>
  <c r="T169" i="1"/>
  <c r="T168" i="1"/>
  <c r="Z239" i="1"/>
  <c r="Z215" i="1"/>
  <c r="Z244" i="1"/>
  <c r="T2" i="1"/>
  <c r="Z213" i="1"/>
  <c r="Z235" i="1"/>
  <c r="Z241" i="1"/>
  <c r="T290" i="1"/>
  <c r="T15" i="1"/>
  <c r="T147" i="1"/>
  <c r="Z164" i="1"/>
  <c r="Z228" i="1"/>
  <c r="Z218" i="1"/>
  <c r="Z217" i="1"/>
  <c r="Z210" i="1"/>
  <c r="Z208" i="1"/>
  <c r="Z230" i="1"/>
  <c r="Z227" i="1"/>
  <c r="T24" i="1"/>
  <c r="T205" i="1"/>
  <c r="Z236" i="1"/>
  <c r="Z229" i="1"/>
  <c r="Z211" i="1"/>
  <c r="Z240" i="1"/>
  <c r="Z245" i="1"/>
  <c r="Z232" i="1"/>
  <c r="Z238" i="1"/>
  <c r="T204" i="1"/>
  <c r="Z231" i="1"/>
  <c r="Z242" i="1"/>
  <c r="Z214" i="1"/>
  <c r="Z209" i="1"/>
  <c r="Z237" i="1"/>
  <c r="Z212" i="1"/>
  <c r="Z226" i="1"/>
  <c r="T8" i="1"/>
  <c r="T146" i="1"/>
  <c r="T9" i="1" l="1"/>
  <c r="T280" i="1"/>
  <c r="T277" i="1"/>
  <c r="T279" i="1"/>
  <c r="T278" i="1"/>
  <c r="T285" i="1"/>
  <c r="T287" i="1"/>
  <c r="T281" i="1"/>
  <c r="T283" i="1"/>
  <c r="T282" i="1"/>
  <c r="T284" i="1"/>
  <c r="T276" i="1"/>
  <c r="T5" i="1"/>
  <c r="T159" i="1"/>
  <c r="T272" i="1"/>
  <c r="T4" i="1"/>
  <c r="T174" i="1"/>
  <c r="T172" i="1"/>
  <c r="T6" i="1"/>
  <c r="T171" i="1"/>
  <c r="T13" i="1"/>
  <c r="T173" i="1"/>
  <c r="T14" i="1"/>
  <c r="T291" i="1"/>
  <c r="Z288" i="1"/>
  <c r="T286" i="1"/>
  <c r="Z292" i="1"/>
  <c r="T269" i="1"/>
  <c r="AA157" i="1"/>
  <c r="T3" i="1"/>
  <c r="AA156" i="1"/>
  <c r="AA160" i="1"/>
  <c r="T155" i="1"/>
  <c r="AA158" i="1"/>
  <c r="Z62" i="1"/>
  <c r="AA62" i="1"/>
  <c r="Z155" i="1"/>
  <c r="Z162" i="1"/>
  <c r="AA162" i="1"/>
  <c r="Z161" i="1"/>
  <c r="AA161" i="1"/>
  <c r="Z163" i="1"/>
  <c r="AA163" i="1"/>
  <c r="T106" i="1"/>
  <c r="T28" i="1"/>
  <c r="Z28" i="1"/>
  <c r="T99" i="1"/>
  <c r="T31" i="1"/>
  <c r="Z31" i="1"/>
  <c r="T19" i="1"/>
  <c r="T18" i="1"/>
  <c r="T115" i="1"/>
  <c r="Z115" i="1"/>
  <c r="T35" i="1"/>
  <c r="Z35" i="1"/>
  <c r="T122" i="1"/>
  <c r="T70" i="1"/>
  <c r="Z70" i="1"/>
  <c r="T21" i="1"/>
  <c r="T77" i="1"/>
  <c r="Z77" i="1"/>
  <c r="T72" i="1"/>
  <c r="T138" i="1"/>
  <c r="Z138" i="1"/>
  <c r="T52" i="1"/>
  <c r="T95" i="1"/>
  <c r="Z95" i="1"/>
  <c r="T118" i="1"/>
  <c r="Z168" i="1"/>
  <c r="T57" i="1"/>
  <c r="T65" i="1"/>
  <c r="T101" i="1"/>
  <c r="T42" i="1"/>
  <c r="Z42" i="1"/>
  <c r="T71" i="1"/>
  <c r="T102" i="1"/>
  <c r="T45" i="1"/>
  <c r="Z45" i="1"/>
  <c r="T133" i="1"/>
  <c r="T54" i="1"/>
  <c r="T110" i="1"/>
  <c r="Z110" i="1"/>
  <c r="T98" i="1"/>
  <c r="Z139" i="1"/>
  <c r="T41" i="1"/>
  <c r="Z41" i="1"/>
  <c r="T128" i="1"/>
  <c r="Z128" i="1"/>
  <c r="T88" i="1"/>
  <c r="Z88" i="1"/>
  <c r="T117" i="1"/>
  <c r="Z167" i="1"/>
  <c r="T96" i="1"/>
  <c r="Z96" i="1"/>
  <c r="T137" i="1"/>
  <c r="Z137" i="1"/>
  <c r="T48" i="1"/>
  <c r="T79" i="1"/>
  <c r="Z79" i="1"/>
  <c r="T39" i="1"/>
  <c r="Z39" i="1"/>
  <c r="T78" i="1"/>
  <c r="Z78" i="1"/>
  <c r="T56" i="1"/>
  <c r="T90" i="1"/>
  <c r="Z90" i="1"/>
  <c r="T134" i="1"/>
  <c r="T107" i="1"/>
  <c r="T87" i="1"/>
  <c r="Z87" i="1"/>
  <c r="T34" i="1"/>
  <c r="Z287" i="1"/>
  <c r="T76" i="1"/>
  <c r="Z76" i="1"/>
  <c r="T26" i="1"/>
  <c r="Z26" i="1"/>
  <c r="T85" i="1"/>
  <c r="T66" i="1"/>
  <c r="Z66" i="1"/>
  <c r="T129" i="1"/>
  <c r="Z129" i="1"/>
  <c r="T74" i="1"/>
  <c r="Z74" i="1"/>
  <c r="T141" i="1"/>
  <c r="T47" i="1"/>
  <c r="Z47" i="1"/>
  <c r="T44" i="1"/>
  <c r="Z44" i="1"/>
  <c r="T80" i="1"/>
  <c r="Z80" i="1"/>
  <c r="T63" i="1"/>
  <c r="Z63" i="1"/>
  <c r="T97" i="1"/>
  <c r="Z97" i="1"/>
  <c r="T123" i="1"/>
  <c r="T91" i="1"/>
  <c r="Z91" i="1"/>
  <c r="T22" i="1"/>
  <c r="Z283" i="1"/>
  <c r="T143" i="1"/>
  <c r="T136" i="1"/>
  <c r="Z136" i="1"/>
  <c r="T67" i="1"/>
  <c r="Z67" i="1"/>
  <c r="T125" i="1"/>
  <c r="T124" i="1"/>
  <c r="T130" i="1"/>
  <c r="Z130" i="1"/>
  <c r="T119" i="1"/>
  <c r="Z169" i="1"/>
  <c r="T55" i="1"/>
  <c r="T53" i="1"/>
  <c r="Z53" i="1"/>
  <c r="T75" i="1"/>
  <c r="Z75" i="1"/>
  <c r="T89" i="1"/>
  <c r="Z89" i="1"/>
  <c r="T81" i="1"/>
  <c r="Z81" i="1"/>
  <c r="T86" i="1"/>
  <c r="T16" i="1"/>
  <c r="Z16" i="1"/>
  <c r="T103" i="1"/>
  <c r="T139" i="1"/>
  <c r="T37" i="1"/>
  <c r="T127" i="1"/>
  <c r="T64" i="1"/>
  <c r="T17" i="1"/>
  <c r="T33" i="1"/>
  <c r="T92" i="1"/>
  <c r="Z92" i="1"/>
  <c r="T27" i="1"/>
  <c r="Z27" i="1"/>
  <c r="T108" i="1"/>
  <c r="Z108" i="1"/>
  <c r="T114" i="1"/>
  <c r="Z114" i="1"/>
  <c r="T100" i="1"/>
  <c r="T111" i="1"/>
  <c r="Z111" i="1"/>
  <c r="T105" i="1"/>
  <c r="T120" i="1"/>
  <c r="T140" i="1"/>
  <c r="Z140" i="1"/>
  <c r="T132" i="1"/>
  <c r="T32" i="1"/>
  <c r="T68" i="1"/>
  <c r="Z68" i="1"/>
  <c r="T121" i="1"/>
  <c r="T36" i="1"/>
  <c r="Z36" i="1"/>
  <c r="T30" i="1"/>
  <c r="Z30" i="1"/>
  <c r="T23" i="1"/>
  <c r="Z284" i="1"/>
  <c r="T40" i="1"/>
  <c r="T43" i="1"/>
  <c r="Z43" i="1"/>
  <c r="T116" i="1"/>
  <c r="T69" i="1"/>
  <c r="Z69" i="1"/>
  <c r="T113" i="1"/>
  <c r="Z113" i="1"/>
  <c r="T131" i="1"/>
  <c r="Z131" i="1"/>
  <c r="T112" i="1"/>
  <c r="Z112" i="1"/>
  <c r="T135" i="1"/>
  <c r="Z135" i="1"/>
  <c r="T109" i="1"/>
  <c r="Z109" i="1"/>
  <c r="T20" i="1"/>
  <c r="T29" i="1"/>
  <c r="Z29" i="1"/>
  <c r="T38" i="1"/>
  <c r="T126" i="1"/>
  <c r="T104" i="1"/>
  <c r="Z104" i="1"/>
  <c r="T84" i="1"/>
  <c r="T46" i="1"/>
  <c r="Z46" i="1"/>
  <c r="T83" i="1"/>
  <c r="Z83" i="1"/>
  <c r="T82" i="1"/>
  <c r="Z82" i="1"/>
  <c r="T142" i="1"/>
  <c r="Z142" i="1"/>
  <c r="T51" i="1"/>
  <c r="AA155" i="1"/>
  <c r="AA61" i="1"/>
  <c r="Z15" i="1"/>
  <c r="Z13" i="1"/>
  <c r="Z9" i="1"/>
  <c r="Z179" i="1"/>
  <c r="Z198" i="1"/>
  <c r="Z175" i="1"/>
  <c r="Z199" i="1"/>
  <c r="AA229" i="1"/>
  <c r="AA208" i="1"/>
  <c r="AA212" i="1"/>
  <c r="AA234" i="1"/>
  <c r="AA242" i="1"/>
  <c r="AA237" i="1"/>
  <c r="AA228" i="1"/>
  <c r="AA217" i="1"/>
  <c r="AA241" i="1"/>
  <c r="AA232" i="1"/>
  <c r="AA213" i="1"/>
  <c r="AA243" i="1"/>
  <c r="AA238" i="1"/>
  <c r="AA218" i="1"/>
  <c r="AA231" i="1"/>
  <c r="AA215" i="1"/>
  <c r="AA236" i="1"/>
  <c r="AA226" i="1"/>
  <c r="AA235" i="1"/>
  <c r="AA240" i="1"/>
  <c r="Z205" i="1"/>
  <c r="AA230" i="1"/>
  <c r="AA233" i="1"/>
  <c r="Z189" i="1"/>
  <c r="Z201" i="1"/>
  <c r="Z190" i="1"/>
  <c r="Z207" i="1"/>
  <c r="Z196" i="1"/>
  <c r="Z195" i="1"/>
  <c r="Z188" i="1"/>
  <c r="Z176" i="1"/>
  <c r="AA227" i="1"/>
  <c r="Z194" i="1"/>
  <c r="Z200" i="1"/>
  <c r="Z186" i="1"/>
  <c r="AA214" i="1"/>
  <c r="Z180" i="1"/>
  <c r="Z173" i="1"/>
  <c r="Z187" i="1"/>
  <c r="AA209" i="1"/>
  <c r="Z193" i="1"/>
  <c r="AA210" i="1"/>
  <c r="Z203" i="1"/>
  <c r="Z271" i="1"/>
  <c r="AA244" i="1"/>
  <c r="Z197" i="1"/>
  <c r="Z181" i="1"/>
  <c r="Z191" i="1"/>
  <c r="Z185" i="1"/>
  <c r="Z204" i="1"/>
  <c r="Z274" i="1"/>
  <c r="Z184" i="1"/>
  <c r="Z206" i="1"/>
  <c r="AA164" i="1"/>
  <c r="AA211" i="1"/>
  <c r="AA239" i="1"/>
  <c r="Z182" i="1"/>
  <c r="Z178" i="1"/>
  <c r="AA245" i="1"/>
  <c r="Z192" i="1"/>
  <c r="Z177" i="1"/>
  <c r="Z202" i="1"/>
  <c r="Z275" i="1"/>
  <c r="Z270" i="1"/>
  <c r="Z2" i="1"/>
  <c r="AA216" i="1"/>
  <c r="Z183" i="1"/>
  <c r="K4" i="6"/>
  <c r="Z8" i="1" l="1"/>
  <c r="Z40" i="1"/>
  <c r="Z37" i="1"/>
  <c r="Z55" i="1"/>
  <c r="Z174" i="1"/>
  <c r="Z17" i="1"/>
  <c r="Z123" i="1"/>
  <c r="Z5" i="1"/>
  <c r="Z102" i="1"/>
  <c r="Z132" i="1"/>
  <c r="Z126" i="1"/>
  <c r="Z116" i="1"/>
  <c r="Z273" i="1"/>
  <c r="Z272" i="1"/>
  <c r="Z56" i="1"/>
  <c r="Z65" i="1"/>
  <c r="Z38" i="1"/>
  <c r="Z57" i="1"/>
  <c r="Z72" i="1"/>
  <c r="Z25" i="1"/>
  <c r="Z64" i="1"/>
  <c r="Z49" i="1"/>
  <c r="Z165" i="1"/>
  <c r="Z85" i="1"/>
  <c r="Z59" i="1"/>
  <c r="Z107" i="1"/>
  <c r="Z147" i="1"/>
  <c r="Z71" i="1"/>
  <c r="Z24" i="1"/>
  <c r="Z86" i="1"/>
  <c r="Z60" i="1"/>
  <c r="Z50" i="1"/>
  <c r="Z103" i="1"/>
  <c r="Z144" i="1"/>
  <c r="Z170" i="1"/>
  <c r="Z171" i="1"/>
  <c r="Z51" i="1"/>
  <c r="Z141" i="1"/>
  <c r="Z54" i="1"/>
  <c r="Z106" i="1"/>
  <c r="Z146" i="1"/>
  <c r="Z166" i="1"/>
  <c r="Z105" i="1"/>
  <c r="Z145" i="1"/>
  <c r="Z172" i="1"/>
  <c r="Z84" i="1"/>
  <c r="Z58" i="1"/>
  <c r="Z7" i="1"/>
  <c r="Z4" i="1"/>
  <c r="Z143" i="1"/>
  <c r="Z48" i="1"/>
  <c r="Z52" i="1"/>
  <c r="Z125" i="1"/>
  <c r="Z119" i="1"/>
  <c r="Z134" i="1"/>
  <c r="Z100" i="1"/>
  <c r="Z124" i="1"/>
  <c r="Z127" i="1"/>
  <c r="Z117" i="1"/>
  <c r="Z118" i="1"/>
  <c r="Z14" i="1"/>
  <c r="Z291" i="1"/>
  <c r="AA292" i="1"/>
  <c r="Z32" i="1"/>
  <c r="Z276" i="1"/>
  <c r="Z21" i="1"/>
  <c r="Z280" i="1"/>
  <c r="Z18" i="1"/>
  <c r="Z277" i="1"/>
  <c r="Z20" i="1"/>
  <c r="Z279" i="1"/>
  <c r="Z23" i="1"/>
  <c r="Z282" i="1"/>
  <c r="Z33" i="1"/>
  <c r="Z290" i="1"/>
  <c r="Z101" i="1"/>
  <c r="Z19" i="1"/>
  <c r="Z278" i="1"/>
  <c r="Z133" i="1"/>
  <c r="Z34" i="1"/>
  <c r="Z285" i="1"/>
  <c r="Z122" i="1"/>
  <c r="Z6" i="1"/>
  <c r="Z269" i="1"/>
  <c r="Z286" i="1"/>
  <c r="Z121" i="1"/>
  <c r="Z98" i="1"/>
  <c r="Z99" i="1"/>
  <c r="Z3" i="1"/>
  <c r="Z22" i="1"/>
  <c r="Z281" i="1"/>
  <c r="Z120" i="1"/>
  <c r="Z157" i="1"/>
  <c r="Z160" i="1"/>
  <c r="Z159" i="1"/>
  <c r="Z156" i="1"/>
  <c r="Z158" i="1"/>
  <c r="AA97" i="1"/>
  <c r="AA77" i="1"/>
  <c r="AA66" i="1"/>
  <c r="AA283" i="1"/>
  <c r="AA75" i="1"/>
  <c r="AA26" i="1"/>
  <c r="AA41" i="1"/>
  <c r="AA46" i="1"/>
  <c r="AA70" i="1"/>
  <c r="AA35" i="1"/>
  <c r="AA74" i="1"/>
  <c r="AA69" i="1"/>
  <c r="AA112" i="1"/>
  <c r="AA29" i="1"/>
  <c r="AA27" i="1"/>
  <c r="AA114" i="1"/>
  <c r="AA287" i="1"/>
  <c r="AA42" i="1"/>
  <c r="AA28" i="1"/>
  <c r="AA43" i="1"/>
  <c r="AA30" i="1"/>
  <c r="AA109" i="1"/>
  <c r="AA40" i="1"/>
  <c r="AA36" i="1"/>
  <c r="AA44" i="1"/>
  <c r="AA51" i="1"/>
  <c r="AA78" i="1"/>
  <c r="AA63" i="1"/>
  <c r="AA17" i="1"/>
  <c r="AA67" i="1"/>
  <c r="AA39" i="1"/>
  <c r="AA284" i="1"/>
  <c r="AA47" i="1"/>
  <c r="AA76" i="1"/>
  <c r="AA68" i="1"/>
  <c r="AA31" i="1"/>
  <c r="AA45" i="1"/>
  <c r="AA95" i="1"/>
  <c r="AA79" i="1"/>
  <c r="AA179" i="1"/>
  <c r="AA96" i="1"/>
  <c r="AA129" i="1"/>
  <c r="AA113" i="1"/>
  <c r="AA122" i="1"/>
  <c r="AA104" i="1"/>
  <c r="AA89" i="1"/>
  <c r="AA83" i="1"/>
  <c r="AA88" i="1"/>
  <c r="AA198" i="1"/>
  <c r="AA82" i="1"/>
  <c r="AA111" i="1"/>
  <c r="AA199" i="1"/>
  <c r="AA175" i="1"/>
  <c r="AA167" i="1"/>
  <c r="AA136" i="1"/>
  <c r="AA128" i="1"/>
  <c r="AA135" i="1"/>
  <c r="AA139" i="1"/>
  <c r="AA137" i="1"/>
  <c r="AA131" i="1"/>
  <c r="AA91" i="1"/>
  <c r="AA81" i="1"/>
  <c r="AA108" i="1"/>
  <c r="AA195" i="1"/>
  <c r="AA80" i="1"/>
  <c r="AA184" i="1"/>
  <c r="AA173" i="1"/>
  <c r="AA170" i="1"/>
  <c r="AA189" i="1"/>
  <c r="AA92" i="1"/>
  <c r="AA192" i="1"/>
  <c r="AA186" i="1"/>
  <c r="AA275" i="1"/>
  <c r="AA185" i="1"/>
  <c r="AA271" i="1"/>
  <c r="AA200" i="1"/>
  <c r="AA176" i="1"/>
  <c r="AA169" i="1"/>
  <c r="AA115" i="1"/>
  <c r="AA206" i="1"/>
  <c r="AA172" i="1"/>
  <c r="AA193" i="1"/>
  <c r="AA180" i="1"/>
  <c r="AA110" i="1"/>
  <c r="AA8" i="1"/>
  <c r="AA202" i="1"/>
  <c r="AA194" i="1"/>
  <c r="AA203" i="1"/>
  <c r="AA183" i="1"/>
  <c r="AA130" i="1"/>
  <c r="AA274" i="1"/>
  <c r="AA191" i="1"/>
  <c r="AA197" i="1"/>
  <c r="AA190" i="1"/>
  <c r="AA273" i="1"/>
  <c r="AA174" i="1"/>
  <c r="AA188" i="1"/>
  <c r="AA90" i="1"/>
  <c r="AA181" i="1"/>
  <c r="AA270" i="1"/>
  <c r="AA3" i="1"/>
  <c r="AA187" i="1"/>
  <c r="AA196" i="1"/>
  <c r="AA201" i="1"/>
  <c r="AA207" i="1"/>
  <c r="AA182" i="1"/>
  <c r="AA2" i="1"/>
  <c r="AA177" i="1"/>
  <c r="AA178" i="1"/>
  <c r="AA87" i="1"/>
  <c r="U45" i="12"/>
  <c r="AA134" i="1" l="1"/>
  <c r="AA7" i="1"/>
  <c r="AA5" i="1"/>
  <c r="AA141" i="1"/>
  <c r="AA143" i="1"/>
  <c r="AA55" i="1"/>
  <c r="AA53" i="1"/>
  <c r="AA50" i="1"/>
  <c r="AA15" i="1"/>
  <c r="AA52" i="1"/>
  <c r="AA65" i="1"/>
  <c r="AA142" i="1"/>
  <c r="AA57" i="1"/>
  <c r="AA140" i="1"/>
  <c r="AA286" i="1"/>
  <c r="AA288" i="1"/>
  <c r="AA99" i="1"/>
  <c r="AA118" i="1"/>
  <c r="AA116" i="1"/>
  <c r="AA133" i="1"/>
  <c r="AA126" i="1"/>
  <c r="AA100" i="1"/>
  <c r="AA102" i="1"/>
  <c r="AA86" i="1"/>
  <c r="AA60" i="1"/>
  <c r="AA107" i="1"/>
  <c r="AA147" i="1"/>
  <c r="AA72" i="1"/>
  <c r="AA25" i="1"/>
  <c r="AA166" i="1"/>
  <c r="AA56" i="1"/>
  <c r="AA106" i="1"/>
  <c r="AA146" i="1"/>
  <c r="AA84" i="1"/>
  <c r="AA58" i="1"/>
  <c r="AA138" i="1"/>
  <c r="AA9" i="1"/>
  <c r="AA48" i="1"/>
  <c r="AA38" i="1"/>
  <c r="AA205" i="1"/>
  <c r="AA6" i="1"/>
  <c r="AA16" i="1"/>
  <c r="AA159" i="1"/>
  <c r="AA272" i="1"/>
  <c r="AA85" i="1"/>
  <c r="AA59" i="1"/>
  <c r="AA13" i="1"/>
  <c r="AA171" i="1"/>
  <c r="AA204" i="1"/>
  <c r="AA103" i="1"/>
  <c r="AA144" i="1"/>
  <c r="AA64" i="1"/>
  <c r="AA168" i="1"/>
  <c r="AA165" i="1"/>
  <c r="AA54" i="1"/>
  <c r="AA4" i="1"/>
  <c r="AA105" i="1"/>
  <c r="AA145" i="1"/>
  <c r="AA71" i="1"/>
  <c r="AA24" i="1"/>
  <c r="AA37" i="1"/>
  <c r="AA49" i="1"/>
  <c r="AA127" i="1"/>
  <c r="AA121" i="1"/>
  <c r="AA124" i="1"/>
  <c r="AA125" i="1"/>
  <c r="AA14" i="1"/>
  <c r="AA291" i="1"/>
  <c r="AA23" i="1"/>
  <c r="AA282" i="1"/>
  <c r="AA101" i="1"/>
  <c r="AA32" i="1"/>
  <c r="AA276" i="1"/>
  <c r="AA33" i="1"/>
  <c r="AA290" i="1"/>
  <c r="AA18" i="1"/>
  <c r="AA277" i="1"/>
  <c r="AA19" i="1"/>
  <c r="AA278" i="1"/>
  <c r="AA20" i="1"/>
  <c r="AA279" i="1"/>
  <c r="AA98" i="1"/>
  <c r="AA119" i="1"/>
  <c r="AA123" i="1"/>
  <c r="AA132" i="1"/>
  <c r="AA120" i="1"/>
  <c r="AA34" i="1"/>
  <c r="AA285" i="1"/>
  <c r="AA117" i="1"/>
  <c r="AA21" i="1"/>
  <c r="AA280" i="1"/>
  <c r="AA22" i="1"/>
  <c r="AA281" i="1"/>
  <c r="AA269" i="1"/>
  <c r="W94" i="12"/>
  <c r="T93" i="12" s="1"/>
  <c r="U46" i="12"/>
  <c r="U47" i="12"/>
  <c r="W75" i="12"/>
  <c r="K5" i="6"/>
  <c r="AB102" i="12" l="1"/>
  <c r="K6" i="6"/>
  <c r="K7" i="6" s="1"/>
  <c r="T74" i="12" l="1"/>
  <c r="U14" i="12"/>
  <c r="F22" i="12" s="1"/>
  <c r="U13" i="12"/>
  <c r="F23" i="12" s="1"/>
  <c r="U12" i="12"/>
  <c r="D21" i="12" s="1"/>
  <c r="U51" i="12"/>
  <c r="M47" i="12" s="1"/>
  <c r="U52" i="12"/>
  <c r="I47" i="12" s="1"/>
  <c r="U50" i="12"/>
  <c r="K47" i="12" s="1"/>
  <c r="M45" i="12"/>
  <c r="I45" i="12"/>
  <c r="K45" i="12"/>
  <c r="U6" i="12" l="1"/>
  <c r="U7" i="12"/>
  <c r="U8" i="12"/>
  <c r="U9" i="12"/>
  <c r="D24" i="12" s="1"/>
  <c r="U10" i="12"/>
  <c r="U11" i="12"/>
  <c r="U4" i="12"/>
  <c r="U5" i="12"/>
  <c r="U30" i="12"/>
  <c r="O30" i="12" s="1"/>
  <c r="U31" i="12"/>
  <c r="M31" i="12" s="1"/>
  <c r="U32" i="12"/>
  <c r="O32" i="12" s="1"/>
  <c r="U33" i="12"/>
  <c r="M33" i="12" s="1"/>
  <c r="U34" i="12"/>
  <c r="O34" i="12" s="1"/>
  <c r="U35" i="12"/>
  <c r="M35" i="12" s="1"/>
  <c r="U36" i="12"/>
  <c r="O36" i="12" s="1"/>
  <c r="U37" i="12"/>
  <c r="M37" i="12" s="1"/>
  <c r="U38" i="12"/>
  <c r="O38" i="12" s="1"/>
  <c r="U29" i="12"/>
  <c r="M29" i="12" s="1"/>
  <c r="U28" i="12"/>
  <c r="O28" i="12" s="1"/>
  <c r="A11" i="1" l="1"/>
  <c r="F17" i="12"/>
  <c r="U16" i="12"/>
  <c r="F20" i="12"/>
  <c r="F19" i="12"/>
  <c r="D18" i="12"/>
  <c r="D16" i="12"/>
  <c r="D8" i="12" l="1"/>
  <c r="AB60" i="12" l="1"/>
  <c r="AB53" i="12"/>
  <c r="AB51" i="12"/>
  <c r="AB52" i="12"/>
  <c r="AB97" i="12" l="1"/>
  <c r="AB99" i="12"/>
  <c r="AB101" i="12"/>
  <c r="AB98" i="12"/>
  <c r="AB100" i="12"/>
  <c r="AB96" i="12"/>
  <c r="AB57" i="12"/>
  <c r="AB59" i="12"/>
  <c r="AB55" i="12"/>
  <c r="AB47" i="12"/>
  <c r="AB46" i="12"/>
  <c r="AB56" i="12"/>
  <c r="AB48" i="12"/>
  <c r="AB62" i="12"/>
  <c r="AB63" i="12"/>
  <c r="AB49" i="12"/>
  <c r="AB61" i="12"/>
  <c r="AB54" i="12"/>
  <c r="AB64" i="12"/>
  <c r="AB50" i="12"/>
  <c r="AB44" i="12"/>
  <c r="AB58" i="12"/>
  <c r="AB45" i="12"/>
  <c r="R14" i="4" l="1"/>
  <c r="O14" i="4"/>
  <c r="U13" i="4"/>
  <c r="T13" i="4"/>
  <c r="S13" i="4"/>
  <c r="R13" i="4"/>
  <c r="O13" i="4"/>
  <c r="O12" i="4"/>
  <c r="U11" i="4"/>
  <c r="T11" i="4"/>
  <c r="N11" i="4"/>
  <c r="O11" i="4" s="1"/>
  <c r="S11" i="4" s="1"/>
  <c r="O10" i="4"/>
  <c r="S9" i="4"/>
  <c r="M9" i="4" s="1"/>
  <c r="R7" i="4"/>
  <c r="O7" i="4"/>
  <c r="U6" i="4"/>
  <c r="T6" i="4"/>
  <c r="S6" i="4"/>
  <c r="R6" i="4"/>
  <c r="O6" i="4"/>
  <c r="S5" i="4"/>
  <c r="M5" i="4"/>
  <c r="O5" i="4" s="1"/>
  <c r="R4" i="4"/>
  <c r="M4" i="4"/>
  <c r="O4" i="4" s="1"/>
  <c r="A95" i="1" l="1"/>
  <c r="A96" i="1" l="1"/>
  <c r="A97" i="1" l="1"/>
  <c r="A175" i="1" l="1"/>
  <c r="A176" i="1" l="1"/>
  <c r="A177" i="1" l="1"/>
  <c r="A178" i="1" l="1"/>
  <c r="A179" i="1" l="1"/>
  <c r="A180" i="1" l="1"/>
  <c r="A181" i="1" l="1"/>
  <c r="A182" i="1" l="1"/>
  <c r="A183" i="1" l="1"/>
  <c r="A184" i="1" l="1"/>
  <c r="A185" i="1" l="1"/>
  <c r="A186" i="1" l="1"/>
  <c r="A187" i="1" l="1"/>
  <c r="A188" i="1" l="1"/>
  <c r="A189" i="1" l="1"/>
  <c r="A190" i="1" l="1"/>
  <c r="A191" i="1" l="1"/>
  <c r="A192" i="1" l="1"/>
  <c r="A193" i="1" l="1"/>
  <c r="A194" i="1" l="1"/>
  <c r="A195" i="1" l="1"/>
  <c r="A196" i="1" l="1"/>
  <c r="A197" i="1" l="1"/>
  <c r="A198" i="1" l="1"/>
  <c r="A199" i="1" l="1"/>
  <c r="A200" i="1" l="1"/>
  <c r="A201" i="1" l="1"/>
  <c r="A202" i="1" l="1"/>
  <c r="A203" i="1" l="1"/>
  <c r="A4" i="1" l="1"/>
  <c r="A272" i="1"/>
  <c r="A3" i="1"/>
  <c r="A273" i="1" l="1"/>
  <c r="A5" i="1"/>
  <c r="A274" i="1" l="1"/>
  <c r="A275" i="1"/>
  <c r="A269" i="1" l="1"/>
  <c r="A7" i="1" l="1"/>
  <c r="A6" i="1"/>
  <c r="A8" i="1" l="1"/>
  <c r="A10" i="1" l="1"/>
  <c r="A12" i="1" l="1"/>
  <c r="A35" i="1" l="1"/>
  <c r="A36" i="1" l="1"/>
  <c r="A37" i="1" l="1"/>
  <c r="A38" i="1" l="1"/>
  <c r="A39" i="1" l="1"/>
  <c r="A40" i="1" l="1"/>
  <c r="A41" i="1" l="1"/>
  <c r="A42" i="1" l="1"/>
  <c r="A43" i="1" l="1"/>
  <c r="A44" i="1" l="1"/>
  <c r="A45" i="1" l="1"/>
  <c r="A46" i="1" l="1"/>
  <c r="A64" i="1" l="1"/>
  <c r="A65" i="1" l="1"/>
  <c r="A66" i="1" l="1"/>
  <c r="A67" i="1" l="1"/>
  <c r="A68" i="1" l="1"/>
  <c r="A69" i="1" l="1"/>
  <c r="A70" i="1" l="1"/>
  <c r="A71" i="1" l="1"/>
  <c r="A72" i="1" l="1"/>
  <c r="A73" i="1" l="1"/>
  <c r="A74" i="1" l="1"/>
  <c r="A75" i="1" l="1"/>
  <c r="A76" i="1" l="1"/>
  <c r="A77" i="1" l="1"/>
  <c r="A78" i="1" l="1"/>
  <c r="A79" i="1" l="1"/>
  <c r="A80" i="1" l="1"/>
  <c r="A81" i="1" l="1"/>
  <c r="A82" i="1" l="1"/>
  <c r="A83" i="1" l="1"/>
  <c r="A84" i="1" l="1"/>
  <c r="A85" i="1" l="1"/>
  <c r="A86" i="1" l="1"/>
  <c r="A87" i="1" l="1"/>
  <c r="A88" i="1" l="1"/>
  <c r="A89" i="1" l="1"/>
  <c r="A90" i="1" l="1"/>
  <c r="A91" i="1" l="1"/>
  <c r="A92" i="1" l="1"/>
  <c r="A93" i="1" l="1"/>
  <c r="A94" i="1" l="1"/>
  <c r="A98" i="1" l="1"/>
  <c r="A99" i="1" l="1"/>
  <c r="A100" i="1" l="1"/>
  <c r="A101" i="1" l="1"/>
  <c r="A102" i="1" l="1"/>
  <c r="A103" i="1" l="1"/>
  <c r="A104" i="1" l="1"/>
  <c r="A105" i="1" l="1"/>
  <c r="A106" i="1" l="1"/>
  <c r="A107" i="1" l="1"/>
  <c r="A108" i="1" l="1"/>
  <c r="A109" i="1" l="1"/>
  <c r="A110" i="1" l="1"/>
  <c r="A111" i="1" l="1"/>
  <c r="A112" i="1" l="1"/>
  <c r="A113" i="1" l="1"/>
  <c r="A114" i="1" l="1"/>
  <c r="A115" i="1" l="1"/>
  <c r="A116" i="1" l="1"/>
  <c r="A117" i="1" l="1"/>
  <c r="A118" i="1" l="1"/>
  <c r="A119" i="1" l="1"/>
  <c r="A120" i="1" l="1"/>
  <c r="A121" i="1" l="1"/>
  <c r="A122" i="1" l="1"/>
  <c r="A123" i="1" l="1"/>
  <c r="A124" i="1" l="1"/>
  <c r="A125" i="1" l="1"/>
  <c r="A126" i="1" l="1"/>
  <c r="A127" i="1" l="1"/>
  <c r="A128" i="1" l="1"/>
  <c r="A129" i="1" l="1"/>
  <c r="A130" i="1" l="1"/>
  <c r="A131" i="1" l="1"/>
  <c r="A132" i="1" l="1"/>
  <c r="A133" i="1" l="1"/>
  <c r="A134" i="1" l="1"/>
  <c r="A276" i="1" l="1"/>
  <c r="A277" i="1" l="1"/>
  <c r="A278" i="1" l="1"/>
  <c r="A279" i="1" l="1"/>
  <c r="A280" i="1" l="1"/>
  <c r="A281" i="1" l="1"/>
  <c r="A282" i="1" l="1"/>
  <c r="A283" i="1" l="1"/>
  <c r="A284" i="1" l="1"/>
  <c r="A285" i="1" l="1"/>
  <c r="A286" i="1" l="1"/>
  <c r="A287" i="1" l="1"/>
  <c r="A288" i="1" l="1"/>
  <c r="A289" i="1" l="1"/>
  <c r="A290" i="1" l="1"/>
  <c r="A291" i="1" l="1"/>
  <c r="A292" i="1" l="1"/>
  <c r="A293" i="1" l="1"/>
  <c r="A294" i="1" l="1"/>
  <c r="A295" i="1" l="1"/>
  <c r="A9" i="1" l="1"/>
  <c r="A13" i="1" l="1"/>
  <c r="A14" i="1" l="1"/>
  <c r="A15" i="1" l="1"/>
  <c r="A16" i="1" l="1"/>
  <c r="A17" i="1" l="1"/>
  <c r="A18" i="1" l="1"/>
  <c r="A19" i="1" l="1"/>
  <c r="A20" i="1" l="1"/>
  <c r="A21" i="1" l="1"/>
  <c r="A22" i="1" l="1"/>
  <c r="A23" i="1" l="1"/>
  <c r="A24" i="1" l="1"/>
  <c r="A25" i="1" l="1"/>
  <c r="A26" i="1" l="1"/>
  <c r="A27" i="1" l="1"/>
  <c r="A28" i="1" l="1"/>
  <c r="A29" i="1" l="1"/>
  <c r="A30" i="1" l="1"/>
  <c r="A31" i="1" l="1"/>
  <c r="A32" i="1" l="1"/>
  <c r="A33" i="1" l="1"/>
  <c r="A34" i="1" l="1"/>
  <c r="A47" i="1" l="1"/>
  <c r="A48" i="1" l="1"/>
  <c r="A49" i="1" l="1"/>
  <c r="A50" i="1" l="1"/>
  <c r="A51" i="1" l="1"/>
  <c r="A52" i="1" l="1"/>
  <c r="A53" i="1" l="1"/>
  <c r="A54" i="1" l="1"/>
  <c r="A55" i="1" l="1"/>
  <c r="A56" i="1" l="1"/>
  <c r="A57" i="1" l="1"/>
  <c r="A58" i="1" l="1"/>
  <c r="A59" i="1" l="1"/>
  <c r="A60" i="1" l="1"/>
  <c r="A61" i="1" l="1"/>
  <c r="A62" i="1" l="1"/>
  <c r="A63" i="1" l="1"/>
  <c r="A135" i="1" l="1"/>
  <c r="A136" i="1" l="1"/>
  <c r="A137" i="1" l="1"/>
  <c r="A138" i="1" l="1"/>
  <c r="A139" i="1" l="1"/>
  <c r="A140" i="1" l="1"/>
  <c r="A141" i="1" l="1"/>
  <c r="A142" i="1" l="1"/>
  <c r="A143" i="1" l="1"/>
  <c r="A144" i="1" l="1"/>
  <c r="A145" i="1" l="1"/>
  <c r="A146" i="1" l="1"/>
  <c r="A147" i="1" l="1"/>
  <c r="A148" i="1" l="1"/>
  <c r="A149" i="1" l="1"/>
  <c r="A150" i="1" l="1"/>
  <c r="A151" i="1" l="1"/>
  <c r="A152" i="1" l="1"/>
  <c r="A153" i="1" l="1"/>
  <c r="A154" i="1" l="1"/>
  <c r="A155" i="1" l="1"/>
  <c r="A156" i="1" l="1"/>
  <c r="A157" i="1" l="1"/>
  <c r="A158" i="1" l="1"/>
  <c r="A159" i="1" l="1"/>
  <c r="A160" i="1" l="1"/>
  <c r="A161" i="1" l="1"/>
  <c r="A162" i="1" l="1"/>
  <c r="A163" i="1" l="1"/>
  <c r="A164" i="1" l="1"/>
  <c r="A165" i="1" l="1"/>
  <c r="A166" i="1" l="1"/>
  <c r="A167" i="1" l="1"/>
  <c r="A168" i="1" l="1"/>
  <c r="A169" i="1" l="1"/>
  <c r="A170" i="1" l="1"/>
  <c r="A171" i="1" l="1"/>
  <c r="A172" i="1" l="1"/>
  <c r="A173" i="1" l="1"/>
  <c r="A174" i="1" l="1"/>
  <c r="A204" i="1" l="1"/>
  <c r="A205" i="1" l="1"/>
  <c r="A206" i="1" l="1"/>
  <c r="A207" i="1" l="1"/>
  <c r="A208" i="1" l="1"/>
  <c r="A209" i="1" l="1"/>
  <c r="A210" i="1" l="1"/>
  <c r="A211" i="1" l="1"/>
  <c r="A212" i="1" l="1"/>
  <c r="A213" i="1" l="1"/>
  <c r="A214" i="1" l="1"/>
  <c r="A215" i="1" l="1"/>
  <c r="A216" i="1" l="1"/>
  <c r="A217" i="1" l="1"/>
  <c r="A270" i="1" l="1"/>
  <c r="A271" i="1" l="1"/>
  <c r="A218" i="1" l="1"/>
  <c r="A219" i="1" l="1"/>
  <c r="A220" i="1" l="1"/>
  <c r="A221" i="1" l="1"/>
  <c r="A222" i="1" l="1"/>
  <c r="A223" i="1" l="1"/>
  <c r="A224" i="1" l="1"/>
  <c r="A225" i="1" l="1"/>
  <c r="A226" i="1" l="1"/>
  <c r="A227" i="1" l="1"/>
  <c r="A228" i="1" l="1"/>
  <c r="A229" i="1" l="1"/>
  <c r="A230" i="1" l="1"/>
  <c r="A231" i="1" l="1"/>
  <c r="A232" i="1" l="1"/>
  <c r="A233" i="1" l="1"/>
  <c r="A234" i="1" l="1"/>
  <c r="A235" i="1" l="1"/>
  <c r="A236" i="1" l="1"/>
  <c r="A237" i="1" l="1"/>
  <c r="A238" i="1" l="1"/>
  <c r="A239" i="1" l="1"/>
  <c r="A240" i="1" l="1"/>
  <c r="A241" i="1" l="1"/>
  <c r="A242" i="1" l="1"/>
  <c r="A243" i="1" l="1"/>
  <c r="A244" i="1" l="1"/>
  <c r="A245" i="1" l="1"/>
  <c r="A246" i="1" l="1"/>
  <c r="A247" i="1" l="1"/>
  <c r="A248" i="1" l="1"/>
  <c r="A249" i="1" l="1"/>
  <c r="A250" i="1" l="1"/>
  <c r="A251" i="1" l="1"/>
  <c r="A252" i="1" l="1"/>
  <c r="A253" i="1" l="1"/>
  <c r="A254" i="1" l="1"/>
  <c r="A255" i="1" l="1"/>
  <c r="A256" i="1" l="1"/>
  <c r="A257" i="1" l="1"/>
  <c r="A258" i="1" l="1"/>
  <c r="A259" i="1" l="1"/>
  <c r="A260" i="1" l="1"/>
  <c r="A261" i="1" l="1"/>
  <c r="A262" i="1" l="1"/>
  <c r="A263" i="1" l="1"/>
  <c r="A264" i="1" l="1"/>
  <c r="A265" i="1" l="1"/>
  <c r="A266" i="1" l="1"/>
  <c r="A267" i="1" l="1"/>
  <c r="A26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Puerta de Oro</author>
  </authors>
  <commentList>
    <comment ref="T1" authorId="0" shapeId="0" xr:uid="{0B1F7744-4F6D-4624-AB3D-19FDFA536733}">
      <text>
        <r>
          <rPr>
            <b/>
            <sz val="9"/>
            <color rgb="FF000000"/>
            <rFont val="Tahoma"/>
            <family val="2"/>
          </rPr>
          <t xml:space="preserve">Proyectos Hasta $10,000 millones
</t>
        </r>
        <r>
          <rPr>
            <b/>
            <sz val="9"/>
            <color rgb="FF000000"/>
            <rFont val="Tahoma"/>
            <family val="2"/>
          </rPr>
          <t xml:space="preserve">
</t>
        </r>
        <r>
          <rPr>
            <b/>
            <sz val="9"/>
            <color rgb="FF000000"/>
            <rFont val="Tahoma"/>
            <family val="2"/>
          </rPr>
          <t xml:space="preserve">Verde: &gt;-0,05 
</t>
        </r>
        <r>
          <rPr>
            <b/>
            <sz val="9"/>
            <color rgb="FF000000"/>
            <rFont val="Tahoma"/>
            <family val="2"/>
          </rPr>
          <t xml:space="preserve">Amarillo:&lt;=0,05;&gt;=0,1
</t>
        </r>
        <r>
          <rPr>
            <b/>
            <sz val="9"/>
            <color rgb="FF000000"/>
            <rFont val="Tahoma"/>
            <family val="2"/>
          </rPr>
          <t>Rojo: &lt;=0,1</t>
        </r>
      </text>
    </comment>
    <comment ref="AP243" authorId="1" shapeId="0" xr:uid="{3C5AEAFC-1DE7-4245-9988-4219D9853AEF}">
      <text>
        <r>
          <rPr>
            <b/>
            <sz val="9"/>
            <color rgb="FF000000"/>
            <rFont val="Tahoma"/>
            <family val="2"/>
          </rPr>
          <t>Puerta de Oro:</t>
        </r>
        <r>
          <rPr>
            <sz val="9"/>
            <color rgb="FF000000"/>
            <rFont val="Tahoma"/>
            <family val="2"/>
          </rPr>
          <t xml:space="preserve">
</t>
        </r>
        <r>
          <rPr>
            <sz val="9"/>
            <color rgb="FF000000"/>
            <rFont val="Tahoma"/>
            <family val="2"/>
          </rPr>
          <t xml:space="preserve">Desembolsado por el BID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Puerta de Oro</author>
  </authors>
  <commentList>
    <comment ref="T1" authorId="0" shapeId="0" xr:uid="{9318546F-9E9D-48A9-835B-B7A1F77BDBD4}">
      <text>
        <r>
          <rPr>
            <b/>
            <sz val="9"/>
            <color rgb="FF000000"/>
            <rFont val="Tahoma"/>
            <family val="2"/>
          </rPr>
          <t xml:space="preserve">Proyectos Hasta $10,000 millones
</t>
        </r>
        <r>
          <rPr>
            <b/>
            <sz val="9"/>
            <color rgb="FF000000"/>
            <rFont val="Tahoma"/>
            <family val="2"/>
          </rPr>
          <t xml:space="preserve">
</t>
        </r>
        <r>
          <rPr>
            <b/>
            <sz val="9"/>
            <color rgb="FF000000"/>
            <rFont val="Tahoma"/>
            <family val="2"/>
          </rPr>
          <t xml:space="preserve">Verde: &gt;-0,05 
</t>
        </r>
        <r>
          <rPr>
            <b/>
            <sz val="9"/>
            <color rgb="FF000000"/>
            <rFont val="Tahoma"/>
            <family val="2"/>
          </rPr>
          <t xml:space="preserve">Amarillo:&lt;=0,05;&gt;=0,1
</t>
        </r>
        <r>
          <rPr>
            <b/>
            <sz val="9"/>
            <color rgb="FF000000"/>
            <rFont val="Tahoma"/>
            <family val="2"/>
          </rPr>
          <t>Rojo: &lt;=0,1</t>
        </r>
      </text>
    </comment>
    <comment ref="AN193" authorId="1" shapeId="0" xr:uid="{251B6632-A5AF-524F-AC9F-D1B3E0F3652C}">
      <text>
        <r>
          <rPr>
            <b/>
            <sz val="9"/>
            <color rgb="FF000000"/>
            <rFont val="Tahoma"/>
            <family val="2"/>
          </rPr>
          <t>Puerta de Oro:</t>
        </r>
        <r>
          <rPr>
            <sz val="9"/>
            <color rgb="FF000000"/>
            <rFont val="Tahoma"/>
            <family val="2"/>
          </rPr>
          <t xml:space="preserve">
</t>
        </r>
        <r>
          <rPr>
            <sz val="9"/>
            <color rgb="FF000000"/>
            <rFont val="Tahoma"/>
            <family val="2"/>
          </rPr>
          <t xml:space="preserve">Desembolsado por el BID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B20" authorId="0" shapeId="0" xr:uid="{69FD82EA-C38F-4F3A-8138-5B2C99BB5D07}">
      <text>
        <r>
          <rPr>
            <b/>
            <sz val="9"/>
            <color rgb="FF000000"/>
            <rFont val="Tahoma"/>
            <family val="2"/>
          </rPr>
          <t xml:space="preserve">Proyectos Hasta $10,000 millones
</t>
        </r>
        <r>
          <rPr>
            <b/>
            <sz val="9"/>
            <color rgb="FF000000"/>
            <rFont val="Tahoma"/>
            <family val="2"/>
          </rPr>
          <t xml:space="preserve">
</t>
        </r>
        <r>
          <rPr>
            <b/>
            <sz val="9"/>
            <color rgb="FF000000"/>
            <rFont val="Tahoma"/>
            <family val="2"/>
          </rPr>
          <t xml:space="preserve">Verde: &gt;-0,05 
</t>
        </r>
        <r>
          <rPr>
            <b/>
            <sz val="9"/>
            <color rgb="FF000000"/>
            <rFont val="Tahoma"/>
            <family val="2"/>
          </rPr>
          <t xml:space="preserve">Amarillo:&lt;=0,05;&gt;=0,1
</t>
        </r>
        <r>
          <rPr>
            <b/>
            <sz val="9"/>
            <color rgb="FF000000"/>
            <rFont val="Tahoma"/>
            <family val="2"/>
          </rPr>
          <t>Rojo: &lt;=0,1</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<sst xmlns="http://schemas.openxmlformats.org/spreadsheetml/2006/main" count="9170" uniqueCount="2508">
  <si>
    <t>EMERGENCIAS</t>
  </si>
  <si>
    <t>Datos Generales Contratación</t>
  </si>
  <si>
    <t>Datos Financieros Gerencia y proyectos_ Si aplica</t>
  </si>
  <si>
    <t>#</t>
  </si>
  <si>
    <t>Contrato Marco</t>
  </si>
  <si>
    <r>
      <t xml:space="preserve">Entidad Contratante
</t>
    </r>
    <r>
      <rPr>
        <sz val="11"/>
        <color rgb="FFFFFF00"/>
        <rFont val="Volkswagen Serial"/>
        <family val="3"/>
      </rPr>
      <t>[Ejemplo: ADI | Secretaría de Obras Públicas | Edubar | PDO]</t>
    </r>
  </si>
  <si>
    <r>
      <t xml:space="preserve">Convenio o Contrato Interadministrativo
</t>
    </r>
    <r>
      <rPr>
        <sz val="11"/>
        <color rgb="FFFFFF00"/>
        <rFont val="Volkswagen Serial"/>
        <family val="3"/>
      </rPr>
      <t>[Si no aplica: N/A]</t>
    </r>
  </si>
  <si>
    <r>
      <t xml:space="preserve">Aliado Contrato Interadministrativo
</t>
    </r>
    <r>
      <rPr>
        <sz val="11"/>
        <color rgb="FFFFFF00"/>
        <rFont val="Volkswagen Serial"/>
        <family val="3"/>
      </rPr>
      <t>[Si no aplica: N/A]</t>
    </r>
  </si>
  <si>
    <r>
      <t xml:space="preserve">Fuente de Recurso
</t>
    </r>
    <r>
      <rPr>
        <sz val="11"/>
        <color rgb="FFFFFF00"/>
        <rFont val="Volkswagen Serial"/>
        <family val="3"/>
      </rPr>
      <t>[ Propios_Alcaldía |  Cofinanciación | Otros ]</t>
    </r>
  </si>
  <si>
    <r>
      <t xml:space="preserve">Fecha de Inicio
</t>
    </r>
    <r>
      <rPr>
        <sz val="11"/>
        <color rgb="FFFFFF00"/>
        <rFont val="Volkswagen Serial"/>
        <family val="3"/>
      </rPr>
      <t>[dd/mm/aaaa]</t>
    </r>
  </si>
  <si>
    <r>
      <t xml:space="preserve">Fecha de Terminación Inicial
</t>
    </r>
    <r>
      <rPr>
        <sz val="11"/>
        <color rgb="FFFFFF00"/>
        <rFont val="Volkswagen Serial"/>
        <family val="3"/>
      </rPr>
      <t>[dd/mm/aaaa]</t>
    </r>
  </si>
  <si>
    <r>
      <t xml:space="preserve">Fecha de Terminación Final
</t>
    </r>
    <r>
      <rPr>
        <sz val="11"/>
        <color rgb="FFFFFF00"/>
        <rFont val="Volkswagen Serial"/>
        <family val="3"/>
      </rPr>
      <t>[dd/mm/aaaa]</t>
    </r>
  </si>
  <si>
    <t>Valor inicial Contrato de Gerencia</t>
  </si>
  <si>
    <t>Valor total adicionado Contrato de Gerencia</t>
  </si>
  <si>
    <t>Valor total Contrato de Gerencia</t>
  </si>
  <si>
    <t>Valor para Gerencia</t>
  </si>
  <si>
    <t>Valor total Facturado Contrato de Gerencia</t>
  </si>
  <si>
    <t>Valor total Pagado Contrato de Gerencia</t>
  </si>
  <si>
    <r>
      <t xml:space="preserve">Valor para Ejecución 
</t>
    </r>
    <r>
      <rPr>
        <sz val="11"/>
        <color rgb="FFFFFF00"/>
        <rFont val="Volkswagen Serial"/>
        <family val="3"/>
      </rPr>
      <t>[Contrato Ejecución + Interventoría]</t>
    </r>
  </si>
  <si>
    <r>
      <t xml:space="preserve">Valor total Facturado Ejecución 
</t>
    </r>
    <r>
      <rPr>
        <sz val="11"/>
        <color rgb="FFFFFF00"/>
        <rFont val="Volkswagen Serial"/>
        <family val="3"/>
      </rPr>
      <t>[Contrato Ejecución + Interventoría]</t>
    </r>
  </si>
  <si>
    <r>
      <t xml:space="preserve">Valor total Pagado Ejecución 
</t>
    </r>
    <r>
      <rPr>
        <sz val="11"/>
        <color rgb="FFFFFF00"/>
        <rFont val="Volkswagen Serial"/>
        <family val="3"/>
      </rPr>
      <t>[Contrato Ejecución + Interventoría]</t>
    </r>
  </si>
  <si>
    <t>Observaciones</t>
  </si>
  <si>
    <t>ECOPARQUE UF1 Y TREN TAJAMAR</t>
  </si>
  <si>
    <t>Distrito Especial Industrial y Portuario de Barranquilla NIT. 890.102.018-1</t>
  </si>
  <si>
    <t>Contrato Interadministrativo No. 
CD-12-2020-2435</t>
  </si>
  <si>
    <t>N/A</t>
  </si>
  <si>
    <t>Cofinanciación</t>
  </si>
  <si>
    <t xml:space="preserve"> ECOPARQUE UF2</t>
  </si>
  <si>
    <t xml:space="preserve">1. Empresa Nacional Promotora del Desarrollo Territorial – Enterritorio – Ministerio de Hacienda y Crédito Público NIT 899.999.316-1 en calidad de mandatario del Departamento Nacional de Planeación (DNP) en virtud del Contrato Interadministrativo de Mandato DNP 877-2021 Enterritorio 221009 – ENTERRITORIO.
2. Distrito Especial Industrial y Portuario de Barranquilla NIT. 890.102.018-1
3. Establecimiento Público Ambiental Barranquilla Verde NIT. 901.034.433-0
</t>
  </si>
  <si>
    <t>Contrato Específico No. 2210698 Derivado del Pacto Funcional Atlántico - CONTRATO DE MANDATO N.º 221009 – Suscrito entre EL DNP Y ENTERRITORIO</t>
  </si>
  <si>
    <t>ENTERRITORIO</t>
  </si>
  <si>
    <t xml:space="preserve">
Distrito:  $ 16.408.845.503,32 
DNP: $105.000.000.000</t>
  </si>
  <si>
    <t xml:space="preserve"> </t>
  </si>
  <si>
    <t xml:space="preserve"> RECUPERACIÓN PLAYA PUERTO MOCHO</t>
  </si>
  <si>
    <t>Contrato Interadministrativo No.CD-12-2021-4477</t>
  </si>
  <si>
    <t xml:space="preserve">Distrito                            </t>
  </si>
  <si>
    <t>Se esra trámitando una prórroga al Contrato Interadministrativo por 2 meses más a partir de la fecha de terminación del mismo.</t>
  </si>
  <si>
    <t>GRAN BAZAR Y NUEVOS MERCADOS</t>
  </si>
  <si>
    <t>Contrato Interadministrativo No.
CD-57-2021-2989</t>
  </si>
  <si>
    <t>Gobernación del Atlántico
NIT: 890.102.006-1</t>
  </si>
  <si>
    <t>Cofinanciación Gobernación del Atlántico por valor de $17.500.000.000</t>
  </si>
  <si>
    <t>TEU - TRANSFORMACIÓN DE ENTORNOS URBANOS</t>
  </si>
  <si>
    <t>Contrato Interadministrativo No.
CD-57-2020-2438</t>
  </si>
  <si>
    <t>CAÑO DE LA AHUYAMA</t>
  </si>
  <si>
    <t>Contrato Específico No. 2210681 Derivado del Pacto Funcional Atlántico - CONTRATO DE MANDATO N.º 221009 – Suscrito entre EL DNP Y ENTERRITORIO</t>
  </si>
  <si>
    <t xml:space="preserve">
Distrito: $ 4.747.433.502,01
DNP: $ 99.979.996.094</t>
  </si>
  <si>
    <t>CICLOMONTAÑISMO</t>
  </si>
  <si>
    <t>CD-58-2021-4425</t>
  </si>
  <si>
    <t>HOSPITALES</t>
  </si>
  <si>
    <t>No. 012016001893</t>
  </si>
  <si>
    <t>Estampilla Prohospital
ICLD
FONPET</t>
  </si>
  <si>
    <t>BARRIOS A LA OBRA</t>
  </si>
  <si>
    <t>Contrato Interadministrativo No.
CD-12-2020-2429</t>
  </si>
  <si>
    <t>Propios_Alcaldía</t>
  </si>
  <si>
    <t xml:space="preserve">Se realizaron prorrogas y adiciones a contratos de obra e interventoria para ejecucion hasta 30 de julio del 2024 y con fecha de ejecucion de la gerencia hasta 30 de diciembre del 2024 </t>
  </si>
  <si>
    <t>AMPLIACIÓN Y MEJORAMIENTO DE IEDs</t>
  </si>
  <si>
    <t>Contrato Interadministrativo No.
CD-05-2022-3691</t>
  </si>
  <si>
    <t>Se adeuda la suma de $6.482.947.665,26</t>
  </si>
  <si>
    <t>MANTENIMIENTO DE LOS ESCENARIOS DEPORTIVOS DEL DISTRITO DE BARRANQUILLA</t>
  </si>
  <si>
    <t>Contrato Interadministrativo No.
CD-58-2023-3275</t>
  </si>
  <si>
    <t>Se adeuda la suma de $ 1.596.051.256,56</t>
  </si>
  <si>
    <t>ID</t>
  </si>
  <si>
    <t>Reporte a cargo de:</t>
  </si>
  <si>
    <t>Convenio o Contrato Interadministrativo</t>
  </si>
  <si>
    <t>Línea Estratégica Plan de Desarrollo 2024-2027</t>
  </si>
  <si>
    <t xml:space="preserve">Sectores </t>
  </si>
  <si>
    <t xml:space="preserve">Programas </t>
  </si>
  <si>
    <t>Nombre Proyecto</t>
  </si>
  <si>
    <t>Localidad</t>
  </si>
  <si>
    <t>Barrios</t>
  </si>
  <si>
    <t>Dirección</t>
  </si>
  <si>
    <t>Localización</t>
  </si>
  <si>
    <t>x</t>
  </si>
  <si>
    <t>y</t>
  </si>
  <si>
    <t>Estado Proyecto</t>
  </si>
  <si>
    <t>Subestado Proyecto</t>
  </si>
  <si>
    <t>Valor total de proyecto</t>
  </si>
  <si>
    <t>% Programado físico</t>
  </si>
  <si>
    <t>% Ejecutado físico</t>
  </si>
  <si>
    <t>Atraso</t>
  </si>
  <si>
    <t>Semáforo Cronograma</t>
  </si>
  <si>
    <t>Fecha de Adjudicación</t>
  </si>
  <si>
    <t>Fecha de Firma Contrato</t>
  </si>
  <si>
    <t>Fecha de Inicio</t>
  </si>
  <si>
    <t>Fecha de Terminación Inicial</t>
  </si>
  <si>
    <t>Fecha de Terminación Final</t>
  </si>
  <si>
    <t>Semáforo Fecha Terminación</t>
  </si>
  <si>
    <t>Semáforo Críticos</t>
  </si>
  <si>
    <t>¿Proyecto con ampliación de plazo contractual?</t>
  </si>
  <si>
    <t>Fecha estimada para terminación según prórroga a tramitar</t>
  </si>
  <si>
    <t>Fecha de Entrega</t>
  </si>
  <si>
    <t>No. Contrato Ejecución</t>
  </si>
  <si>
    <t>Nombre Contratista Ejecución</t>
  </si>
  <si>
    <t xml:space="preserve">Miembros Consorcios o UT </t>
  </si>
  <si>
    <t>Representante Legal</t>
  </si>
  <si>
    <t>No. Contrato Interventoría</t>
  </si>
  <si>
    <t>Nombre Contratista Interventoría</t>
  </si>
  <si>
    <t>Miembros Consorcios o UT 2</t>
  </si>
  <si>
    <t>Representante Legal3</t>
  </si>
  <si>
    <t>Valor inicial de Obra</t>
  </si>
  <si>
    <t>Valor total adicionado de obra</t>
  </si>
  <si>
    <t xml:space="preserve">Valor total de Obra </t>
  </si>
  <si>
    <t>Valor total Facturadode Obra</t>
  </si>
  <si>
    <t>Valor total Pagado de Obra</t>
  </si>
  <si>
    <t>Valor inicial de Interventoría</t>
  </si>
  <si>
    <t>Valor total adicionado de Interventoría</t>
  </si>
  <si>
    <t>Valor total de Interventoría</t>
  </si>
  <si>
    <t>Valor total Facturado de Interventoría</t>
  </si>
  <si>
    <t>Valor total Pagado de Interventoría</t>
  </si>
  <si>
    <r>
      <t xml:space="preserve">Población Beneficiada
</t>
    </r>
    <r>
      <rPr>
        <b/>
        <sz val="10"/>
        <color rgb="FFFFC000"/>
        <rFont val="Century Gothic"/>
        <family val="2"/>
      </rPr>
      <t>[ Indicar cantidad y tipo de población. Ej: 100 Estudiantes ]</t>
    </r>
  </si>
  <si>
    <t>Indicador 1</t>
  </si>
  <si>
    <t>Indicador 2</t>
  </si>
  <si>
    <t>Indicador 3</t>
  </si>
  <si>
    <t>Actividades Ejecutadas ultima semana</t>
  </si>
  <si>
    <t>Observaciones de acciones ejecutivas</t>
  </si>
  <si>
    <t>Emblemático Gerente</t>
  </si>
  <si>
    <t>Obras Públicas</t>
  </si>
  <si>
    <t>CD-12-2020-2429</t>
  </si>
  <si>
    <t>Línea Económica_Ciudad Dinámica</t>
  </si>
  <si>
    <t>Trasporte</t>
  </si>
  <si>
    <t xml:space="preserve">Barrios a la obra </t>
  </si>
  <si>
    <t>BarriosAlaObra-VII-2429 - BAO_Módulo 1</t>
  </si>
  <si>
    <t>Varias</t>
  </si>
  <si>
    <t>La Paz - El Carmen - Olaya - Santuario - Evaristo Sourdis - Villa San Pedro II - Villa Flor - Campo Alegre - Sevilla Real - Las Granjas - Villa Sevilla - Corregimiento La Playa - Alameda Del Rio - El Pueblo - Los Angeles III - Siete de Abril - Boyacá</t>
  </si>
  <si>
    <t>-</t>
  </si>
  <si>
    <t>10°58'6.7'' N	74°46'52.8'' O</t>
  </si>
  <si>
    <t>Postcontractual</t>
  </si>
  <si>
    <t>Terminado</t>
  </si>
  <si>
    <t>No</t>
  </si>
  <si>
    <t>EDU-356-2021</t>
  </si>
  <si>
    <t>CONSORCIO VIAL DISTRITAL</t>
  </si>
  <si>
    <t>HB INGENIEROS CIVILES S.A.S. (80%)
A.S.B. LIMITADA (10%) CONSTRUCCIONES CARCIV S.A.S. (10%)</t>
  </si>
  <si>
    <t>Alvaro Henriquez Medrano</t>
  </si>
  <si>
    <t>EDU-388-2021</t>
  </si>
  <si>
    <t>CONSORCIO INTERVIAS BARRANQUILLA</t>
  </si>
  <si>
    <t>COMPAÑÍA DE INTERVENTORIAS Y CONSULTORIAS DE LA COSTA S.A.S. (59%) ROCCIA S.A.S. (30%) CGB (10%) INEXIA S.A.S. (1%)</t>
  </si>
  <si>
    <t>CARLOS MASS GUERRERO</t>
  </si>
  <si>
    <t>4880 Habitantes</t>
  </si>
  <si>
    <t>Metros Lineales intervenidos</t>
  </si>
  <si>
    <t>Kilometros recuperados por Barrio</t>
  </si>
  <si>
    <t>Tramos viales inaugurados</t>
  </si>
  <si>
    <t>Proceso de liquidación</t>
  </si>
  <si>
    <t>BarriosAlaObra-VII-2429 - BAO_Módulo 2</t>
  </si>
  <si>
    <t>La Gloria - El Bosque - El Pueblo - California - Cordialidad - Villa San Pedro I - Villa San Carlos - Santo Domingo de Guzman</t>
  </si>
  <si>
    <t>EDU-357-2021</t>
  </si>
  <si>
    <t>BF CONSTRUYE SAS</t>
  </si>
  <si>
    <t>BF CONSTRUYE S.A.S. (100%)</t>
  </si>
  <si>
    <t>Maria Isabel Valenzuela Benitez</t>
  </si>
  <si>
    <t>EDU-389-2021</t>
  </si>
  <si>
    <t>CONSORCIO RUT 2021</t>
  </si>
  <si>
    <t>COINCO DE COLOMBIA S.A.S. (50%) INGENIERIA MASTER S.A.S. (25%) CONSULTORIA TECNICA DE OBRAS S.A.S. (25%)</t>
  </si>
  <si>
    <t>DAVINSON GRAVINI POLO</t>
  </si>
  <si>
    <t>3204 Habitantes</t>
  </si>
  <si>
    <t>BarriosAlaObra-VII-2429 - BAO_Módulo 3</t>
  </si>
  <si>
    <t>Suroccidente</t>
  </si>
  <si>
    <t>Por Fin - La Manga</t>
  </si>
  <si>
    <t>EDU-358-2021</t>
  </si>
  <si>
    <t>CONSTRUCTORA DE OBRAS DE VIVIENDA E INGENIERIA SAS (COVEIN)</t>
  </si>
  <si>
    <t>CONSTRUCTORA DE OBRAS DE VIVIENDA E INGENIERIA S.A.S. (COVEIN) (100%)</t>
  </si>
  <si>
    <t>Guillermo Alberto Cuello Gieseken</t>
  </si>
  <si>
    <t>588 Habitantes</t>
  </si>
  <si>
    <t xml:space="preserve">Se realizo actividades de Nivelación y replanteo de via, Excavación y retiro de material, Señalizacion de frentes de obra, instalación de relleno en material seleccionado, instalación de concreto fluido, fundida en pavimento en concreto rigido </t>
  </si>
  <si>
    <t>BarriosAlaObra-VII-2429 - BAO_Módulo 4</t>
  </si>
  <si>
    <t>Metropolitana</t>
  </si>
  <si>
    <t>Siete de Abril</t>
  </si>
  <si>
    <t>EDU-359-2021</t>
  </si>
  <si>
    <t>CONSORCIO BARRIOS A LA OBRA 2021</t>
  </si>
  <si>
    <t>EDUARDO ENRIQUE CABALLERO AVILA (50%) 
CONSTRUCCIONES E INVERSIONES FVR S.A.S. (40%) 
PROYECTOS DE INGENIERÍA INOSVA S.A.S. (10%)</t>
  </si>
  <si>
    <t>Eduardo Enrique Caballero Avila</t>
  </si>
  <si>
    <t>2392 Habitantes</t>
  </si>
  <si>
    <t>Tramites de recibo final y terminacion, cierres de actas de vecindad, pqrs y pendientes en campo</t>
  </si>
  <si>
    <t>BarriosAlaObra-VII-2429 - BAO_Módulo 5</t>
  </si>
  <si>
    <t>Colombia - El Porvenir - Altos del Limon - Centro - Villa Santos - Las Americas - Las Malvinas - Barrios Abajo - La Chinita - Las Flores - San Salvador - San Francisco - La Luz - Chiquinquira - Las Mercedes - Los Jobos - San Jose - La Victoria - Las Delicias - La Ceiba - San Felipe - Olaya Herrera - Las Estrellas - La Florida - Santa Maria - San Luis - Los Andes</t>
  </si>
  <si>
    <t>EDU-360-2021</t>
  </si>
  <si>
    <t>A CONSTRUIR SA</t>
  </si>
  <si>
    <t>A CONSTRUIR S.A. (100%)</t>
  </si>
  <si>
    <t>Ivan Alberto Jimenez Aguirre</t>
  </si>
  <si>
    <t>3100 Habitantes</t>
  </si>
  <si>
    <t>BarriosAlaObra-VII-2429 - BAO_Módulo 6</t>
  </si>
  <si>
    <t>Las Americas - Santuario - Las Malvinas - Ciudadela 20 de Julio - Ciudad Modesto</t>
  </si>
  <si>
    <t>EDU-361-2021</t>
  </si>
  <si>
    <t>DONADO ARCE &amp; CIA SAS</t>
  </si>
  <si>
    <t>DONADO ARCE &amp; CIA S.A.S. (100%)</t>
  </si>
  <si>
    <t>Roberto Carlo Donado Arce</t>
  </si>
  <si>
    <t>2916 Habitantes</t>
  </si>
  <si>
    <t>BarriosAlaObra-VII-2429 - BAO_Módulo 7</t>
  </si>
  <si>
    <t>El Bosque - El Eden 2000 - Florida Sur - Evaristo Sourdis - Villa del Rosario - Ciudad Jardin - Las Estrellas</t>
  </si>
  <si>
    <t>EDU-362-2021</t>
  </si>
  <si>
    <t>CONSTRUCTORA FG SA</t>
  </si>
  <si>
    <t>CONSTRUCTORA FG S.A. (100%)</t>
  </si>
  <si>
    <t>Eduardo Santos Martinez</t>
  </si>
  <si>
    <t>2248 Habitantes</t>
  </si>
  <si>
    <t>BarriosAlaObra-VII-2429 - BAO_Módulo 8</t>
  </si>
  <si>
    <t>Me Quejo - San Felipe - Carlos Meisel - La Esmeralda - La Libertad</t>
  </si>
  <si>
    <t>EDU-363-2021</t>
  </si>
  <si>
    <t>CONSORCIO VIAS URBANAS BARRANQUILLA 2021</t>
  </si>
  <si>
    <t>SOLUCIONES DE INFRAESTRUCTURA Y LOGISTICA S.A.S. (60%)
TOSHIRA KENETSU S.A.S. (15%)
INFRAESTRUCTURA TÉCNICA COLOMBIANA S.A.S. (25%)</t>
  </si>
  <si>
    <t>Fabiam Alvarado Paternina</t>
  </si>
  <si>
    <t>2048 Habitantes</t>
  </si>
  <si>
    <t>BarriosAlaObra-VII-2429 - BAO_Módulo 9</t>
  </si>
  <si>
    <t>Barlovento - Kalamary - San Roque</t>
  </si>
  <si>
    <t>EDU-364-2021</t>
  </si>
  <si>
    <t>CONSORCIO MODULO IX</t>
  </si>
  <si>
    <t>CARLOS JOAQUIN PUCHE LIZARAZO (80%)
DBD INGENIERIA S.A.S. (20%)</t>
  </si>
  <si>
    <t>Carlos Joaquin Puche Lizarazo</t>
  </si>
  <si>
    <t>440 Habitantes</t>
  </si>
  <si>
    <t>BarriosAlaObra-VII-2429 - BAO_Módulo 10</t>
  </si>
  <si>
    <t>Los Angeles - Los Angeles II - Los Angeles III - Las Nieves - Simon Bolivar</t>
  </si>
  <si>
    <t>EDU-365-2021</t>
  </si>
  <si>
    <t>CARLOS JOAQUIN PUCHE LIZARAZO</t>
  </si>
  <si>
    <t>CARLOS JOAQUIN PUCHE LIZARAZO (100%)</t>
  </si>
  <si>
    <t>1400 Habitantes</t>
  </si>
  <si>
    <t>BarriosAlaObra-VII-2429 - BAO_Módulo 11</t>
  </si>
  <si>
    <t>Alboraya - Carrizal - Las Palmas - Primero de Mayo - San Nicolas - Siape - Buenos Aires</t>
  </si>
  <si>
    <t>EDU-366-2021</t>
  </si>
  <si>
    <t>CONSORCIO ATLANTA</t>
  </si>
  <si>
    <t>IDC 21 S.A.S. (55%) PROYECTOS DE INGENIERIA Y CONSTRUCCIONES A.R. S.A.S. (40%)
AZUL CONSTRUCCIÓN Y MINERIA S.A.S. (5%)</t>
  </si>
  <si>
    <t>Ismael Enrique Gomez Prada</t>
  </si>
  <si>
    <t>La Playa - Los Olivos I - Los Olivos II - El Pueblo - La Pradera</t>
  </si>
  <si>
    <t>Liquidado</t>
  </si>
  <si>
    <t>EDU-367-2021</t>
  </si>
  <si>
    <t>CONSORCIO AZUL</t>
  </si>
  <si>
    <t>CARLOS ALBERTO ROZO NADER (50%)
AZUL CONSTRUCCIÓN Y MINERIA S.A.S. (50%)</t>
  </si>
  <si>
    <t>Carlos Alberto Rozo Nader</t>
  </si>
  <si>
    <t>1408 Habitantes</t>
  </si>
  <si>
    <t>ACTIVIDADES FINALIZADAS</t>
  </si>
  <si>
    <t>CD-12-2024-0002</t>
  </si>
  <si>
    <t>VARIOS</t>
  </si>
  <si>
    <t>Contractual</t>
  </si>
  <si>
    <t>En_Ejecución</t>
  </si>
  <si>
    <t>SA-EDU-021-2024</t>
  </si>
  <si>
    <t>CONSORCIO VIAS BAREM</t>
  </si>
  <si>
    <t>BARMAR CONSTRUCCIONES S.A.S (NIT 901.234.686-5) 90%
EMIRO CARLOS BARGUIL CUBILLOS (CC 78.034.207) 10%</t>
  </si>
  <si>
    <t>EMIRO CARLOS BARGUIL CUBILLOS</t>
  </si>
  <si>
    <t>CONSORCIO DS</t>
  </si>
  <si>
    <t>SESAC S.A (NIT 800.064.761-3) 90%
DEIGMA S.A.S (NIT 900.498.688-9) 10%</t>
  </si>
  <si>
    <t>ALEJANDRO ALBA QUINTERO</t>
  </si>
  <si>
    <t>Valor estimado por metro lineal del tramo, se realizan actividades de socializaciones en campo con la comunidad y levantamiento de actas de vecindad</t>
  </si>
  <si>
    <t>BAO_VIII_0002_M2</t>
  </si>
  <si>
    <t>SA-EDU-007-2024</t>
  </si>
  <si>
    <t>CONSORCIO SAN CHARBEL EDU</t>
  </si>
  <si>
    <t>COTES &amp; COTES S.A.S (NIT 900.336.724-1) 70%
REDES VIALES Y CONSTRUCCIONES S.A.S (NIT 900.606.651-6) 10%
FUNDACIÓN OCEANIA 2030 (NIT 901.378.017-6) 10%
CONSTRUCCIONES ELITE 2000 S.A.S (NIT 901.636.617-2) 10%</t>
  </si>
  <si>
    <t>CARLOS KARLO COTES MADERA</t>
  </si>
  <si>
    <t>BAO_VIII_0002_M3</t>
  </si>
  <si>
    <t>SA-EDU-008-2024</t>
  </si>
  <si>
    <t>CONSORCIO VIAS URBANAS 2024</t>
  </si>
  <si>
    <t>PLANETA PROYECTOS Y OBRAS S.A.S (NIT 901.020.571-8) 90%
R&amp;D INGENIERIA Y ARQUITECTURA S.A.S (NIT 900.554.914-9) 10%</t>
  </si>
  <si>
    <t>CARLOS JOSÉ MARTÍNEZ HERNÁNDEZ</t>
  </si>
  <si>
    <t>BAO_VIII_0002_M4</t>
  </si>
  <si>
    <t>SA-EDU-009-2024</t>
  </si>
  <si>
    <t>CONSORCIO G3 PAVIMENTAR BARRANQUILLA 24</t>
  </si>
  <si>
    <t>CONSTRUCCIONES Y DISEÑOS STEVENSON HERMANOS S.A.S Y/O CONDIS S.A.S (NIT 802.017.107-3) 45%
MOVICONTRUCCIONES S.A.S (NIT 900.068.501-6) 45%
CONSTRUCCIONES E INTERVENTORIA LEGAL S.A.S (NIT 900.606.675-8) 10%</t>
  </si>
  <si>
    <t>IVAN ENRIQUE STEVENSON DEL VECCHIO</t>
  </si>
  <si>
    <t>BAO_VIII_0002_M5</t>
  </si>
  <si>
    <t>SA-EDU-010-2024</t>
  </si>
  <si>
    <t>CONSORCIO EDUBAR 2024</t>
  </si>
  <si>
    <t>OBRAS INTERVENTORIAS Y SUMINISTROS S.A.S (NIT 900.974.081-0) 90%
INGENIERIA RYD S.A.S (NIT 901.499.915-4) 10%</t>
  </si>
  <si>
    <t>CARMELO FAILLACE SAID</t>
  </si>
  <si>
    <t>Se realizaron actividades de pavimentacion en concreto reforzado, andenes y bordillos.</t>
  </si>
  <si>
    <t>BAO_VIII_0002_M6</t>
  </si>
  <si>
    <t>SA-EDU-023-2024</t>
  </si>
  <si>
    <t>CONSORCIO VIAS QUILLA</t>
  </si>
  <si>
    <t>SOSDOM S.A.S (NIT 829.001.805-4) 50%
RE-INGENIERIA S.A.S (NIT 900.206.366-0) 50%</t>
  </si>
  <si>
    <t>SANTIAGO ANDRES DOMINGUEZ CAÑA</t>
  </si>
  <si>
    <t>PROYECTOS E INTERVENTORIAS S.A.S PI S.A.S</t>
  </si>
  <si>
    <t>WILSON GIOVANNI URREA URREA</t>
  </si>
  <si>
    <t>Se realizan actividades de socializaciones en campo con la comunidad</t>
  </si>
  <si>
    <t>BAO_VIII_0002_M7</t>
  </si>
  <si>
    <t>SA-EDU-004-2024</t>
  </si>
  <si>
    <t>CONSORCIO COMPETITIVIDAD BARRANQUILLA</t>
  </si>
  <si>
    <t>ESDRAS MD INGENIERIA S.A.S (NIT 900.816.446-2) 40%
ALVARO HERNANDO CALDERON TORO (CC 16.625.689) 60%</t>
  </si>
  <si>
    <t>ALVARO HERNANDO CALDERON TORO</t>
  </si>
  <si>
    <t>Espacio Publico recuperado</t>
  </si>
  <si>
    <t>Area recuperada para vehiculos</t>
  </si>
  <si>
    <t>BAO_VIII_0002_M8</t>
  </si>
  <si>
    <t>SA-EDU-011-2024</t>
  </si>
  <si>
    <t>CONSORCIO DP 2024</t>
  </si>
  <si>
    <t>DONADO ARCE Y CIA S.A.S (NIT 890.111.275-4) 90%
PACANO S.A.S (NIT 900.565.619-8) 10%</t>
  </si>
  <si>
    <t>ROBERTO CARLO DONADO ARCE</t>
  </si>
  <si>
    <t>Se Beneficia el sector de la salud, zonas educativas y puntos comerciales</t>
  </si>
  <si>
    <t>BAO_VIII_0002_M9</t>
  </si>
  <si>
    <t>SA-EDU-005-2024</t>
  </si>
  <si>
    <t>CONSORCIO DESARROLLO VIAL BARRANQUILLA</t>
  </si>
  <si>
    <t>CONGLOMERADOTECNICO COLOMBIANO S.A.S (NIT 802.005.436-1) 90%
JMD INGENIERIA DE PROYECTOS S.A.S (NIT 900.436.384-1) 10%</t>
  </si>
  <si>
    <t>LP-026-2024</t>
  </si>
  <si>
    <t>LP-026-2024 LOTE 1</t>
  </si>
  <si>
    <t>CONSORCIO VIAS URBANAS BQ</t>
  </si>
  <si>
    <t>CONVIAS: 90% (NIT 802.008.095-5) ENGENIERIA S.A.S (NIT 900.595.646-5) 10%</t>
  </si>
  <si>
    <t>LUIS FRANCISCO OVALLE LLINAS</t>
  </si>
  <si>
    <t>CD-12-2025-3646</t>
  </si>
  <si>
    <t>NO APLICA</t>
  </si>
  <si>
    <t>Km por Intervenir: 16.83
Km Intervenidos: 1.17</t>
  </si>
  <si>
    <t>Área por Intervenir: 10.13
Área Intervenida: 5.69</t>
  </si>
  <si>
    <t>LP-026-2024 LOTE 2</t>
  </si>
  <si>
    <t>UT VIAL URBANO BARRANQUILLA</t>
  </si>
  <si>
    <t>PEZ VELA INGENIERÍA SAS: 99% (NIT. 901.376.745-0) CFD INGENIERÍA SAS (NIT. 900.556.186-
2) 1%</t>
  </si>
  <si>
    <t>CARLOS FRANCISCO DIAZGRANADOS</t>
  </si>
  <si>
    <t>Km por Intervenir: 15.94
Km Intervenidos: 0.21</t>
  </si>
  <si>
    <t>Área por Intervenir: 6.99
Área Intervenida: 2.79</t>
  </si>
  <si>
    <t>LP-026-2024 LOTE 3</t>
  </si>
  <si>
    <t>UT PAVIMENTOS 2025</t>
  </si>
  <si>
    <t>JS INGENIERIA Y CONSTRUCCIONES SAS: 50% (NIT. 830.504.499-6) J.A. &amp; ASOCIADOS SAS: 50% (NIT. 890.116.998-3)</t>
  </si>
  <si>
    <t>JOSE JULIAN SAADE CURE</t>
  </si>
  <si>
    <t>Km por Intervenir: 14.97
Km Intervenidos: 0.86</t>
  </si>
  <si>
    <t>Área por Intervenir: 8.97
Área Intervenida: 4.35</t>
  </si>
  <si>
    <t>LP-026-2024 LOTE 4</t>
  </si>
  <si>
    <t>CONSORCIO VIAS BARRANQUILLA 2025</t>
  </si>
  <si>
    <t>MOTA - ENGIL COLOMBIA S.A.S: 89,99% (NIT. 900.411.315-3); COLOMBIA ME S.A.S: 10% (NIT 901.532.801-4 ); MOTA-ENGIL ENGENHARIA E CONSTRUCAO S.A. SUCURSAL COLOMBIA: 0,01% (NIT. 900.447.078-8)</t>
  </si>
  <si>
    <t>NUNO TELMO CIPRIANO VIANA ABRANCHES</t>
  </si>
  <si>
    <t>Km por Intervenir: 14.32
Km Intervenidos: 0.69</t>
  </si>
  <si>
    <t>Área por Intervenir: 8.55
Área Intervenida: 2.31</t>
  </si>
  <si>
    <t>LP-026-2024 LOTE 5</t>
  </si>
  <si>
    <t>Km por Intervenir: 20.20
Km Intervenidos: 0.57</t>
  </si>
  <si>
    <t>Área por Intervenir: 8.16
Área Intervenida: 2.63</t>
  </si>
  <si>
    <t>Cultura</t>
  </si>
  <si>
    <t>Conchas Acústicas</t>
  </si>
  <si>
    <t>Concha Acústica CONIDEC</t>
  </si>
  <si>
    <t>CIUDADELA 20 DE JULIO</t>
  </si>
  <si>
    <t>C 49 K 5B Sur</t>
  </si>
  <si>
    <t>10,927544 N. -74,810228W</t>
  </si>
  <si>
    <t>SA-020-2022</t>
  </si>
  <si>
    <t>CONSORCIO CEDINPRO</t>
  </si>
  <si>
    <t xml:space="preserve">Turpial Ingeniería S.A.S.(70%) 
Central De Ingeniería y Proyectos S.A.S. (30%) 
</t>
  </si>
  <si>
    <t>Cristian David Jimenez Yejas</t>
  </si>
  <si>
    <t>Instalación de láminas de alucobond para paneles acústicos
Suministro e instalación de barandas
Suministro e Instalación de Divisiones de baños en acero.
Instalación de piedra muñeca en tarima.
Pintura</t>
  </si>
  <si>
    <t>Pendiente arreglo de observaciones, detalles y no conformidades establecidas en el acta de terminación.</t>
  </si>
  <si>
    <t>Desarrollo_urbano</t>
  </si>
  <si>
    <t>Malecón de Sur Oriente</t>
  </si>
  <si>
    <t>Gran Malecón de Sur Oriente - Losa Canal</t>
  </si>
  <si>
    <t>Arroyo rebolo de la 30 a la 8</t>
  </si>
  <si>
    <t>10°57'33.9"N 74°47'04.3"W</t>
  </si>
  <si>
    <t>LP-002-2024</t>
  </si>
  <si>
    <t>CONSORCIO SAN FELIPE</t>
  </si>
  <si>
    <t>COLOMBIA ME S.A.S. 99.99%; MOTA-ENGIL PERÚ S.A. SUCURSAL COLOMBIA 0.01%</t>
  </si>
  <si>
    <t>Nuno Telmo Cipriano Viana Abranches</t>
  </si>
  <si>
    <t>CD-12-2024-2106</t>
  </si>
  <si>
    <t>EDUBAR S.A.</t>
  </si>
  <si>
    <t>ANGELLY CRIALES ANIBAL</t>
  </si>
  <si>
    <t>Kg de  acero suministrado : 790.340 Kg</t>
  </si>
  <si>
    <t>Se realizaron perforaciones de anclaje en muros. Se avanzó en el ajuste de los diseños estructurales. Se avanzó en el armado de vigas y galvanizado de las mismas. Se Instalaron las primeras 20 vigas de acero en el canal.</t>
  </si>
  <si>
    <t>Gran Malecón de Sur Oriente - Losa Canal 2</t>
  </si>
  <si>
    <t>NA</t>
  </si>
  <si>
    <t>Plazas de Mercado</t>
  </si>
  <si>
    <t>MP - Mercado EPM</t>
  </si>
  <si>
    <t>VILLANUEVA</t>
  </si>
  <si>
    <t>Cl 30 44  100</t>
  </si>
  <si>
    <t xml:space="preserve"> 10°59'0.05"N. 74°46'35.27"W</t>
  </si>
  <si>
    <t>012017-002333</t>
  </si>
  <si>
    <t>CONSORCIO BARRANQUILLA CAN 2017</t>
  </si>
  <si>
    <t>CONSULTORIA E IMÁGENES S.A.S.
AGOPLAS S.A.S.</t>
  </si>
  <si>
    <t>Jairo Contreras Rincon</t>
  </si>
  <si>
    <t>012017-002447</t>
  </si>
  <si>
    <t>CONSORCIO BARRANQUILLA 2019</t>
  </si>
  <si>
    <t>GEINCIVILES  S.A.S. (25%) VALLEJO H INGENIEROS (75%)</t>
  </si>
  <si>
    <t>Fabian Vallejo</t>
  </si>
  <si>
    <t>Construccion de 415 locales</t>
  </si>
  <si>
    <t xml:space="preserve">Se enrgizo definitivamente el mercado </t>
  </si>
  <si>
    <t>MP - Mercado de Granos</t>
  </si>
  <si>
    <t>CENTRO</t>
  </si>
  <si>
    <t>Cra 40 28 04</t>
  </si>
  <si>
    <t xml:space="preserve"> 10°58'40.07"N  74°46'30.88"W</t>
  </si>
  <si>
    <t>Construccion de 131 locales</t>
  </si>
  <si>
    <t>INSTALACION DE ESTRUCTURA METALICA,  INSTALACION DE CORREAS,  RELLENO LOCALES EXTERNOS, CONFORMACION DEL ESPACIO PUBLICO</t>
  </si>
  <si>
    <t>pendiente reubicacion de locatarios externos para culminacion de la instalacion de la estructura metalica</t>
  </si>
  <si>
    <t>Si</t>
  </si>
  <si>
    <t>Línea Social_Ciudad Segura y Solidaria</t>
  </si>
  <si>
    <t>Seguridad</t>
  </si>
  <si>
    <t>CAI</t>
  </si>
  <si>
    <t>CAI Santa Maria</t>
  </si>
  <si>
    <t>SANTA MARIA</t>
  </si>
  <si>
    <t xml:space="preserve">Cra. 1 sur No. 91 esquina </t>
  </si>
  <si>
    <t xml:space="preserve"> 10°56'3.44"N  74°49'31.83"W</t>
  </si>
  <si>
    <t>Entregado</t>
  </si>
  <si>
    <t>LP-006-2021</t>
  </si>
  <si>
    <t>CONSTRUCCIONES DANFEL SAS</t>
  </si>
  <si>
    <t>Eduardo Santos</t>
  </si>
  <si>
    <t>CM-002-2021</t>
  </si>
  <si>
    <t>CONSORCIO MEDIA LUNA</t>
  </si>
  <si>
    <t>INGECINCO LTDA, ( 50%) y JUAN ANDRES CASTRO HERNANDEZ ( 50%)</t>
  </si>
  <si>
    <t>Alvaro Rodriguez Perez</t>
  </si>
  <si>
    <t>CAI terminado e Inagurado</t>
  </si>
  <si>
    <t>CAI La Paz</t>
  </si>
  <si>
    <t>LA PAZ</t>
  </si>
  <si>
    <t xml:space="preserve">Cra. 13 No. 106 esquina </t>
  </si>
  <si>
    <t xml:space="preserve"> 10°57'57.86"N. 74°50'4.54"W</t>
  </si>
  <si>
    <t>pañetes y pintura, obra gris</t>
  </si>
  <si>
    <t>CAI Santo Domingo</t>
  </si>
  <si>
    <t>SANTO DOMINGO DE GUZMAN</t>
  </si>
  <si>
    <t>Cra. 2 No. 62 esquina</t>
  </si>
  <si>
    <t xml:space="preserve"> 10°56'10.02"N. 74°48'57.74"W</t>
  </si>
  <si>
    <t>Cai Terminado e Inagurado</t>
  </si>
  <si>
    <t>Malla Vial</t>
  </si>
  <si>
    <t>Intercambiador_Alameda_CRA43</t>
  </si>
  <si>
    <t>ALAMEDA DEL RIO</t>
  </si>
  <si>
    <t xml:space="preserve">Gerencia de Ciudad </t>
  </si>
  <si>
    <t xml:space="preserve">Edificaciones culturales </t>
  </si>
  <si>
    <t>Museo de Arte Moderno de Barranquilla (MAMBAQ)</t>
  </si>
  <si>
    <t>Norte_Centro_Histórico</t>
  </si>
  <si>
    <t>Barrio Abajo</t>
  </si>
  <si>
    <t>Cl 36 46 66</t>
  </si>
  <si>
    <t xml:space="preserve"> 10°59'12.86"N  74°46'41.32"W</t>
  </si>
  <si>
    <t>LP-010-2024</t>
  </si>
  <si>
    <t>CONSORCIO MUSEO DE ARTE 010</t>
  </si>
  <si>
    <t>CD-52-2024-3636</t>
  </si>
  <si>
    <t>Levantamiento de actas de vecindad y revisión de estudios y diseños.</t>
  </si>
  <si>
    <t>EDUBAR</t>
  </si>
  <si>
    <t>CD-12-2020-2435</t>
  </si>
  <si>
    <t>Línea Ambiental_Ciudad Ambiental y Sostenible</t>
  </si>
  <si>
    <t>EcoTurismo</t>
  </si>
  <si>
    <t>EcoParque Mallonquín</t>
  </si>
  <si>
    <t>Ecoparque Mallorquin-2435 - UF-1</t>
  </si>
  <si>
    <t>Riomar</t>
  </si>
  <si>
    <t>La Playa</t>
  </si>
  <si>
    <t>11°01'51"N 74°50'35"W</t>
  </si>
  <si>
    <t>EDU-561-2021</t>
  </si>
  <si>
    <t>CONSORCIO JCO MALLORQUÍN</t>
  </si>
  <si>
    <t>JACUR S.A.S 75% &amp; OBRACI CONSTRUCCIONES S.A.S 25%</t>
  </si>
  <si>
    <t>Adalberto Vivero Coronel</t>
  </si>
  <si>
    <t>EDU-566-2021</t>
  </si>
  <si>
    <t>CONSORCIO UF1 MALLORQUÍN</t>
  </si>
  <si>
    <t>INGENIERÍA DE PROYECTOS S.A.S 60% &amp; INP SERVICIOS S.A.S 40%</t>
  </si>
  <si>
    <t>PEDRO ANTONIO GUTIERREZ VISBAL</t>
  </si>
  <si>
    <t xml:space="preserve">Se estima que influye directamente en el barrios las Flores con un número de 7.900 habitantes aproximadamente y en el Corregimiento La Playa con el número de 12.648 habitantes. </t>
  </si>
  <si>
    <t xml:space="preserve">uso sostenible por  parte de la población y el fortalecimiento del ecoturismo. </t>
  </si>
  <si>
    <t>Impacto en la población potencializando la vocación turistica del sector y el sentido de pertenencia hacia la cienaga y el ma</t>
  </si>
  <si>
    <t xml:space="preserve">Desarrollar una zona de esparcimiento público y de encuentro con la naturaleza. </t>
  </si>
  <si>
    <t>proceso de liquidación</t>
  </si>
  <si>
    <t>Ecoparque Mallorquin-0698 - UF-2</t>
  </si>
  <si>
    <t>11°02'07.5"N 74°50'18.8"W</t>
  </si>
  <si>
    <t>EDU-267-2022</t>
  </si>
  <si>
    <t>TICOM</t>
  </si>
  <si>
    <t> </t>
  </si>
  <si>
    <t>Jose Maria Vecino Villarreal</t>
  </si>
  <si>
    <t>EDU-279-2022</t>
  </si>
  <si>
    <t>CONSORCIO ECOPARQUES</t>
  </si>
  <si>
    <t>HM INGENIERA S.A.S                       INGENIERIA MASTER S.A.S.       INGENIERIA MATRIZ S.A.S.</t>
  </si>
  <si>
    <t>LILIANA MARGARITA ARAOS BERARDINELLI</t>
  </si>
  <si>
    <t>Tren Turistico</t>
  </si>
  <si>
    <t>Ecoparque Mallorquin-2435 - Tren Tajamar</t>
  </si>
  <si>
    <t>Las Flores</t>
  </si>
  <si>
    <t>11°02'42"N 74°49'37"W</t>
  </si>
  <si>
    <t>EDU-783-2021</t>
  </si>
  <si>
    <t>CONSORCIO TREN MALLORQUÍN</t>
  </si>
  <si>
    <t>AMBIENTALES Y CONSTRUCCIÓN  S.A.S 50% &amp; INGECON S.A. 50%</t>
  </si>
  <si>
    <t>Andres Felipe Sorzano</t>
  </si>
  <si>
    <t>EDU-784-2021</t>
  </si>
  <si>
    <t>CONSORCIO MALLORQUÍN</t>
  </si>
  <si>
    <t>TNM LIMITED 50% &amp; BLANCA LILLYAM TABARES 50%</t>
  </si>
  <si>
    <t>BLANCA LILLYAM TABARES</t>
  </si>
  <si>
    <t>8000 personas beneficiadas directamente en el Barrio de Las Flores</t>
  </si>
  <si>
    <t>mejoramiento de la vía actual, incluir un sendero peatonal y cicloruta</t>
  </si>
  <si>
    <t xml:space="preserve"> recuperación de los vagones y su riel con dos estaciones para la recogida de pasajeros</t>
  </si>
  <si>
    <t>Pontencializar la vocación turistica del sector.</t>
  </si>
  <si>
    <t>En proceso de liquidación.</t>
  </si>
  <si>
    <t>CD-12-2021-4477</t>
  </si>
  <si>
    <t>Recuperación Playas de Puerto Mocho</t>
  </si>
  <si>
    <t>Playa de Puerto Mocho (Playa 2)</t>
  </si>
  <si>
    <t>11°03'16"N 74°50'26"W</t>
  </si>
  <si>
    <t>EDU-275-2022</t>
  </si>
  <si>
    <t>UNION TEMPORAL PUERTO MAR</t>
  </si>
  <si>
    <t xml:space="preserve">SEACOR S.A.S. E.S.P. (51%)  ESI DE COLOMBIA S.A.S (40%)                                            VIÑAS RUSSI (9%)                         </t>
  </si>
  <si>
    <t>Rafi Farh Carbonell</t>
  </si>
  <si>
    <t>EDU-343-2022</t>
  </si>
  <si>
    <t>CONSORCIO CAYNEXIA</t>
  </si>
  <si>
    <t>CAYENA CONSULTORES E INTERVENTORES S.A.S. (80%)                                   INEXIA S.A.S. (20%)</t>
  </si>
  <si>
    <t>LUIS BAUTISTA CARVAJAL</t>
  </si>
  <si>
    <t xml:space="preserve">recuperar el valor natural de la playa y generar nuevos atractivos 
que posibiliten la reactivación del turismo sostenible y responsable. </t>
  </si>
  <si>
    <t xml:space="preserve">Desarrollar 
estrategias integrales, que permitan consolidar el entorno creando conexiones e 
interacciones con nuevos equipamientos como el Ecoparque Ciénaga de mallorquín y potenciando la 
accesibilidad a través del tren turístico las Flores. </t>
  </si>
  <si>
    <t>rehabilitar la playa y convertirla en un 
espacio de intercambio cultural y social, con diferentes usos, que favorezcan la economía del sector y 
que revitalicen el borde costero del atlántico y lo integren con la ciudad.</t>
  </si>
  <si>
    <t>Playa de Puerto Mocho - Adición No.1 (playa 1)</t>
  </si>
  <si>
    <t>CD-57-2021-2989</t>
  </si>
  <si>
    <t>MP-2989 - Mercado Tajamar</t>
  </si>
  <si>
    <t>calle 106 con 111</t>
  </si>
  <si>
    <t>EDU-868-2021</t>
  </si>
  <si>
    <t>CONSORCIO MERCADOS BARRANQUILLA 2022</t>
  </si>
  <si>
    <t xml:space="preserve">AE INGENIEROS CIVILES SAS (99%) 
CABV CONSULTORIA Y CONSTRUCCIONES SAS (1%)
</t>
  </si>
  <si>
    <t xml:space="preserve">Antonio Escorcia
</t>
  </si>
  <si>
    <t>EDU-264-2022</t>
  </si>
  <si>
    <t>CONSORCIO MP BARRANQUILLA</t>
  </si>
  <si>
    <t>ECOVIAS S.A.S (70%)
ALPHA GRUPO CONSULTOR E INTERVENTOR S.A.S (30%)</t>
  </si>
  <si>
    <t>LUIGGI PUGLIESE MERCADO</t>
  </si>
  <si>
    <t>8000 personas beneficiadas en el Barrio de Las Flores</t>
  </si>
  <si>
    <t>liberacion de areas de espacio publico( vias, andenes)</t>
  </si>
  <si>
    <t>mejoramiento de infraestructura publica</t>
  </si>
  <si>
    <t>impulso economico mediante incremento de turistas en la zona</t>
  </si>
  <si>
    <t>MP-2989 - Mercado Sredni</t>
  </si>
  <si>
    <t xml:space="preserve">Centro </t>
  </si>
  <si>
    <t>calle 38 con 43</t>
  </si>
  <si>
    <t>10°58'54"N 74°46'48"W</t>
  </si>
  <si>
    <t>155 vendedores que ocupaban el espacio publico</t>
  </si>
  <si>
    <t>dignificacion de labor de trabajo</t>
  </si>
  <si>
    <t>mejoramiento de sanidad en espacio publico</t>
  </si>
  <si>
    <t>MP-2989 - Mercado Del Rio</t>
  </si>
  <si>
    <t>La Loma</t>
  </si>
  <si>
    <t>10°59'35.0"N 74°46'11.9"W</t>
  </si>
  <si>
    <t>341 vendedores que ocupan el espacio publico actualemente seran ubicados en el proyecto</t>
  </si>
  <si>
    <t>MP-2989 - Mercado La Magola</t>
  </si>
  <si>
    <t>Centro</t>
  </si>
  <si>
    <t>cra 42B entre calles 31 y 33</t>
  </si>
  <si>
    <t>10°58'46"N 74°46'32"W</t>
  </si>
  <si>
    <t>328 locales mejorados</t>
  </si>
  <si>
    <t>Mejoramiento de cubierta</t>
  </si>
  <si>
    <t>mejoramiento de zonas de circulacion</t>
  </si>
  <si>
    <t>MP-2989 - Parqueadero Multiproposito Barlovento</t>
  </si>
  <si>
    <t>Barlovento</t>
  </si>
  <si>
    <t>C 9A 46A 115</t>
  </si>
  <si>
    <t>10°59'11"N 74°46'32"W</t>
  </si>
  <si>
    <t>16 refresquerias y 6 restaurantes en los cuales se les mejoro su infraestructura</t>
  </si>
  <si>
    <t>mejoramiento de cocinas</t>
  </si>
  <si>
    <t>MP-2989 - Mercado Gran Bazar</t>
  </si>
  <si>
    <t>Barranquillita</t>
  </si>
  <si>
    <t>C 9 41N 52</t>
  </si>
  <si>
    <t>10°58'45"N 74°46'20"W</t>
  </si>
  <si>
    <t>EDU-846-2021</t>
  </si>
  <si>
    <t>CONSORCIO GRAN BAZAR 2021</t>
  </si>
  <si>
    <t>RYD CONSTRUCTORES S.A.S (40%)
PROYECTOS Y GESTION DEL DESARROLLO (40%)
CONSTRUCTORA JEMUR (20%)</t>
  </si>
  <si>
    <t xml:space="preserve">Reynaldo Yali Diaz
</t>
  </si>
  <si>
    <t>EDU-225-2022</t>
  </si>
  <si>
    <t>CONSORCIO INTERBAZAR</t>
  </si>
  <si>
    <t>ANTLIA-AC S.A.S (60%)
JANIO PARDO CONSULTORIA Y CONSTRUCCIONES (40%)</t>
  </si>
  <si>
    <t>ALCIDEZ JOSE LANDINETH</t>
  </si>
  <si>
    <t>752 vendedores que ocupaban el espacio publico</t>
  </si>
  <si>
    <t>MP-2989-Mercado de EPM</t>
  </si>
  <si>
    <t>C 30 44 100</t>
  </si>
  <si>
    <t>10°59'07"N 74°46'22"W</t>
  </si>
  <si>
    <t>MP-2989-Mercado El Playon</t>
  </si>
  <si>
    <t>C 30 41A 44</t>
  </si>
  <si>
    <t>10°58'49"N 74°46'23"W</t>
  </si>
  <si>
    <t>CD-57-2020-2438</t>
  </si>
  <si>
    <t>Tranformación de Entornos Urbanos</t>
  </si>
  <si>
    <t>TEU-2438 - Carrera 53</t>
  </si>
  <si>
    <t xml:space="preserve">Riomar
</t>
  </si>
  <si>
    <t>carrera 53 entre calles 80 a la 87</t>
  </si>
  <si>
    <t>11°00'20"N 74°48'42"W</t>
  </si>
  <si>
    <t>Suspendido</t>
  </si>
  <si>
    <t>EDU-272-2022</t>
  </si>
  <si>
    <t>UNION TEMPORAL CONTRUCCION URBANA</t>
  </si>
  <si>
    <t xml:space="preserve">CONSTRUCTOR DE OBRAS E INGENIERIA-  COVEIN (70 %)
CONSTRUCCION YACAMAN S.A.S -(30%)
</t>
  </si>
  <si>
    <t>Guillermo Cuello Gieseken</t>
  </si>
  <si>
    <t>EDU-273-2022</t>
  </si>
  <si>
    <t>CONSORCIO INTER TRANSFORMANDO BQ</t>
  </si>
  <si>
    <t xml:space="preserve"> HG INGENIERIA Y
DESARROLLO S.A.S -(85%) 
COMPAÑIA DE INTERVENTORIAS Y CONSULTORIAS DE LA COSTA S.A.S (5%).
TECNOLOGIAS Y CONSULTORIAS AMBIENTALES Y DE GESTION S.A.S (10%)</t>
  </si>
  <si>
    <t xml:space="preserve">MARIA DEL JESUS CASTAÑEDA </t>
  </si>
  <si>
    <t>Zona Norte de la ciudad de Barranquilla</t>
  </si>
  <si>
    <t>mejoramiento de malla vial y espacio publico</t>
  </si>
  <si>
    <t>segreracion de vehiculos y peatones</t>
  </si>
  <si>
    <t xml:space="preserve">regularizacion de zonas de estacionamiento </t>
  </si>
  <si>
    <t>TEU-2438 - Malecon UF3</t>
  </si>
  <si>
    <t>Gran Malecon del Rio UF3</t>
  </si>
  <si>
    <t>11°00'55"N 74°47'19"W</t>
  </si>
  <si>
    <t>Poblacion total de Barranquilla</t>
  </si>
  <si>
    <t>26000 m2 de espacios construidos para disfrute de la ciudadania</t>
  </si>
  <si>
    <t>zonas deportivas</t>
  </si>
  <si>
    <t>zonas de biosaludables y jardines infantiles</t>
  </si>
  <si>
    <t>TEU-2438 - Centro Urbano Comunitario Barlovento</t>
  </si>
  <si>
    <t>Carrera 50 con calle 9A</t>
  </si>
  <si>
    <t>10°59'15"N 74°46'32"W</t>
  </si>
  <si>
    <t>2,932  poblacion del barrio Barlovento</t>
  </si>
  <si>
    <t>entrega de 500 desayunos a la comunidad</t>
  </si>
  <si>
    <t>zona de reunion para la comunidad</t>
  </si>
  <si>
    <t>TEU-2438 - Plaza de Pescado</t>
  </si>
  <si>
    <t>Carrea 42 # 7-39</t>
  </si>
  <si>
    <t>10°58'45"N 74°46'16"W</t>
  </si>
  <si>
    <t xml:space="preserve">467 puestos de trabajo </t>
  </si>
  <si>
    <t>mejoramiento en cubierta para la zona de picadores, las cuales alberga 116 puestos de trabajo</t>
  </si>
  <si>
    <t>mejoramiento de cubierta en zona de venta, la cual beneficia 351 puestos de trabajo</t>
  </si>
  <si>
    <t>mejoramiento de sanidad del mercado</t>
  </si>
  <si>
    <t xml:space="preserve">TEU-2438 - Callejon de Robertico </t>
  </si>
  <si>
    <t>Calle 30 # 42-15</t>
  </si>
  <si>
    <t>10°58'47"N 74°46'32"W</t>
  </si>
  <si>
    <t>Centro de Barranquilla</t>
  </si>
  <si>
    <t>mejoramiento de espacio publico</t>
  </si>
  <si>
    <t>TEU-2438 - Callejon del Meao</t>
  </si>
  <si>
    <t>10°59'22"N 74°47'22"W</t>
  </si>
  <si>
    <t>TEU-2438 - Centro urbano comunitario las Americas</t>
  </si>
  <si>
    <t>Las Americas</t>
  </si>
  <si>
    <t>Cra 3C # 52B- 141</t>
  </si>
  <si>
    <t>10°56'27"N 74°48'40"W</t>
  </si>
  <si>
    <t>8,333 poblacion de barrio Las Americas</t>
  </si>
  <si>
    <t>Agua_potable_y_saneamiento_básico</t>
  </si>
  <si>
    <t>Agua potable y saneamiento básico</t>
  </si>
  <si>
    <t>Recuperación Caños - Recuperación Integral Caño de la Ahuyama</t>
  </si>
  <si>
    <t>Suroriente</t>
  </si>
  <si>
    <t>Rebolo
La Luz
Villanueva
Zona Franca
La Chinita
El Ferry</t>
  </si>
  <si>
    <t>10°58'11"N 74°45'54"W</t>
  </si>
  <si>
    <t>EDU-270A-2022</t>
  </si>
  <si>
    <t>CONSORCIO DRAGADOS DE COLOMBIA</t>
  </si>
  <si>
    <t>Conformación del Consorcio: 
-	SOLUCIONES DE INFRAESTRUCTURA Y LOGÍSTICA S.A.A Nit. 900.745.398-9 50% de participación.
-	MOVICON CONSTRUCTORES S.A.S Nit. 890.404.359-2 participación:25%
-	CODIFA S.A.S NIt.802.002.415-1 participación: 25%</t>
  </si>
  <si>
    <t>EDU-277-2022</t>
  </si>
  <si>
    <t>CONSORCIO INTERCAÑO LA AHUYAMA</t>
  </si>
  <si>
    <t xml:space="preserve">
-	ROCCIA SAS 
Nit 900388860-8
participación: 70%
-	INEXIA SAS
Nit 901357944-9
participación: 15%
-	ARIARI INGENIERIA LIMITADA
Nit 822005713-8
participación: 15%</t>
  </si>
  <si>
    <t xml:space="preserve">CARLOS ANDRES MASS GUERRERO </t>
  </si>
  <si>
    <t>El proyecto Recuperación Integral del caño de la Ahuyama beneficia directamente  a los barrios la chinita, Rebolo y la Luz</t>
  </si>
  <si>
    <t xml:space="preserve"> Mitigar y reducir los factores contaminantes de las aguas, </t>
  </si>
  <si>
    <t xml:space="preserve">Mitigar los riesgos de inundación en los barrios (la chinita, Rebolo y la Luz) y zonas que se encuentran ubicados a lo largo de caño y su área de influencia </t>
  </si>
  <si>
    <t>Se esta adelantando un proceso de incumplimiento al contratista de la obra</t>
  </si>
  <si>
    <t>Recreación_y_Deporte</t>
  </si>
  <si>
    <t xml:space="preserve">Escenarios deportivos </t>
  </si>
  <si>
    <t>Escenarios - Pista de Ciclomontañismo</t>
  </si>
  <si>
    <t>10°59'56.4"N 74°50'03.9"W</t>
  </si>
  <si>
    <t>EDU-269-2022</t>
  </si>
  <si>
    <t xml:space="preserve">
CONSORCIO SENDEROS 2021</t>
  </si>
  <si>
    <t xml:space="preserve">DONADO ARCE &amp; CIA S.A.S. (80%) 
PACANO S.A.S. (20%)
</t>
  </si>
  <si>
    <t xml:space="preserve">Roberto Carlo Donado Arce
</t>
  </si>
  <si>
    <t xml:space="preserve">Instalaciones electricas, Estuco, revestimiento fachada, cerramiento, mobiliario y cerramineto </t>
  </si>
  <si>
    <t xml:space="preserve">RECLAMACIÓN POR MAYOR VALOR EN PRECIOS DE INSUMOS  ($909.534.408,80)​
SE REQUIERE REVISAR ESTABILIDAD DEL TALUD CARRERA 43​
SE RETIRO DEL ALCANCE REDES DE TELECOMUNICACIONES, VOZ Y DATOS
</t>
  </si>
  <si>
    <t>CD-05-2022-3691</t>
  </si>
  <si>
    <t>Educación</t>
  </si>
  <si>
    <t xml:space="preserve">Colegios </t>
  </si>
  <si>
    <t>InfraEducativa-3691 - IE Reuven [Construcción]</t>
  </si>
  <si>
    <t xml:space="preserve">Ciudadela 20 de Julio </t>
  </si>
  <si>
    <t>Cra 1B # 46G - 18</t>
  </si>
  <si>
    <t>10°55'52"N 74°48'16"W</t>
  </si>
  <si>
    <t>EDU-345-2022</t>
  </si>
  <si>
    <t>CONSORCIO EDUCATIVO DISTRITAL</t>
  </si>
  <si>
    <t xml:space="preserve">TURPIAL INGENIERIA S.A.S (65%) 
BF CONSTRUYE S.A.S (30%) 
IDC 21 S.A.S (5%) 
</t>
  </si>
  <si>
    <t>SA-EDU-0001-2022</t>
  </si>
  <si>
    <t>CONSORCIO IE DISTRITO</t>
  </si>
  <si>
    <t>CAYENA CONSULTORES E INTERVENTORES S.A.S (40%)
HG INGENIERIA Y DESARROLLO S.A.S.(30%)
HM INGENIERIA S.A.S (30%)</t>
  </si>
  <si>
    <t>MARCELA PATRICIA BAQUERO APONTE</t>
  </si>
  <si>
    <t>Diseños ejecutados y aprobados por mes</t>
  </si>
  <si>
    <t>Frentes iniciados por mes</t>
  </si>
  <si>
    <t>Frentes entregados por mes</t>
  </si>
  <si>
    <t>FRENTE ENTREGADO</t>
  </si>
  <si>
    <t>InfraEducativa-3691 - IE Jose Eusebio Caro [Construcción]</t>
  </si>
  <si>
    <t>Chiquinquirá</t>
  </si>
  <si>
    <t>Cra 33 # 45 - 125</t>
  </si>
  <si>
    <t>10°58'30"N 74°47'20"W</t>
  </si>
  <si>
    <t>1200 Estudiantes</t>
  </si>
  <si>
    <t>InfraEducativa-3691 - IE Juan Jose Rondon [Construcción]</t>
  </si>
  <si>
    <t>San Felipe</t>
  </si>
  <si>
    <t>Cra 25B # 68 - 20</t>
  </si>
  <si>
    <t>10°58'27"N 74°48'29"W</t>
  </si>
  <si>
    <t>693 Estudiantes</t>
  </si>
  <si>
    <t>InfraEducativa-3691 - IE Carrizal [Construcción]</t>
  </si>
  <si>
    <t>Carrizal</t>
  </si>
  <si>
    <t>Calle 50D 3 31A - 37</t>
  </si>
  <si>
    <t>10°57'47"N 74°48'05"W</t>
  </si>
  <si>
    <t>570 Estudiantes</t>
  </si>
  <si>
    <t>Instalación de piso, levante de muro, excavación para cuneta, reparaciones en fachada</t>
  </si>
  <si>
    <t>InfraEducativa-3691 - IE Mayor de Barranquilla [Construcción]</t>
  </si>
  <si>
    <t xml:space="preserve">Calle 47 # 44 - 97 </t>
  </si>
  <si>
    <t>10°59'08"N 74°47'12"W</t>
  </si>
  <si>
    <t>894 Estudiantes</t>
  </si>
  <si>
    <t>Frente entregado con detalles</t>
  </si>
  <si>
    <t>InfraEducativa-3691 - IE Jorge Nicolas Abello sede 2 [Cocina]</t>
  </si>
  <si>
    <t>Calle 64 # 25 - Esq</t>
  </si>
  <si>
    <t>10°58'26"N 74°48'19"W</t>
  </si>
  <si>
    <t xml:space="preserve">TURPIAL INGENIERIA S.A.S (65%) BF CONSTRUYE S.A.S (30%) IDC 21 S.A.S (5%) </t>
  </si>
  <si>
    <t>CAYENA CONSULTORES E INTERVENTORES S.A.S (40%) HG INGENIERIA Y DESARROLLO S.A.S.(30%) HM INGENIERIA S.A.S (30%)</t>
  </si>
  <si>
    <t>447 Estudiantes</t>
  </si>
  <si>
    <t>InfraEducativa-3691 - Ideth Sede 2 [Cocina]</t>
  </si>
  <si>
    <t>Nueva Granada</t>
  </si>
  <si>
    <t>Cra 28 # 63b - 87</t>
  </si>
  <si>
    <t>10°58'34"N 74°48'17"W</t>
  </si>
  <si>
    <t>652 Estudiantes</t>
  </si>
  <si>
    <t>InfraEducativa-3691 - IE Insteco Sede 2 [Cocina]</t>
  </si>
  <si>
    <t>Cl 39 # 38 -63</t>
  </si>
  <si>
    <t>10°58'42"N 74°46'57"W</t>
  </si>
  <si>
    <t>1120 Estudiantes</t>
  </si>
  <si>
    <t>InfraEducativa-3691 - IE La Libertad [Cocina]</t>
  </si>
  <si>
    <t>La libertad</t>
  </si>
  <si>
    <t>Cra 26A # 74B - 139</t>
  </si>
  <si>
    <t>10°58'37"N 74°48'59"W</t>
  </si>
  <si>
    <t>1600 Estudiantes</t>
  </si>
  <si>
    <t>InfraEducativa-3691 - IE Insteco Sede 1 [Cocina]</t>
  </si>
  <si>
    <t>Cl 47 # 42 - 60</t>
  </si>
  <si>
    <t>10°58'59"N 74°47'14"W</t>
  </si>
  <si>
    <t>458 Estudiantes</t>
  </si>
  <si>
    <t>Sin actividades</t>
  </si>
  <si>
    <t>InfraEducativa-3691 - IE Sonia Ahumada [Cocina]</t>
  </si>
  <si>
    <t>Siete de Agosto</t>
  </si>
  <si>
    <t>Cra 12A #94 - 75</t>
  </si>
  <si>
    <t>10°57'45"N 74°49'45"W</t>
  </si>
  <si>
    <t>1187 Estudiantes</t>
  </si>
  <si>
    <t>InfraEducativa-3691 - IE Nuestra Señora de las Nieves [Cocina]</t>
  </si>
  <si>
    <t>Las nieves</t>
  </si>
  <si>
    <t>Cra 10 # 23 - 13</t>
  </si>
  <si>
    <t>10°57'8.96"N 74°48'17.20"O</t>
  </si>
  <si>
    <t>1153 Estudiantes</t>
  </si>
  <si>
    <t>InfraEducativa-3691 - IE Ciudadela Estudiantil [Cocina]</t>
  </si>
  <si>
    <t>Cra 1A # 47 - 49</t>
  </si>
  <si>
    <t>10°55'52.40"N 74°48'27.93"O</t>
  </si>
  <si>
    <t>1400 Estudiantes</t>
  </si>
  <si>
    <t xml:space="preserve">No </t>
  </si>
  <si>
    <t>InfraEducativa-3691 - IE Simón Bolivar [Cocina]</t>
  </si>
  <si>
    <t>Simon Bolivar</t>
  </si>
  <si>
    <t>Cra 5A # 19 - 15</t>
  </si>
  <si>
    <t xml:space="preserve"> 10°56'36.56"N 74°46'39.29"O</t>
  </si>
  <si>
    <t>283 Estudiantes</t>
  </si>
  <si>
    <t>InfraEducativa-3691 - IE Carlos Meisel [Cocina]</t>
  </si>
  <si>
    <t>Carlos Meisel</t>
  </si>
  <si>
    <t>Cl 74 # 24 -139</t>
  </si>
  <si>
    <t>10°58'30"N 74°48'52"W</t>
  </si>
  <si>
    <t>Estudiantes</t>
  </si>
  <si>
    <t>Pañete exterior sobre muro, intalación de piso, construcción de rampa</t>
  </si>
  <si>
    <t>InfraEducativa-3691 - IE Santa María [Cocina]</t>
  </si>
  <si>
    <t>Santa Maria</t>
  </si>
  <si>
    <t>Cra. 5 Sur #78b- 80</t>
  </si>
  <si>
    <t>10°55'52"N 74°49'17"W</t>
  </si>
  <si>
    <t>Instalación de pisos, media cañas, instalaciones electricas, limpieza general</t>
  </si>
  <si>
    <t>InfraEducativa-3691 - IE Santa Magdalena Sofía[Cocina]</t>
  </si>
  <si>
    <t>San Salvador</t>
  </si>
  <si>
    <t>Cl. 84b #76-17</t>
  </si>
  <si>
    <t>11°01'24"N 74°48'25"W</t>
  </si>
  <si>
    <t>Enchape de muro, engoloce de muro, encofrado para meson</t>
  </si>
  <si>
    <t>InfraEducativa-3691 - IE Hilda Muñoz[Cocina]</t>
  </si>
  <si>
    <t>CL. 70C # 24B - 24</t>
  </si>
  <si>
    <t>10°58'24"N 74°48'36"W</t>
  </si>
  <si>
    <t>Detalles de pintura, instalación de medidor de gas, Instalación de reflectores</t>
  </si>
  <si>
    <t>InfraEducativa-3691 - IE CODEBA[Cocina]</t>
  </si>
  <si>
    <t>Boston</t>
  </si>
  <si>
    <t xml:space="preserve"> Cl. 68 #47-64</t>
  </si>
  <si>
    <t>10°59'37"N 74°48'02"W</t>
  </si>
  <si>
    <t>Frente entregado</t>
  </si>
  <si>
    <t>InfraEducativa-3691 - IE Salvador Entregas[Cocina]</t>
  </si>
  <si>
    <t>Pumarejo</t>
  </si>
  <si>
    <t>CL 58 20 B 40</t>
  </si>
  <si>
    <t>10°58'01"N 74°48'08"W</t>
  </si>
  <si>
    <t>Levante de muros, pañete de muros, resane de instalaciones electricas, enchape de baños, instalación de correas metalicas</t>
  </si>
  <si>
    <t>InfraEducativa-3691 - IE Hogar Mariano [Cocina]</t>
  </si>
  <si>
    <t>Ceiba</t>
  </si>
  <si>
    <t>KR 14 58 36</t>
  </si>
  <si>
    <t>10°57'37"N 74°48'23"W</t>
  </si>
  <si>
    <t>Figurado de acero, excavación de zapatas</t>
  </si>
  <si>
    <t>InfraEducativa-3691 - IE Maria Inmaculada [Cocina]</t>
  </si>
  <si>
    <t>Olaya</t>
  </si>
  <si>
    <t>KR 29 70 B 60</t>
  </si>
  <si>
    <t>10°58'45"N 74°48'34"W</t>
  </si>
  <si>
    <t>Instalación de cubierta UPVC, compactación de terreno, fundida de plantilla para comedor</t>
  </si>
  <si>
    <t>InfraEducativa-3691 - IE Mayor de Barranquilla [Cocina]</t>
  </si>
  <si>
    <t>Instalación de sanitario, instalación de griferias, pulida de piso, detalles de pintura</t>
  </si>
  <si>
    <t>Salud</t>
  </si>
  <si>
    <t>Hospital</t>
  </si>
  <si>
    <t>InfraSalud-1893 - CAMINO Nuevo Barranquilla</t>
  </si>
  <si>
    <t>San Roque</t>
  </si>
  <si>
    <t>Calle 33 #33-09</t>
  </si>
  <si>
    <t>-74.780771</t>
  </si>
  <si>
    <t>EDU-277-2016</t>
  </si>
  <si>
    <t>CONSORCIO ICONHO</t>
  </si>
  <si>
    <t>ASSIGNIA INFRAESTRUCTURA S.A. - SUCURSAL COLOMBIA (15%)
SOLUCIONES DE INFRAESTRUCTURA Y LOGÍSTICA S.A.S. (15%)
COMPAÑÍA DE INGENIERÍA Y NEGOCIOS S.A. - COINSES (50%)
INGECMAQ S.A.S. (20%)</t>
  </si>
  <si>
    <t>Francisco Dominguez Cuellar</t>
  </si>
  <si>
    <t>EDU-283-2016</t>
  </si>
  <si>
    <t>CONSORCIO HOSPITALES 2016</t>
  </si>
  <si>
    <t>HM INGENIERÍA (41%)
INGENIERÍA MASTER (29%)
SIGT INGENIEROS Y CONSULTORES S.A.S. (5%)
TOMÁS LLAMADOR ARQUITECTOS E INGENIEROS S.L. (25%)</t>
  </si>
  <si>
    <t>HUGO VARGAS GÓMEZ</t>
  </si>
  <si>
    <t>Pasos</t>
  </si>
  <si>
    <t>InfraSalud-1893 - PASO San Camilo</t>
  </si>
  <si>
    <t>CD-58-2023-3275</t>
  </si>
  <si>
    <t>Escenarios - Mantenimiento Escenarios Deportivos</t>
  </si>
  <si>
    <t>Barranquilla</t>
  </si>
  <si>
    <t xml:space="preserve">Varias </t>
  </si>
  <si>
    <t>SA-EDU-0005-2023</t>
  </si>
  <si>
    <t>CONSORCIO PARQUES CUBAGO</t>
  </si>
  <si>
    <t xml:space="preserve">AGORASPORT S.A SUCURSAL COLOMBIA (80%) CARLOS FERNANDO CUBIDES BONILLA (20%) </t>
  </si>
  <si>
    <t>Ingrid Nathali Torres Cortés</t>
  </si>
  <si>
    <t>85000 Espectadores</t>
  </si>
  <si>
    <t>Cumplimiento al 90% del plan de mantenimiento preventivo</t>
  </si>
  <si>
    <t>El 80% de los mantenimientos o actividades deben ser completadas según el cronograma establecido</t>
  </si>
  <si>
    <t>Desarrollo mensual de la totalidad de la listas de chequeo para la revisión de la calidad de los mantenimientos realizados</t>
  </si>
  <si>
    <t>Operación diaria (aseo), mantenimientos preventivos y correctivos aprovados por la supervisión en los 18 escenarios deportivos</t>
  </si>
  <si>
    <t>Edubar se encuentra en proceso de recibo y liquidación del contrato de prestación de servicios</t>
  </si>
  <si>
    <t>CD-12-2024-0003</t>
  </si>
  <si>
    <t>Vivienda</t>
  </si>
  <si>
    <t>Mejoramiento de viviendas</t>
  </si>
  <si>
    <t>MejoramientoViviendas-0003 - Módulo 1</t>
  </si>
  <si>
    <t>La Manga, las Malvinas, los Olivos II, La Esmeralda, Bellarena, Bernardo Hoyos, El Milagro, El Moderno, Los Laureles</t>
  </si>
  <si>
    <t>SA-EDU-013-2024</t>
  </si>
  <si>
    <t>CONSORCIO VIVIENDAS URBANAS</t>
  </si>
  <si>
    <t xml:space="preserve">CONGLOMERADO TÉCNICO COLOMBIANO S.A.S.	(25%) DONADO ARCE &amp; COMPAÑÍA S.A.S.(33%) ORLANDO DONADO &amp; CIA S.A.S.(25% ) JMD INGENIERÍA DE PROYECTOS S.A.S.(17%)
</t>
  </si>
  <si>
    <t xml:space="preserve"> OLEARIS ALONSO HERNÁNDEZ ORELLANO </t>
  </si>
  <si>
    <t xml:space="preserve"> SA-EDU-006-2024 </t>
  </si>
  <si>
    <t>CONSORCIO PROSPERAR HABITABILIDAD</t>
  </si>
  <si>
    <t>INGENIERIA MASTER S.A.S.  (50%) H.M. INGENIERIA S.A.S (50%)</t>
  </si>
  <si>
    <t xml:space="preserve"> DANIELA CAROLINA SINNING ACUÑA </t>
  </si>
  <si>
    <t>1000 familias</t>
  </si>
  <si>
    <t>Género</t>
  </si>
  <si>
    <t>Habitan personas en condición de discapacidad</t>
  </si>
  <si>
    <t>Habitan personas de tercera edad</t>
  </si>
  <si>
    <t>MejoramientoViviendas-0003 - Módulo 2</t>
  </si>
  <si>
    <t>El bosque, Evaristo Sourdis, Las Malvinas, Villa Blanca, Los Continentes, Villanueva</t>
  </si>
  <si>
    <t>SA-EDU-014-2024</t>
  </si>
  <si>
    <t>CONSORCIO VIVIENDAS DISTRITALES II</t>
  </si>
  <si>
    <t xml:space="preserve">TURPIAL INGENIERIA S.A.S. (80%)CONSTRUCCIONES HHT S.A.S.(10%) EDC PROYECTOS S.A.S. (10%)
</t>
  </si>
  <si>
    <t xml:space="preserve"> CRISTIAN DAVID JIMÉNEZ YEJAS </t>
  </si>
  <si>
    <t>MejoramientoViviendas-0003 - Módulo 3</t>
  </si>
  <si>
    <t>Ciudad Modesto, El Por Fin, La Paz, Lipaya, Los Olivos I</t>
  </si>
  <si>
    <t>SA-EDU-015-2024</t>
  </si>
  <si>
    <t>UNION TEMPORAL VIVIENDAS DISTRITALES</t>
  </si>
  <si>
    <t xml:space="preserve">HB. INGENIEROS CIVILES S.A.S.(70%) A.S.B. S.A.S(25%)
CONSTRUCCION Y CONSULTORIAS DE OBRAS DE INGENIERIA URBANISMO Y ARQUITECTURA - CONTINUAR S.A.S.(5%)
</t>
  </si>
  <si>
    <t xml:space="preserve"> ALVARO HENRIQUEZ MEDRANO </t>
  </si>
  <si>
    <t>MejoramientoViviendas-0003 - Módulo 4</t>
  </si>
  <si>
    <t>7 de Abril, Kennedy, Las Americas, Barlovento, San Francisco, La Playa, Las Flores, 7 de Agosto, La Playa - Sector Maratea</t>
  </si>
  <si>
    <t>SA-EDU-016-2024</t>
  </si>
  <si>
    <t>UT VIVIENDAS 2024</t>
  </si>
  <si>
    <t xml:space="preserve">JS INGENIERIA Y CONSTRUCCIONES S.A.S. (90%) J.S. CONSTRUCCIONES S.A.S.(10%)
</t>
  </si>
  <si>
    <t xml:space="preserve"> JOSE JULIAN SAADE CURE </t>
  </si>
  <si>
    <t>MejoramientoViviendas-0003 - Módulo 5</t>
  </si>
  <si>
    <t>Buenos Aires, Carrizal, Ciudadela 20 de Julio, Conidec, El Santuario, Los Girasoles, Ciudadela 20 de Julio (Domingo Marino)</t>
  </si>
  <si>
    <t>SA-EDU-017-2024</t>
  </si>
  <si>
    <t>CONSORCIO MEJORAMIENTO DE VIVIENDA</t>
  </si>
  <si>
    <t xml:space="preserve">BF CONSTRUYE S.A.S.(50%) ESTUDIOS Y DESEÑOS FRATELLI S.A.S.(10%)
CROTRAING S.A.S.(40%)
</t>
  </si>
  <si>
    <t xml:space="preserve"> MARIA ISABEL VALENZUELA BENITEZ </t>
  </si>
  <si>
    <t xml:space="preserve"> SA-EDU-012-2024 </t>
  </si>
  <si>
    <t>CONSORCIO INTERVIVIENDAS BQ</t>
  </si>
  <si>
    <t>CAYENA CONSULTORES E INTERVENTORES S.A.S (34%) PROYECTOS TÉCNICOS DE COLOMBIA S.A.S (33%) HOSPIPLAN COMPAÑIA CONSULTORA CIA LTDA (33%)</t>
  </si>
  <si>
    <t>LEONARDO ALFREDO PIEDRAHITA AMIN</t>
  </si>
  <si>
    <t>MejoramientoViviendas-0003 - Módulo 6</t>
  </si>
  <si>
    <t>20 de Julio, san Luis, Santa Maria, Santo Domingo de Guzman, Villa San Pedro I, Villa San Pedro II, Villa San Carlos</t>
  </si>
  <si>
    <t>SA-EDU-018-2024</t>
  </si>
  <si>
    <t>UNION TEMPORAL VIVIENDAS 2024</t>
  </si>
  <si>
    <t>CONSTRUCTORA DE OBRAS DE VIVIENDA E INGENIERIA S.A.S.- COVEIN (50%)  CONSTRUCTORA YACAMAN VIVERO S.A.S. (50%)</t>
  </si>
  <si>
    <t xml:space="preserve"> GUILLERMO ALBERTO CUELLO GIESEKE </t>
  </si>
  <si>
    <t>MejoramientoViviendas-0003 - Módulo 7</t>
  </si>
  <si>
    <t xml:space="preserve"> Jose Antonio Galan, La Chinita, Las Nieves, Montes, Rebolo, San Nicolas, La Luz, Las Colinas, San Roque</t>
  </si>
  <si>
    <t>SA-EDU-019-2024</t>
  </si>
  <si>
    <t>CONSORCIO C&amp;V BARRANQUILLA</t>
  </si>
  <si>
    <t xml:space="preserve">CONYCA SOLUCIONES S.A.S. (50%)
VANUR S.A.S.	(40%) CAVALSA S.A.S.(10%)
</t>
  </si>
  <si>
    <t xml:space="preserve"> LUIS CARLOS PEREZ MENDEZ </t>
  </si>
  <si>
    <t>1135 familias</t>
  </si>
  <si>
    <t>A la fecha se han intervenido 1135 viviendas las cuales han sido termiandas en su totalidad</t>
  </si>
  <si>
    <t>MejoramientoViviendas-0003 - Módulo 8</t>
  </si>
  <si>
    <t>La Sierrita, Buena Esperanza, California, Cordialidad, El Pueblo, El Romance, Juan Mina, La Gloria, La Pradera, Los Rosales, Villa Flor, Alboraya, Los Angeles 1, Los Angeles 2, Los Angele 3</t>
  </si>
  <si>
    <t>SA-EDU-020-2024</t>
  </si>
  <si>
    <t>CONSORCIO ETAPA III</t>
  </si>
  <si>
    <t xml:space="preserve">INDUSTRIAS Y TRANSPORTE S.A.S. ZESE –INTRASP S.A.S. ZESE (50%)
MALAMO INGENIERÍA S.A.S.(25%)
MAVICON CONSTRUCCIÓN E INGENIERÍA S.A.S.(25%)
</t>
  </si>
  <si>
    <t xml:space="preserve"> ANDRES FELIPE ROMERO SANJUAN </t>
  </si>
  <si>
    <t>001-2024</t>
  </si>
  <si>
    <t>SITP</t>
  </si>
  <si>
    <t>Mantenimiento de estaciones (Transmetro), portal de soledad y estación de retorno joe arroyo de transmetro</t>
  </si>
  <si>
    <t>SA-EDU-001-2024</t>
  </si>
  <si>
    <t>TRANSPORTE INGENIERIA CONSTRUCCIONES Y MAQUINARIA S.A – TICOM S.A</t>
  </si>
  <si>
    <t>JOSE MARIA VECINO VILLAREAL</t>
  </si>
  <si>
    <t>76000 Usuarios</t>
  </si>
  <si>
    <t>El 50% de las actividades inician segun la fecha establecida en el cronograma de ejecución</t>
  </si>
  <si>
    <t xml:space="preserve">El 80% de las actividades desarrolladas por frente fueron alzancadas o finalizadas en las fechas planificadas </t>
  </si>
  <si>
    <t>Desarrollo mensual de al menos 1 comite de seguimiento de obra</t>
  </si>
  <si>
    <t>CD-05-2024-4513</t>
  </si>
  <si>
    <t>InfraEducativa-4513 - IED Sofia Camargo de Lleras sede 1- FASE 1[Construcción]</t>
  </si>
  <si>
    <t>El Carmen</t>
  </si>
  <si>
    <t>CALLE 53D # 21- 36</t>
  </si>
  <si>
    <t>10°58'03"N 74°48'00"W</t>
  </si>
  <si>
    <t>LP-016-2024 LOTE 1</t>
  </si>
  <si>
    <t>CONSORCIO MANTENIMIENTOS</t>
  </si>
  <si>
    <t>EBM construcciones e interventoría S.A.S (90%) Jesus Armando Cervantes Ceballos (10%)</t>
  </si>
  <si>
    <t>JESUS ARMANDO CERVANTES CEBALLOS</t>
  </si>
  <si>
    <t>ANGELLY MELISSA CRIALES ANIBAL</t>
  </si>
  <si>
    <t>Frentes aperturados por mes</t>
  </si>
  <si>
    <t>Frentes finalizados y entregados por mes</t>
  </si>
  <si>
    <t>Cumplimiento al cronograma de ejecución</t>
  </si>
  <si>
    <t>Finalizado</t>
  </si>
  <si>
    <t>InfraEducativa-4513 - IED Sofia Camargo de Lleras sede 1- FASE 2[Construcción]</t>
  </si>
  <si>
    <t>Finalizado diseño estructural</t>
  </si>
  <si>
    <t>InfraEducativa-4513 - IED Salvador Suarez Suarez [Construcción]</t>
  </si>
  <si>
    <t>Los Pinos</t>
  </si>
  <si>
    <t xml:space="preserve"> CARRERA 25B No 55 – 30</t>
  </si>
  <si>
    <t>10°58'26"N 74°47'55"W</t>
  </si>
  <si>
    <t>938 estudiantes</t>
  </si>
  <si>
    <t>InfraEducativa-4513 - IED San Luis Sede Gardenias[Construcción]</t>
  </si>
  <si>
    <t>San Luis</t>
  </si>
  <si>
    <t>CALLE 98C # 1E-99</t>
  </si>
  <si>
    <t>10°55'42"N 74°48'37"W</t>
  </si>
  <si>
    <t>2200 estudiantes</t>
  </si>
  <si>
    <t>InfraEducativa-4513 - IED La Américas [Construcción]</t>
  </si>
  <si>
    <t>Las Américas</t>
  </si>
  <si>
    <t>CARRERA 4A # 54C-06</t>
  </si>
  <si>
    <t>10°56'41"N 74°48'44"W</t>
  </si>
  <si>
    <t>InfraEducativa-4513 - IED INSTECO sede 2 [Construcción]</t>
  </si>
  <si>
    <t>El Rosario</t>
  </si>
  <si>
    <t>CALLE 40 # 38-50</t>
  </si>
  <si>
    <t>10°58'43"N 74°46'56"W</t>
  </si>
  <si>
    <t>Placa de concreto, pintura de aulas</t>
  </si>
  <si>
    <t>InfraEducativa-4513 - IED María Inmaculada</t>
  </si>
  <si>
    <t>CARRERA 29 # 70B-60</t>
  </si>
  <si>
    <t>10°58'46"N 74°48'34"W</t>
  </si>
  <si>
    <t>InfraEducativa-4513 - IED Olaya</t>
  </si>
  <si>
    <t>CALLE 70b #27B-36</t>
  </si>
  <si>
    <t>10°58'39"N 74°48'30"W</t>
  </si>
  <si>
    <t>InfraEducativa-4513 - IED Fundación Pies Descalzos</t>
  </si>
  <si>
    <t>CL 14 17 80</t>
  </si>
  <si>
    <t>Instalación de tensores en perfiles metalicos, protocolo de pintura en perfilería metalica</t>
  </si>
  <si>
    <t>InfraEducativa-4513 - IED Luis Carlos Galán Sarmiento</t>
  </si>
  <si>
    <t>La Luz</t>
  </si>
  <si>
    <t>KR 15 14 02</t>
  </si>
  <si>
    <t>InfraEducativa-4513 - IED Mundo Bolivariano</t>
  </si>
  <si>
    <t>Malvinas</t>
  </si>
  <si>
    <t>CL 98 7 F 07</t>
  </si>
  <si>
    <t>InfraEducativa-4513 - IED Tierra Santa 2</t>
  </si>
  <si>
    <t>El bosque</t>
  </si>
  <si>
    <t>KR 6 E 60 13</t>
  </si>
  <si>
    <t>Instalación de piso, desmonte de cubierta, armado de acero, corte de muro</t>
  </si>
  <si>
    <t>InfraEducativa-4513 - IED Buenos Aires</t>
  </si>
  <si>
    <t>Buenos Aires</t>
  </si>
  <si>
    <t>CL 44 KR 5 B 46</t>
  </si>
  <si>
    <t>Instalaciones electricas</t>
  </si>
  <si>
    <t>InfraEducativa-4513 - IDEHUCA</t>
  </si>
  <si>
    <t>Santa Ana</t>
  </si>
  <si>
    <t>KR 68 71 41</t>
  </si>
  <si>
    <t>Finalizado fase demoliciones</t>
  </si>
  <si>
    <t>InfraEducativa-4513 - IED El Pueblo</t>
  </si>
  <si>
    <t>El pueblo</t>
  </si>
  <si>
    <t>CL 116 12 24</t>
  </si>
  <si>
    <t>InfraEducativa-4513 - IED La Merced</t>
  </si>
  <si>
    <t>Santo Domingo</t>
  </si>
  <si>
    <t>CL 57 30 23</t>
  </si>
  <si>
    <t>Estuco sobre muros</t>
  </si>
  <si>
    <t>InfraEducativa-4513 - IED Jorge Robledo</t>
  </si>
  <si>
    <t>7 de Abril</t>
  </si>
  <si>
    <t>KR 15 SUR 74 170</t>
  </si>
  <si>
    <t>InfraEducativa-4513 - IED San Miguel Arcangel</t>
  </si>
  <si>
    <t>La Chinita</t>
  </si>
  <si>
    <t>KR 23 11 37</t>
  </si>
  <si>
    <t>Pintura en aulas, pulida de pisos</t>
  </si>
  <si>
    <t>InfraEducativa-4513 - IED Karl Parrish</t>
  </si>
  <si>
    <t>Alfonso Lopez</t>
  </si>
  <si>
    <t>KR 27 45 277</t>
  </si>
  <si>
    <t>sin actividades</t>
  </si>
  <si>
    <t>InfraEducativa-4513 - IED Pablo Neruda[Construcción]</t>
  </si>
  <si>
    <t xml:space="preserve">Ciudadela 20 De Julio </t>
  </si>
  <si>
    <t>CARRERA 4A SUR #48-47</t>
  </si>
  <si>
    <t>10°55'41"N 74°48'37"W</t>
  </si>
  <si>
    <t>LP-016-2024 LOTE 2</t>
  </si>
  <si>
    <t>CONSORCIO SOSTEC</t>
  </si>
  <si>
    <t>SAUL RINCON VILLAMIZAR</t>
  </si>
  <si>
    <t>finalizado</t>
  </si>
  <si>
    <t>InfraEducativa-4513 - IED Carlos Meisel[Construcción]</t>
  </si>
  <si>
    <t>CALLE 74 #24-139</t>
  </si>
  <si>
    <t>10°58'32"N 74°48'53"W</t>
  </si>
  <si>
    <t>Sosdom S.A.S (50%) Multintec S.A.S (50%)</t>
  </si>
  <si>
    <t>2137 estudiantes</t>
  </si>
  <si>
    <t>Pendiente detalles en fachada</t>
  </si>
  <si>
    <t>InfraEducativa-4513 - IED Alfonso Lopez [Construcción]</t>
  </si>
  <si>
    <t>Rebolo</t>
  </si>
  <si>
    <t>CALLE 17 #26-45</t>
  </si>
  <si>
    <t>10°57'51"N 74°46'31"W</t>
  </si>
  <si>
    <t>InfraEducativa-4513 - IED Marco Fidel Suarez [Construcción]</t>
  </si>
  <si>
    <t>La Magdalena</t>
  </si>
  <si>
    <t>CARRERA 6B # 36B-46</t>
  </si>
  <si>
    <t>10°56'32"N 74°47'31"W</t>
  </si>
  <si>
    <t>InfraEducativa-4513 - IED Sarid Arteta de Vasquez Sede 2 [Construcción]</t>
  </si>
  <si>
    <t>Cevillar</t>
  </si>
  <si>
    <t>CARRERA 18 # 47-72</t>
  </si>
  <si>
    <t>10°57'41"N 74°47'59"W</t>
  </si>
  <si>
    <t>InfraEducativa-4513 - IED La Magdalena</t>
  </si>
  <si>
    <t>CALLE 41 #7-07</t>
  </si>
  <si>
    <t>10°56'31"N 74°47'46"W</t>
  </si>
  <si>
    <t>InfraEducativa-4513 - IED Manuel Zapata Olivella</t>
  </si>
  <si>
    <t>El Edén</t>
  </si>
  <si>
    <t>CALLE 84 # 27 17</t>
  </si>
  <si>
    <t>10°58'41"N 74°49'39"W</t>
  </si>
  <si>
    <t>InfraEducativa-4513 - IED La Esmeralda</t>
  </si>
  <si>
    <t>La Esmeralda</t>
  </si>
  <si>
    <t>CALLE 84b #13E-26</t>
  </si>
  <si>
    <t>10°57'57"N 74°49'30"W</t>
  </si>
  <si>
    <t>InfraEducativa-4513 - IED Castillo La Alboraya</t>
  </si>
  <si>
    <t>El Campito</t>
  </si>
  <si>
    <t>CALLE 41 # 8A-62</t>
  </si>
  <si>
    <t>10°56'49"N 74°47'48"W</t>
  </si>
  <si>
    <t>InfraEducativa-4513 - IED Villanueva</t>
  </si>
  <si>
    <t>Villanueva</t>
  </si>
  <si>
    <t>CALLE  5 #42D - 24</t>
  </si>
  <si>
    <t>10°58'54"N 74°46'05"W</t>
  </si>
  <si>
    <t>CD-12-2024-6052</t>
  </si>
  <si>
    <t>Arroyos</t>
  </si>
  <si>
    <t xml:space="preserve">Arroyos </t>
  </si>
  <si>
    <t>Canalizacion Arroyo Calle 85</t>
  </si>
  <si>
    <t>SA-015-2024</t>
  </si>
  <si>
    <t>CONSORCIO ARROYO 85</t>
  </si>
  <si>
    <t>COLOMBIA ME S.A.S (89,99%), MOTA-ENGIL COLOMBIA S.A.S (10%), MOTA-ENGIL ENGENHARIA E CONSTRUCAO S.A SUCURSAL COLOMBIA (0,01%)</t>
  </si>
  <si>
    <t>CD-58-2025-2652</t>
  </si>
  <si>
    <t>Skatepark</t>
  </si>
  <si>
    <t xml:space="preserve">Malecon del Rio </t>
  </si>
  <si>
    <t>11°00'35.0"N 74°46'54.6"W</t>
  </si>
  <si>
    <t>LP-028-2024</t>
  </si>
  <si>
    <t>CONSORCIO OCCIDENTAL DE COLOMBIA S.A.S</t>
  </si>
  <si>
    <t>JAVIER TORRES MORE</t>
  </si>
  <si>
    <t>ADI</t>
  </si>
  <si>
    <t xml:space="preserve">N. 017 - 2017 </t>
  </si>
  <si>
    <t>MallaVial-017 - Calle 30 [cra 46 y circunvalar]</t>
  </si>
  <si>
    <t xml:space="preserve">Tayrona, Los Trupillos, Simon Bolivar, Centro, Montes, San Roque, Rebolo, Las Nieves, Boyaca, El Limon </t>
  </si>
  <si>
    <t>Calle 30 entre Av. Circunvalar y carrera 46</t>
  </si>
  <si>
    <t>10°56'31.6"N 74°47'00.0"W</t>
  </si>
  <si>
    <t>01 JUNIO DE 2018</t>
  </si>
  <si>
    <t>ADI-0375-2018</t>
  </si>
  <si>
    <t xml:space="preserve">UNION TEMPORAL AVENIDA BOYACA </t>
  </si>
  <si>
    <t xml:space="preserve">1-) VALORES Y CONTRATOS S.A - VALORCON S.A CON EL 50% PARTICIPACION.   2-)INVERSIONES JACUR Y COMPAÑÍA LIMITADA NIT CON EL 50% PARTICIPACION </t>
  </si>
  <si>
    <t>Rodrigo Velez Gomez</t>
  </si>
  <si>
    <t>ADI-0376-2018</t>
  </si>
  <si>
    <t xml:space="preserve">CONSORCIO CIRCUNVALAR IDC </t>
  </si>
  <si>
    <t xml:space="preserve">1-) SERVICIOS DE INTERVENTORIA INTEGRAL S.A.S CON EL 34% DE PARTICIPACION   2-) CANO JIMENEZ ESTUDIOS S.A CON EL 33% DE PARTICIPACION   3-) DICONSULTORIA S.A CON EL 33% DE PARTICIPACION. </t>
  </si>
  <si>
    <t>HENRY SANCHEZ RODRIGUEZ</t>
  </si>
  <si>
    <t>Se realizó entrga al operador del servicio de alubrado publico</t>
  </si>
  <si>
    <t>Pendiente liquidacion interventoria</t>
  </si>
  <si>
    <t>MallaVial-017 - Vía Circunvalar [cra 38 y cra 12A]</t>
  </si>
  <si>
    <t>La Paz, Los Olivos, Los Olivos Ii, La Pradera, El Eden, Las Estrellas.</t>
  </si>
  <si>
    <t>AVENIDA CIRCUNVALAR ENTRE CARRERAS 13 Y 38</t>
  </si>
  <si>
    <t>10°58'42.2"N 74°50'09.7"W</t>
  </si>
  <si>
    <t>15 DE FEBRERO DE 2018</t>
  </si>
  <si>
    <t>ADI-0358-2018</t>
  </si>
  <si>
    <t>CONSORCIO AVENIDA CIRCUNVALAR 2018</t>
  </si>
  <si>
    <t>BF CONSTRUYE S.A.S. (25%) 
INFRAESTRUCTURA HOSPITALARIA BARRANQUILLA S.A.S. (31%) 
SOLUCIONES DE INFRAESTRUCTURA Y LOGISTICA S.A.S. - SIL SOLUCIONES S.A.S. (19%) 
PROMOTORA EL CAMPÍN S.A.S. (25%)</t>
  </si>
  <si>
    <t>María Isabel Valenzuela Benítez</t>
  </si>
  <si>
    <t>ADI-0363-2018</t>
  </si>
  <si>
    <t>CONSORCIO VIAL BARRANQUILLA</t>
  </si>
  <si>
    <t>Lineal global ingenieria S.A.S (45%)  T CONSULT S.A.S (45%)    SIETE S.A.S (10%)</t>
  </si>
  <si>
    <t xml:space="preserve">BLANCA LILYAM  TABARES MESA </t>
  </si>
  <si>
    <t>Las actividades pendientes, puente peatonal de la carrera 13 y terminación calzada de servicio oriental</t>
  </si>
  <si>
    <t>el contratista tiene un retraso en la programacion general del proyecto de un 10%, en proceso de liquidación</t>
  </si>
  <si>
    <t>MallaVial-017 - Vía Cordialidad [Av.circunvalar y cra 23]</t>
  </si>
  <si>
    <t xml:space="preserve">Cevillar, El Carmen, Villate, La Ceiba, Los continentes, El santuario, La sierrita, El Romance, California, San Luis, Las Américas, Villa San Pedro. </t>
  </si>
  <si>
    <t>AV. CORDIALIDAD ENTRE AV. CIRCUNVALAR Y CARRERA 23</t>
  </si>
  <si>
    <t>10°56'38.4"N 74°49'40.1"W</t>
  </si>
  <si>
    <t>05 DE DICIEMBRE DE 2017</t>
  </si>
  <si>
    <t xml:space="preserve">ADI-1193-2017 </t>
  </si>
  <si>
    <t>UNION TEMPORAL GRAN VIA R90</t>
  </si>
  <si>
    <t>ADI-0426-2019</t>
  </si>
  <si>
    <t xml:space="preserve">EDUBAR </t>
  </si>
  <si>
    <t xml:space="preserve">ANGELLY CRIALES </t>
  </si>
  <si>
    <t>Se entrgó canalización de la cra 18, se ejecutan andenes, pendiente terminación alumbrado publico</t>
  </si>
  <si>
    <t>Contrato Terminado, en proceso de toma de detalles, entrega a operadores de servicios, cierre de las afectaciones</t>
  </si>
  <si>
    <t>Arroyos-1622 - Arroyo Cra 21</t>
  </si>
  <si>
    <t>San Jose, Los Cocos, Boyaca,  La Union, Buena Esperanza, El Carmen, La Alboraya, La Victoria</t>
  </si>
  <si>
    <t>Carrera 21 entre calles 30 y 53D, Calle 47B entre carreras 21 y 20, Calle 37 con carrera 21 hasta la calle 40 con carrera 13C</t>
  </si>
  <si>
    <t>10°57'53.8"N 74°47'48.7"W</t>
  </si>
  <si>
    <t>31 DE AGOSTOS DE 2016</t>
  </si>
  <si>
    <t xml:space="preserve">FROIH-668-2016 </t>
  </si>
  <si>
    <t xml:space="preserve">UNION TEMPORAL ARROYOS 2016 </t>
  </si>
  <si>
    <t>A CONSTRUIR S.A. (45%)                   CONSTRUCCIONES E INVERSIONES BETA S.A.S (25%)                         SERIGIO TORRES REATIGA (25%)     BF CONSTRUYE (5%)</t>
  </si>
  <si>
    <t xml:space="preserve">Luis Eduardo Barrios Lopez </t>
  </si>
  <si>
    <t xml:space="preserve">FRIOH-670-2016 </t>
  </si>
  <si>
    <t>CONSORCIO CANALES BARRANQUILLA</t>
  </si>
  <si>
    <t>PROYECTOS TECNICOS DE COLOMBIA S.A.S. (52%)     GINPROSA COLOMBIA S.A.S (45%)   COSTRUCTORA COMERCIAL LOS ALAMOS S.A. (3%9</t>
  </si>
  <si>
    <t xml:space="preserve">JUAN JOSE CORENA HOYOS </t>
  </si>
  <si>
    <t>350.000 habitantes</t>
  </si>
  <si>
    <t xml:space="preserve">SUSPENDIDO </t>
  </si>
  <si>
    <t>SUSPENDIDO</t>
  </si>
  <si>
    <t>Arroyos-1622 - Arroyo Cra 65</t>
  </si>
  <si>
    <t>Boston, Prado y Modelo</t>
  </si>
  <si>
    <t>Entre carrera 45 con via 40 hasta calle 62 con carrera 45</t>
  </si>
  <si>
    <t>10°59'38.7"N 74°47'33.3"</t>
  </si>
  <si>
    <t>21 DE OCTUBRE DE 2016</t>
  </si>
  <si>
    <t>FROIH-933-2016</t>
  </si>
  <si>
    <t>CONSORCIO MEC ARROYO DE LA CARRERA 65</t>
  </si>
  <si>
    <t>MOTA ENGIL COL S.A.S (98,74%)         MOTA ENGIL ENGENHARIA E CONSTRUCAO S.A SUCURSAL COLOMBIA (0,01%)              CONSORTIUM INFRAESTRUCTURA S.A.S (1,25%)</t>
  </si>
  <si>
    <t>Pedro Jorge Da Costa Ferreira Teixeira</t>
  </si>
  <si>
    <t>FROIH-935-2016</t>
  </si>
  <si>
    <t xml:space="preserve">CONSORCIO VIAL BARRANQUILLA </t>
  </si>
  <si>
    <t>CONSULTORES TECNICOS Y ECONOMICOS S.A.S CONSULTECNICOS S.A.S (34%)                GOMEZ CAJIAO Y ASOCIADOS S.A. (33%)    INGENIEROS CIVILES ESPECIALISTAS LTDA (33%)</t>
  </si>
  <si>
    <t xml:space="preserve">CARLOS DONADO HENRIQUEZ </t>
  </si>
  <si>
    <t>250,000 habitantes</t>
  </si>
  <si>
    <t>Construcción de canal de empalme a vía 40 con carrera 65</t>
  </si>
  <si>
    <t>actividades pendiente terminacion de cruce de banco de ductos, contrato terminado</t>
  </si>
  <si>
    <t>Arroyos-1622 - Arroyo Felicidad</t>
  </si>
  <si>
    <t>Lucero, Los Pinos, Recreo, Boston,Barrio Abajo, El Rosario Entre Otros</t>
  </si>
  <si>
    <t>Desde la Calle 48 con carrera 54 hasta la calle 57 con carrera 27</t>
  </si>
  <si>
    <t>10°59'02.7"N 74°47'26.3"W</t>
  </si>
  <si>
    <t>01 DICIEMBRE DE 2016</t>
  </si>
  <si>
    <t>FROIH-968-2016</t>
  </si>
  <si>
    <t xml:space="preserve">UNION TEMPORAL ARROYOS BARRANQUILLA </t>
  </si>
  <si>
    <t xml:space="preserve">INTERASEO S.A (25%)         TERMOTECNICA COINDUSTRIAL S.A.S (25%)           CONSTRUCCIONES E INVERSIONES BETA S.A.S (25%)                           BF CONSTRUYE S.A.S (25%) </t>
  </si>
  <si>
    <t>Luis Eduardo Bencardino Calderon</t>
  </si>
  <si>
    <t>ADI-1484-2020</t>
  </si>
  <si>
    <t>300.000 habitantes</t>
  </si>
  <si>
    <t>Parques</t>
  </si>
  <si>
    <t xml:space="preserve">Parques-VI - Parque las Estrellas </t>
  </si>
  <si>
    <t>El Rubí</t>
  </si>
  <si>
    <t>K 36 Y 35B C 84 Y 87</t>
  </si>
  <si>
    <t xml:space="preserve"> 10°58'52.15"N   74°49'49.28"O</t>
  </si>
  <si>
    <t>Nº 012018002719</t>
  </si>
  <si>
    <t>UNIÓN TEMPORAL PARQUES VI</t>
  </si>
  <si>
    <t>A CONSTRUIR 90%
AE INGENIEROS CIVILES SAS 10%</t>
  </si>
  <si>
    <t>Ivan Jimenez Aguirre</t>
  </si>
  <si>
    <t>040-2017</t>
  </si>
  <si>
    <t>Angelly Criales Anibal</t>
  </si>
  <si>
    <t>Acabados en pañete, pintura, instalación de cerramiento en canchas y zonas de juegos infantiles y obras de  iluminación</t>
  </si>
  <si>
    <t>Parque Estrella 
Entregado el día  25 de julio de 2024 - 100%</t>
  </si>
  <si>
    <t>Parques-VI - Parque las Palmeras</t>
  </si>
  <si>
    <t>C 46K K 3A</t>
  </si>
  <si>
    <t xml:space="preserve"> 10°55'50.15"N  74°48'18.51"O</t>
  </si>
  <si>
    <t xml:space="preserve">Se entregó la obra a la comunidad </t>
  </si>
  <si>
    <t>Parque La Palmeras 
Entregado el día  23 de febrero de 2024 - 100%</t>
  </si>
  <si>
    <t>Parques-VI - Parque Pequeños gigantes</t>
  </si>
  <si>
    <t>Villa Sevilla</t>
  </si>
  <si>
    <t>C 46C y 46E K 16 SUR y 16A SUR</t>
  </si>
  <si>
    <t xml:space="preserve"> 10°55'20.95"N   74°48'13.55"O</t>
  </si>
  <si>
    <t>Parque Pequeños Gigantes 
entregado el día 06 de abril de 2024 -100%</t>
  </si>
  <si>
    <t>Parques-VI - Parque El Limon 2</t>
  </si>
  <si>
    <t>El Limón</t>
  </si>
  <si>
    <t>C 34 K 5C Y 6</t>
  </si>
  <si>
    <t xml:space="preserve"> 10°56'29.74"N   74°47'13.52"O</t>
  </si>
  <si>
    <t>Parque el limón 2
Avance de obra 100%</t>
  </si>
  <si>
    <t xml:space="preserve">Parques-VI - Parque El Milagro </t>
  </si>
  <si>
    <t>El Milagro</t>
  </si>
  <si>
    <t>C 38 K 1H</t>
  </si>
  <si>
    <t xml:space="preserve"> 10°56'0.37"N   74°47'36.05"O</t>
  </si>
  <si>
    <t>Instalación de equipamiento,acabados en general</t>
  </si>
  <si>
    <t>Parque el Milagro 
Avance de obra 95%</t>
  </si>
  <si>
    <t>Parques-VI - Parque Concha Conidec</t>
  </si>
  <si>
    <t xml:space="preserve"> 10°55'39.25"N   74°48'37.98"O</t>
  </si>
  <si>
    <t>En espera de actividades predecesoras de la concha acústica a cargo del contratista de ese frente, acabados en general</t>
  </si>
  <si>
    <t>Parque y Concha Acústica Pablo Neruda 
Avance de obra  100%</t>
  </si>
  <si>
    <t>Parques-VI - Parque karla Gonzalez - Argos</t>
  </si>
  <si>
    <t>Villa Carolina</t>
  </si>
  <si>
    <t>C 96 K72</t>
  </si>
  <si>
    <t xml:space="preserve"> 11° 1'23.47"N   74°49'2.80"O</t>
  </si>
  <si>
    <t>Grupo Argos</t>
  </si>
  <si>
    <t xml:space="preserve">Obras de instalación de placa huellas, paisajismo y siembra de arboles </t>
  </si>
  <si>
    <t>Parque Karla González  Avance de obra  100%</t>
  </si>
  <si>
    <t>Parques-VI - Parque la Castellana - Argos</t>
  </si>
  <si>
    <t>Altos Del Parque</t>
  </si>
  <si>
    <t>K 65 C 99</t>
  </si>
  <si>
    <t xml:space="preserve"> 11° 1'19.48"N   74°49'20.25"O</t>
  </si>
  <si>
    <t>Parque Realismo Mágico Sector Las Aromáticas - Grupo Argos 
Avance de obra  100%</t>
  </si>
  <si>
    <t>CONVENIO CD-48-2021-4479</t>
  </si>
  <si>
    <t>Parques-VI - Parque Villas de San Pablo</t>
  </si>
  <si>
    <t>Villas De San Pablo</t>
  </si>
  <si>
    <t>C 134 K 9G</t>
  </si>
  <si>
    <t xml:space="preserve"> 10°56'8.10"N   74°49'41.25"O</t>
  </si>
  <si>
    <t>UNIÓN TEMPORAL PARQUES VJR</t>
  </si>
  <si>
    <t>Obras de piso en concreto para áreas de patinaje, andenes, plazoletas y senderos,
 bordillos perimetrales y vigas</t>
  </si>
  <si>
    <t>Parque Villas de San Pablo etapa avance de obra  97%</t>
  </si>
  <si>
    <r>
      <t xml:space="preserve">Parques-VII - Grupo 1 </t>
    </r>
    <r>
      <rPr>
        <sz val="10"/>
        <rFont val="Century Gothic"/>
        <family val="2"/>
      </rPr>
      <t>Parque Malecon Sur Oriente</t>
    </r>
  </si>
  <si>
    <t>REBOLO</t>
  </si>
  <si>
    <t>K23 C28 - K27 C8</t>
  </si>
  <si>
    <t xml:space="preserve"> 10°57'49.95"N  74°46'51.75"O</t>
  </si>
  <si>
    <t>LP-001-2024 LOTE 1</t>
  </si>
  <si>
    <t>CONSORCIO URBACARIBE 24</t>
  </si>
  <si>
    <t>INTERVENTORIA DISEÑOS Y CONTRATOS S.A.S. 
M.G.L. INGENIEROS S.A.S</t>
  </si>
  <si>
    <t>LILIANA RAMIREZ SIERRA</t>
  </si>
  <si>
    <t xml:space="preserve">Reuniones comité </t>
  </si>
  <si>
    <t xml:space="preserve">Malecón de Rebolo: acabados finales e instalación de mobiliario. </t>
  </si>
  <si>
    <t>Parques-VII - Grupo 2 Parque Unidad Deportiva la Magdalena</t>
  </si>
  <si>
    <t>LA MAGDALENA</t>
  </si>
  <si>
    <t>K 6B C 35B</t>
  </si>
  <si>
    <t xml:space="preserve"> 10°56'34.99"N  74°47'34.79"O</t>
  </si>
  <si>
    <t>LP-002-2024 LOTE 2</t>
  </si>
  <si>
    <t>CONSORCIO PARQUES DP 2024</t>
  </si>
  <si>
    <t>DONADO ARCE &amp; CIA S.A.S. 
PACANO S.A.S.</t>
  </si>
  <si>
    <t>Unidad Deportiva la Magdalena: Conformacion de terreno para cancha de besibol, acabados de gradas, acabado dugout</t>
  </si>
  <si>
    <t>Parques-VII - Grupo 3 Cancha De Minifutbol Ciudad Modesto</t>
  </si>
  <si>
    <t>CIUDAD MODESTO</t>
  </si>
  <si>
    <t>K 12A C 94</t>
  </si>
  <si>
    <t xml:space="preserve"> 10°57'45.23"N    74°49'46.59"O</t>
  </si>
  <si>
    <t>LP-002-2024 LOTE 3</t>
  </si>
  <si>
    <t>UNION TEMPORAL PARQUES REDEXCO 24</t>
  </si>
  <si>
    <t>REDEX SAS
COELCI SAS</t>
  </si>
  <si>
    <t>ANDRES HERNAN QUINCHAENGUA PINEDA</t>
  </si>
  <si>
    <t>Parque Ciudad Modesto - ENTREGADO</t>
  </si>
  <si>
    <t>Parques-VII - Grupo 3 Parque Productivo - Huerta Urbana Villas de San Pablo</t>
  </si>
  <si>
    <t>VILLAS DE SAN PABLO</t>
  </si>
  <si>
    <t>C 134 K 28</t>
  </si>
  <si>
    <t xml:space="preserve"> 10°57'32.35"N    74°51'54.51"O</t>
  </si>
  <si>
    <t>Hurta Urbana Villas de San Pablo: acabados finales y limpieza</t>
  </si>
  <si>
    <t>Parques-VII - Grupo 3 Parque La Union II</t>
  </si>
  <si>
    <t>LA UNIÓN</t>
  </si>
  <si>
    <t>K 16 C 31</t>
  </si>
  <si>
    <t>10°57'9.38"N    74°47'17.62"O</t>
  </si>
  <si>
    <t>Parque La Unión: - ENTREGADO</t>
  </si>
  <si>
    <t>Parques-VII - Grupo 3 Parque Residual las Americas</t>
  </si>
  <si>
    <t>LAS AMERICAS</t>
  </si>
  <si>
    <t>K 4 C54</t>
  </si>
  <si>
    <t>10°56'37.65"N  74°48'43.18"O</t>
  </si>
  <si>
    <t>Parque Las Americas: - ENTREGADO</t>
  </si>
  <si>
    <t>Parques-VII - Grupo 4 Parque Villa Cordialidad</t>
  </si>
  <si>
    <t>VILLA CORDIALIDAD</t>
  </si>
  <si>
    <t>C 73C K 13</t>
  </si>
  <si>
    <t xml:space="preserve"> 10°56'22.86"N    74°51'42.09"O</t>
  </si>
  <si>
    <t>LP-002-2024 LOTE 4</t>
  </si>
  <si>
    <t>OCCIDENTAL DE COLOMBIA SAS</t>
  </si>
  <si>
    <t>JAVIER ANDRES TORRES MORE</t>
  </si>
  <si>
    <t xml:space="preserve">Parque Villa Cordialidad: </t>
  </si>
  <si>
    <t>Parques-VII - Grupo 4 Parque Villa San Pedro</t>
  </si>
  <si>
    <t xml:space="preserve">SAN PEDRO </t>
  </si>
  <si>
    <t>K 6P Y 6Q - C 102 Y 102A</t>
  </si>
  <si>
    <t xml:space="preserve"> 10°56'53.13"N    74°50'0.29"O</t>
  </si>
  <si>
    <t>Parque Villa San Pedro: ENTREGADO</t>
  </si>
  <si>
    <t>Parques-VII - Grupo 4 Parque Jorge Robledo Ortiz</t>
  </si>
  <si>
    <t>7 DE ABRIL</t>
  </si>
  <si>
    <t>K 15 C 73 AV. Circunvalar</t>
  </si>
  <si>
    <t xml:space="preserve"> 10°55'30.09"N    74°49'12.64"O</t>
  </si>
  <si>
    <t>Parque Jorge Robledo Ortiz: Actividades preliminares, movimientos de tierra, nivelación y replanteo, excavación a máquina y retiro de material sobrante en volqueta, cerramiento perimetral, relleno en material seleccionado, excavación a mano y retiro de material sobrante en volqueta</t>
  </si>
  <si>
    <t>Parques-VII - Grupo 4 Parque El 5 y 6</t>
  </si>
  <si>
    <t>EL BOSQUE</t>
  </si>
  <si>
    <t>K 6 C 74A</t>
  </si>
  <si>
    <t xml:space="preserve"> 10°56'48.44"N    74°49'8.66"O</t>
  </si>
  <si>
    <t>LP-002-2024 LOTE 5</t>
  </si>
  <si>
    <t>Reunions comité</t>
  </si>
  <si>
    <t>Parques-VII - Grupo 4 Parque Roble Morado</t>
  </si>
  <si>
    <t>K 8 Sur C 50C</t>
  </si>
  <si>
    <t xml:space="preserve"> 10°55'33.63"N  74°48'46.29"O</t>
  </si>
  <si>
    <t>LP-002-2024 LOTE 6</t>
  </si>
  <si>
    <t>Parques-VII - Grupo 5 Cancha Villa del Carmen</t>
  </si>
  <si>
    <t>LA ESMERALDA</t>
  </si>
  <si>
    <t xml:space="preserve"> 10°57'52.53"N    74°49'5.77"O</t>
  </si>
  <si>
    <t>CONSORCIO FASE 7 BARRANQUILLA</t>
  </si>
  <si>
    <t>MONARCA INGENIERÍA ZOMAC S.A.S
EBM CONSTRUCCIONES E INTERVENTORIAS S.A.S</t>
  </si>
  <si>
    <t>ANA LUCILA GOMEZ ARTEAGA</t>
  </si>
  <si>
    <t>Parques-VII - Grupo 5 Parque La Pradera</t>
  </si>
  <si>
    <t>LA PRADERA</t>
  </si>
  <si>
    <t>C 114 Y 115 K 31</t>
  </si>
  <si>
    <t xml:space="preserve"> 10°58'42.92"N    74°50'19.48"O</t>
  </si>
  <si>
    <t>Parque La Pradera: ENTREGADO</t>
  </si>
  <si>
    <t>Parques-VII - Grupo 5 Parque Bulevar Caribe Verde Fase 1</t>
  </si>
  <si>
    <t>CARIBE VERDE</t>
  </si>
  <si>
    <t>C 110 K 9G</t>
  </si>
  <si>
    <t xml:space="preserve"> 10°57'32.87"N    74°51'25.04"O</t>
  </si>
  <si>
    <t xml:space="preserve">Paque Caribe Verde: </t>
  </si>
  <si>
    <t>Parques-VII - Grupo 5 Parque Juan Mina</t>
  </si>
  <si>
    <t>JUAN MINA</t>
  </si>
  <si>
    <t>VÍA 11 C 6</t>
  </si>
  <si>
    <t xml:space="preserve"> 10°57'28.91"N    74°53'30.67"O</t>
  </si>
  <si>
    <t>Parque Juan Mina: ENTREGADO</t>
  </si>
  <si>
    <t>Parques-VII - Grupo 5 Parque Virgencita de los Trupillos</t>
  </si>
  <si>
    <t>LOS TRUPILLOS</t>
  </si>
  <si>
    <t>K 21E C 27B</t>
  </si>
  <si>
    <t xml:space="preserve"> 10°57'33.72"N    74°47'2.74"O</t>
  </si>
  <si>
    <t>Virgencita de Los Trupillos: ENTREGADO</t>
  </si>
  <si>
    <t>Parques-VII - Grupo 5 Parque El Gusanito</t>
  </si>
  <si>
    <t>LAS NIEVES</t>
  </si>
  <si>
    <t>K 16A C 27B</t>
  </si>
  <si>
    <t xml:space="preserve"> 10°57'12.26"N    74°46'59.45"O</t>
  </si>
  <si>
    <t>Parques-VII - Grupo 5 Parque Las 5 Estrellas</t>
  </si>
  <si>
    <t>EL RUBÍ</t>
  </si>
  <si>
    <t>C 84B K 37</t>
  </si>
  <si>
    <t xml:space="preserve"> 10°58'57.53"N  74°49'50.45"O</t>
  </si>
  <si>
    <t>Parques-VII - Grupo 6 Parque Siete Bocas</t>
  </si>
  <si>
    <t>SANTO DOMINGO DE GUZMÁN</t>
  </si>
  <si>
    <t>C 62 K 2 Y 2C TRANV. 1C</t>
  </si>
  <si>
    <t>10°56'10.93"N   74°48'57.52"O</t>
  </si>
  <si>
    <t>CONSORCIO MEJORAMIENTO DEPORTIVO</t>
  </si>
  <si>
    <t>ESTUDIOS CONSULTORIAS Y OBRAS S.A.S.
OBRAS INTERVENTORIAS Y SUMINISTROS S.A.S,</t>
  </si>
  <si>
    <t>ENETH TALINA AVENDAÑO PACHECO</t>
  </si>
  <si>
    <t xml:space="preserve">Parque Siete Bocas: Actas de vecindad y topografia </t>
  </si>
  <si>
    <t>Parques-VII - Grupo 6 Cancha Las Terrazas - Villa del Rosario</t>
  </si>
  <si>
    <t>EL EDÉN</t>
  </si>
  <si>
    <t>C 83A K 35</t>
  </si>
  <si>
    <t xml:space="preserve"> 10°58'56.55"N   74°49'36.78"O</t>
  </si>
  <si>
    <t>Parque Villa del Rosario: ENTREGADO</t>
  </si>
  <si>
    <t>Parques-VII - Grupo 6 Cancha los Tubos</t>
  </si>
  <si>
    <t>K 1C C41C</t>
  </si>
  <si>
    <t>10°55'49.61"N   74°47'42.80"O</t>
  </si>
  <si>
    <t>Parques-VII - Grupo 6 Cancha el Brasil</t>
  </si>
  <si>
    <t>LA SIERRITA</t>
  </si>
  <si>
    <t>TRANSV. 5C C 55C</t>
  </si>
  <si>
    <t xml:space="preserve"> 10°56'54.30"N    74°48'45.41"O</t>
  </si>
  <si>
    <t>Parque El Brasil: ENTREGADO</t>
  </si>
  <si>
    <t>Parques-VII - Grupo 6 Parque La Solución</t>
  </si>
  <si>
    <t>C 32 K 7D</t>
  </si>
  <si>
    <t xml:space="preserve"> 10°56'56.36"N     74°47'12.32"O</t>
  </si>
  <si>
    <t xml:space="preserve">Parque La Solución: </t>
  </si>
  <si>
    <t>Parques-VII - Grupo 7 Parque El Pekin -  La 16</t>
  </si>
  <si>
    <t>LA LUZ</t>
  </si>
  <si>
    <t>K 20 C 16</t>
  </si>
  <si>
    <t xml:space="preserve"> 10°57'27.42"N    74°46'26.23"O</t>
  </si>
  <si>
    <t>LP-002-2024 LOTE 7</t>
  </si>
  <si>
    <t>CONSORCIO EP BAQ</t>
  </si>
  <si>
    <t>BF CONSTRUYE S.A.S.
PLANETA, PROYECTOS Y OBRAS S.A.S</t>
  </si>
  <si>
    <t>MARIA ISABEL VALENZUELA BENITEZ</t>
  </si>
  <si>
    <t>Parques-VII - Grupo 7 Cancha La Monumental De Happy</t>
  </si>
  <si>
    <t>CALLE 78 CON CARRERA 9SUR</t>
  </si>
  <si>
    <t xml:space="preserve"> 10°55'42.24"N    74°49'15.20"O</t>
  </si>
  <si>
    <t>Parques-VII - Grupo 7 Parque San Felipe</t>
  </si>
  <si>
    <t>SAN FELIPE</t>
  </si>
  <si>
    <t>C 70C K 24B</t>
  </si>
  <si>
    <t xml:space="preserve"> 10°58'25.54"N    74°48'36.67"O</t>
  </si>
  <si>
    <t>Parque San Felipe: ENTREGADO</t>
  </si>
  <si>
    <t>Parques-VII - Grupo 7 Cancha de Minifutbol 7 de Abril</t>
  </si>
  <si>
    <t xml:space="preserve"> K 15 SUR 73 20</t>
  </si>
  <si>
    <t xml:space="preserve"> 10°55'28.58"N    74°49'9.95"O</t>
  </si>
  <si>
    <t>Parques-VII - Grupo 7 Parque Los Trupillos 2</t>
  </si>
  <si>
    <t xml:space="preserve"> 10°57'37.10"N    74°46'58.54"O</t>
  </si>
  <si>
    <t xml:space="preserve">Parque Los Trupillos 2: </t>
  </si>
  <si>
    <t>Parques-VII - Grupo 7 Cancha Barranquilla</t>
  </si>
  <si>
    <t>Parques-VII - Grupo 7 Parque Las Nieves II</t>
  </si>
  <si>
    <t>K15 C24</t>
  </si>
  <si>
    <t xml:space="preserve"> 10°57'9.17"N    74°46'43.48"O</t>
  </si>
  <si>
    <t>Parque Las Nieves: ENTREGADO</t>
  </si>
  <si>
    <t>Parques-VII - Grupo 7 Parque Villa Campito</t>
  </si>
  <si>
    <t>EL CAMPITO</t>
  </si>
  <si>
    <t>K10 C 36B</t>
  </si>
  <si>
    <t xml:space="preserve"> 10°57'1.59"N    74°47'30.41"O</t>
  </si>
  <si>
    <t>Parque El Campito: ENTREGADO</t>
  </si>
  <si>
    <t>Parque-VIII-Grupo 1 BULEVAR DE SIMON BOLIVAR</t>
  </si>
  <si>
    <t>SURORIENTE</t>
  </si>
  <si>
    <t>SIMON BOLIVAR</t>
  </si>
  <si>
    <t>C 19 K 1B Y 7C</t>
  </si>
  <si>
    <t xml:space="preserve"> 10°56'29.96"N     74°46'40.67"O</t>
  </si>
  <si>
    <t>Precontractual</t>
  </si>
  <si>
    <t>Perfeccionamiento_y_Legalización</t>
  </si>
  <si>
    <t>SA-008-2025 LOTE 1</t>
  </si>
  <si>
    <t>CONSORCIO BARRANQUILLA PG</t>
  </si>
  <si>
    <t xml:space="preserve">Parque-VIII-Grupo 1 PARQUE LAS DUNAS </t>
  </si>
  <si>
    <t xml:space="preserve">LAS DUNAS </t>
  </si>
  <si>
    <t>CL 36A Y 36B C K 3B</t>
  </si>
  <si>
    <t xml:space="preserve"> 10°56'15.83"N     74°47'28.17"O</t>
  </si>
  <si>
    <t>Parque-VIII-Grupo 1 CANCHA EL EDEN</t>
  </si>
  <si>
    <t>SUROCCIDENTE</t>
  </si>
  <si>
    <t>EL EDEN</t>
  </si>
  <si>
    <t xml:space="preserve">C 103 K 29 </t>
  </si>
  <si>
    <t xml:space="preserve"> 10°58'34.96"N     74°50'0.88"O</t>
  </si>
  <si>
    <t xml:space="preserve">Parque-VIII-Grupo 1 CANCHA LA ESMERALDA METRO BARRO </t>
  </si>
  <si>
    <t xml:space="preserve">LA ESMERALDA </t>
  </si>
  <si>
    <t>K 16 DIAGONAL 74-74A</t>
  </si>
  <si>
    <t xml:space="preserve"> 10°58'5.16"N    74°49'7.62"O</t>
  </si>
  <si>
    <t>Parque-VIII-Grupo 1 CANCHA SANTA MARTA</t>
  </si>
  <si>
    <t>K 5C C 19</t>
  </si>
  <si>
    <t xml:space="preserve"> 10°56'40.30"N    74°46'38.87"O</t>
  </si>
  <si>
    <t>Parque-VIII-Grupo 1 CANCHA SIMON BOLIVAR</t>
  </si>
  <si>
    <t>K 4C Y 5 C 19 Y 23</t>
  </si>
  <si>
    <t xml:space="preserve"> 10°56'33.86"N     74°46'41.55"O</t>
  </si>
  <si>
    <t>Parque-VIII-Grupo 2 BULEVAR LAS GARDENIAS</t>
  </si>
  <si>
    <t>METROPOLITANA</t>
  </si>
  <si>
    <t>GARDENIAS</t>
  </si>
  <si>
    <t>C 98C K1E 3C</t>
  </si>
  <si>
    <t xml:space="preserve"> 10°56'20.98"N    74°49'44.44"O</t>
  </si>
  <si>
    <t>SA-008-2025 LOTE 2</t>
  </si>
  <si>
    <t>Parque-VIII-Grupo 2 CANCHA SANTA CRUZ</t>
  </si>
  <si>
    <t xml:space="preserve">K 1B2 - CL 46J Y 46G </t>
  </si>
  <si>
    <t xml:space="preserve"> 10°55'54.58"N     74°48'14.64"O</t>
  </si>
  <si>
    <t>Parque-VIII-Grupo 2 PARQUE LOS GIRASOLES</t>
  </si>
  <si>
    <t>LOS GIRASOLES</t>
  </si>
  <si>
    <t>K14 SUR CALLE 47A</t>
  </si>
  <si>
    <t xml:space="preserve"> 10°55'24.49"N    74°48'19.99"O</t>
  </si>
  <si>
    <t>Parque-VIII-Grupo 2 PARQUE LA CEIBA</t>
  </si>
  <si>
    <t>LA CEIBA</t>
  </si>
  <si>
    <t>K 14 C 60</t>
  </si>
  <si>
    <t xml:space="preserve"> 10°57'37.13"N      74°48'25.71"O</t>
  </si>
  <si>
    <t>Parque-VIII-Grupo 2 CANCHA LA MONA</t>
  </si>
  <si>
    <t>10°57'18.46"N    74°46'19.65"O</t>
  </si>
  <si>
    <t>10.955128°</t>
  </si>
  <si>
    <t xml:space="preserve">Parque-VIII-Grupo 2 CANCHA ROCA PIEDRA </t>
  </si>
  <si>
    <t>C45 E K1J</t>
  </si>
  <si>
    <t xml:space="preserve"> 10°55'57.72"N      74°48'7.01"O</t>
  </si>
  <si>
    <t>Parque-VIII-Grupo 2 CANCHA DE MICROFUTBOL "SOCIEDAD DE CRISTO"</t>
  </si>
  <si>
    <t>EL SILENCIO</t>
  </si>
  <si>
    <t>K 26C4 C 79</t>
  </si>
  <si>
    <t xml:space="preserve"> 10°58'45.70"N     74°49'5.23"O</t>
  </si>
  <si>
    <t xml:space="preserve">Parque-VIII-Grupo 2 CANCHA SANTA MARIA </t>
  </si>
  <si>
    <t>KR 3B SUR C 77</t>
  </si>
  <si>
    <t xml:space="preserve"> 10°55'54.19"N     74°49'10.33"O</t>
  </si>
  <si>
    <t>Parque-VIII-Grupo 2 PARQUE Y CANCHA EL PANA</t>
  </si>
  <si>
    <t>K 2G 53B 15</t>
  </si>
  <si>
    <t xml:space="preserve"> 10°56'21.91"N      74°48'51.84"O</t>
  </si>
  <si>
    <t>Parque-VIII-Grupo 2 PARQUE LAS PALMAS 2</t>
  </si>
  <si>
    <t>LAS PALMAS</t>
  </si>
  <si>
    <t>C 33 Y 33A K 8</t>
  </si>
  <si>
    <t xml:space="preserve"> 10°56'50.97"N      74°47'15.40"O</t>
  </si>
  <si>
    <t>Parque-VIII-Grupo 3 MALECON DE REBOLO - CALLE 30</t>
  </si>
  <si>
    <t>C 29 Y 30 K  21B</t>
  </si>
  <si>
    <t xml:space="preserve"> 10°57'37.38"N    74°46'59.57"O</t>
  </si>
  <si>
    <t>LP-031-2024 LOTE 3</t>
  </si>
  <si>
    <t>CONSORCIO ESCENARIOS EP</t>
  </si>
  <si>
    <t>Malecon de Rebolo: Topografía</t>
  </si>
  <si>
    <t>Parque-VIII-Grupo 3 ECOPARQUE METROPOLITANO</t>
  </si>
  <si>
    <t>C 46 Kk 12A SUR</t>
  </si>
  <si>
    <t xml:space="preserve"> 10°55'29.94"N    74°48'2.82"O</t>
  </si>
  <si>
    <t>Parque-VIII-Grupo 3 PARQUE URBANIZACIÓN LA PLAYA</t>
  </si>
  <si>
    <t>RIOMAR</t>
  </si>
  <si>
    <t>LA PLAYA</t>
  </si>
  <si>
    <t>K 24 C 9 Y 9A</t>
  </si>
  <si>
    <t xml:space="preserve"> 11° 1'23.25"N    74°52'10.60"O</t>
  </si>
  <si>
    <t>Parque La Playa: Topografía, demolición, nivelación de terreno, vigas de confinamiento</t>
  </si>
  <si>
    <t>Parque-VIII-Grupo 3 PARQUE LOS MUÑECOS</t>
  </si>
  <si>
    <t>K 1B Y 1C C 42</t>
  </si>
  <si>
    <t xml:space="preserve"> 10°55'51.61"N      74°47'48.47"O</t>
  </si>
  <si>
    <t>Parque Los Muñecos : Topografía, demolición, nivelación de terreno, vigas de confinamiento</t>
  </si>
  <si>
    <t>Parque-VIII-Grupo 3 CANCHA CEVILLAR</t>
  </si>
  <si>
    <t>CEVILLAR</t>
  </si>
  <si>
    <t>K 14 C 54</t>
  </si>
  <si>
    <t xml:space="preserve"> 10°57'23.90"N       74°48'7.30"O</t>
  </si>
  <si>
    <t xml:space="preserve">Parque-VIII-Grupo 3 CANCHA JUAN MINA </t>
  </si>
  <si>
    <t xml:space="preserve">CL8 K7 </t>
  </si>
  <si>
    <t xml:space="preserve"> 10°57'20.60"N       74°53'40.32"O</t>
  </si>
  <si>
    <t>Cancha Juan Mina: Topografía, demolición, relleno</t>
  </si>
  <si>
    <t>Parque-VIII-Grupo 3 PARQUE PRADITO</t>
  </si>
  <si>
    <t>C 46A K 1C</t>
  </si>
  <si>
    <t xml:space="preserve"> 10°55'52.25"N       74°48'10.81"O</t>
  </si>
  <si>
    <t>Parque Pradito: Topografía</t>
  </si>
  <si>
    <t>Parque-VIII-Grupo 3 PARQUE CAMPO ALEGRE 3</t>
  </si>
  <si>
    <t>NORTE - CENTRO HISTORICO</t>
  </si>
  <si>
    <t>CAMPO ALEGRE</t>
  </si>
  <si>
    <t xml:space="preserve">K 41A - CL 84B </t>
  </si>
  <si>
    <t xml:space="preserve"> 10°59'14.06"N      74°49'55.89"O</t>
  </si>
  <si>
    <t>Parque-VIII-Grupo 3 PARQUE VILLAS DE SAN PABLO - EXTENCIÓN</t>
  </si>
  <si>
    <t>K 9G C 134</t>
  </si>
  <si>
    <t xml:space="preserve"> 10°57'37.27"N      74°51'26.60"O</t>
  </si>
  <si>
    <t>Parque-VIII-Grupo 3 CANCHA VILLA SAN PEDRO</t>
  </si>
  <si>
    <t xml:space="preserve"> 10°57'2.13"N     74°49'56.69"O</t>
  </si>
  <si>
    <t>Parque-VIII-Grupo 3 PARQUE LA ESMERALDA  - DIAGONAL 77 K21B</t>
  </si>
  <si>
    <t>DIAGONAL 77 K21B</t>
  </si>
  <si>
    <t>10°58'8.38"N      74°49'18.92"O</t>
  </si>
  <si>
    <t>Parque la Esmeralda: Topografía</t>
  </si>
  <si>
    <t>Parque-VIII-Grupo 3 PLACITA LOS PESCADORES</t>
  </si>
  <si>
    <t>LAS FLORES</t>
  </si>
  <si>
    <t>K 87 Y 88 C 109</t>
  </si>
  <si>
    <t xml:space="preserve"> 11° 2'28.43"N      74°49'37.22"O</t>
  </si>
  <si>
    <t>Parque-VIII-Grupo 8 PARQUE CRISTO RESUCITADO - LA PLAYA</t>
  </si>
  <si>
    <t>K 10 C 15</t>
  </si>
  <si>
    <t xml:space="preserve"> 11° 1'57.84"N      74°51'56.42"O</t>
  </si>
  <si>
    <t>Parque-VIII-Grupo 3 ESPACIO RESIDUAL SANTA MARIA</t>
  </si>
  <si>
    <t>KR 1 CL 79</t>
  </si>
  <si>
    <t xml:space="preserve"> 10°55'58.40"N      74°49'12.64"O</t>
  </si>
  <si>
    <t>Parque-VIII-Grupo 3 PARQUE VILLA SAN PEDRO 1</t>
  </si>
  <si>
    <t xml:space="preserve">C 96A K 6C Y 6D </t>
  </si>
  <si>
    <t xml:space="preserve"> 10°56'41.23"N       74°49'41.05"O</t>
  </si>
  <si>
    <t>Parque-VIII-Grupo 3 PARQUE MIRAMAR - CICLOMONTAÑISMO</t>
  </si>
  <si>
    <t>MIRAMAR</t>
  </si>
  <si>
    <t>K 42F C99A</t>
  </si>
  <si>
    <t xml:space="preserve"> 10°59'53.74"N      74°50'5.43"O</t>
  </si>
  <si>
    <t>Parque Miramar - Ciclomontañismo: Topografía, cerramiento</t>
  </si>
  <si>
    <t>Parque-VIII-Grupo 4 PARQUE BARLOVENTO</t>
  </si>
  <si>
    <t>BARLOVENTO</t>
  </si>
  <si>
    <t>VIA 40 CON CARRERA 50</t>
  </si>
  <si>
    <t xml:space="preserve"> 10°59'21.19"N     74°46'42.25"O</t>
  </si>
  <si>
    <t>LP-031-2024 LOTE 4</t>
  </si>
  <si>
    <t>Parque Barlovento: Topografía</t>
  </si>
  <si>
    <t>Parque-VIII-Grupo 4 PARQUE CIUDAD MODESTO 2</t>
  </si>
  <si>
    <t>K 13B C 84</t>
  </si>
  <si>
    <t xml:space="preserve"> 10°57'55.01"N     74°49'33.22"O</t>
  </si>
  <si>
    <t>Parque Ciudad Modesto: Topografía, demolición, nivelación de terreno</t>
  </si>
  <si>
    <t>Parque-VIII-Grupo 8 PARQUE Y CANCHA JHON JAIRO HURTADO</t>
  </si>
  <si>
    <t>K 1A C 50D Y 51</t>
  </si>
  <si>
    <t xml:space="preserve"> 10°55'52.92"N      74°48'39.55"O</t>
  </si>
  <si>
    <t>Parque Jhon Jairo Hurtado: Topografía, demolición, nivelación de terreno, vigas de confinamiento</t>
  </si>
  <si>
    <t>Parque-VIII-Grupo 8 PLAZA JARDÍN ÁGUILA - BARRIO ABAJO</t>
  </si>
  <si>
    <t>BARRIO ABAJO</t>
  </si>
  <si>
    <t>k 50B C 42</t>
  </si>
  <si>
    <t xml:space="preserve"> 10°59'23.68"N     74°46'56.01"O</t>
  </si>
  <si>
    <t>Plaza Jardín Aguila: Topografía, demolición</t>
  </si>
  <si>
    <t>Parque-VIII-Grupo 8 PARQUE LOS MUSICOS</t>
  </si>
  <si>
    <t>COLOMBIA</t>
  </si>
  <si>
    <t>C 72 K 46</t>
  </si>
  <si>
    <t xml:space="preserve"> 10°59'42.17"N    74°48'23.59"O</t>
  </si>
  <si>
    <t>Parque-VIII-Grupo 8 PARQUE SAN SALVADOR</t>
  </si>
  <si>
    <t>SAN SALVADOR</t>
  </si>
  <si>
    <t>C 85 K 78D</t>
  </si>
  <si>
    <t xml:space="preserve"> 11° 1'27.41"N      74°48'22.85"O</t>
  </si>
  <si>
    <t>Parque-VIII-Grupo 8 CANCHA LOS PINOS</t>
  </si>
  <si>
    <t>LOS PINOS</t>
  </si>
  <si>
    <t>C 55 K 26</t>
  </si>
  <si>
    <t xml:space="preserve"> 10°58'27.30"N   74°47'56.32"O</t>
  </si>
  <si>
    <t>Parque-VIII-Grupo 8 PARQUE LOS ENAMORADOS</t>
  </si>
  <si>
    <t>EL ROSARIO</t>
  </si>
  <si>
    <t>C 45 K 41</t>
  </si>
  <si>
    <t xml:space="preserve"> 10°58'52.15"N    74°47'10.09"O</t>
  </si>
  <si>
    <t xml:space="preserve">Parque-VIII-Grupo 8 PARQUE LA PIÑUELA </t>
  </si>
  <si>
    <t>C 8 K 5</t>
  </si>
  <si>
    <t xml:space="preserve"> 10°57'17.01"N      74°53'43.08"O</t>
  </si>
  <si>
    <t>Parque-VIII-Grupo 8 PARQUE TAYRONA</t>
  </si>
  <si>
    <t>TAYRONA</t>
  </si>
  <si>
    <t>K 7D C 32</t>
  </si>
  <si>
    <t xml:space="preserve"> 10°57'17.01"N       74°53'43.08"O</t>
  </si>
  <si>
    <t>Parque-VIII-Grupo 8 PARQUE SAN FELIPE</t>
  </si>
  <si>
    <t>C 68 Y 68B K 24B Y 24C</t>
  </si>
  <si>
    <t xml:space="preserve"> 10°58'25.68"N    74°48'30.66"O</t>
  </si>
  <si>
    <t>Parque-VIII-Grupo 8 PARQUE KALAMARY 1</t>
  </si>
  <si>
    <t>KALAMARY</t>
  </si>
  <si>
    <t xml:space="preserve"> K 29 C 84A Y 85</t>
  </si>
  <si>
    <t xml:space="preserve"> 10°58'41.50"N       74°49'44.44"O</t>
  </si>
  <si>
    <t>Parque-VIII-Grupo 8 NORIA - MALECON DEL RIO</t>
  </si>
  <si>
    <t>SIAPE</t>
  </si>
  <si>
    <t>VIA 40 CON CALLE 72</t>
  </si>
  <si>
    <t xml:space="preserve"> 11° 0'54.22"N      74°47'17.33"O</t>
  </si>
  <si>
    <t>Noria: Topografía, demolición, nivelación de terreno</t>
  </si>
  <si>
    <t>Parque-VIII-Grupo 8 EL EDEN II</t>
  </si>
  <si>
    <t xml:space="preserve">EL EDEN </t>
  </si>
  <si>
    <t>K 28 C 102A</t>
  </si>
  <si>
    <t xml:space="preserve"> 10°58'33.05"N      74°49'58.64"O</t>
  </si>
  <si>
    <t>Parque-VIII-Grupo 8 EL CAMPITO III</t>
  </si>
  <si>
    <t>C 36B K 8B</t>
  </si>
  <si>
    <t xml:space="preserve"> 10°56'51.04"N      74°47'33.81"O</t>
  </si>
  <si>
    <t>Siembra+</t>
  </si>
  <si>
    <t>Huertas</t>
  </si>
  <si>
    <t>Huertas Comunitarias - Juan Mina</t>
  </si>
  <si>
    <t>Juan Mina</t>
  </si>
  <si>
    <t>EL REPOSO LT 1</t>
  </si>
  <si>
    <t>10°57'20.1"N 74°53'16.7"W</t>
  </si>
  <si>
    <t>LP-010-2023</t>
  </si>
  <si>
    <t>A CONSTRUIR S.A</t>
  </si>
  <si>
    <t>IMC-032-2023</t>
  </si>
  <si>
    <t>CONSORCIO INTERHUERTAS</t>
  </si>
  <si>
    <t xml:space="preserve">BMP CONSULTORES SAS 40%
INGENIERIA DE PROYECTOS SAS 60%    </t>
  </si>
  <si>
    <t>Carlos Martinez Gutierrez</t>
  </si>
  <si>
    <t>30.000 personas (6.250 migrantes, 1.300 niños. 16.000 mujeres, 2.600 jóvenes)</t>
  </si>
  <si>
    <t xml:space="preserve">Número de metros cuadrados destinados a agricultura urbana y huertos comunitarios (desagregado por espacios rehabilitados y áreas de protección ambiental),
Línea de base: 7.400 m2 (2021), Objetivo: 27.400 m2 </t>
  </si>
  <si>
    <t>Reuniones preconstractuales</t>
  </si>
  <si>
    <t>Huertas Comunitarias - La Paz</t>
  </si>
  <si>
    <t>La Paz</t>
  </si>
  <si>
    <t>CARRERA 12A CALLE 99D</t>
  </si>
  <si>
    <t>10°57'40.8"N 74°50'03.2"W</t>
  </si>
  <si>
    <t xml:space="preserve">Kilos de alimentos producidos por huertos urbanos en Barranquilla
Línea de base: 39 kg por semestre (2021), Meta: 2430 kg por semestre/año </t>
  </si>
  <si>
    <t xml:space="preserve">Reuniones preconstractuales  </t>
  </si>
  <si>
    <t>Huertas Comunitarias - Las Gardenias</t>
  </si>
  <si>
    <t>Gardenias</t>
  </si>
  <si>
    <t>CALLE 96 CRA 1E</t>
  </si>
  <si>
    <t>10°56'08.7"N 74°49'41.5"W</t>
  </si>
  <si>
    <t>Número de personas, participantes de las iniciativas de agricultura urbana, que han mejorado su economía familiar (a través del ahorro) Meta: 500</t>
  </si>
  <si>
    <t>Huertas Comunitarias - Lipaya</t>
  </si>
  <si>
    <t>Lipaya</t>
  </si>
  <si>
    <t xml:space="preserve">CALLE 73D CARRERA 9J1 </t>
  </si>
  <si>
    <t>10°57'39.1"N 74°49'16.0"W</t>
  </si>
  <si>
    <t xml:space="preserve"> % de espacios verdes (metros cuadrados) en Barranquilla que son co-gestionados por comunidades vulnerables y/o organizaciones locales para la producción de alimentos, Meta 3% </t>
  </si>
  <si>
    <t>PDO</t>
  </si>
  <si>
    <t>Centro Comercial Estadio Metropolitano</t>
  </si>
  <si>
    <t>Ciudadela 20 de Julio</t>
  </si>
  <si>
    <t>10°55'36.9"N 74°48'07.9"W</t>
  </si>
  <si>
    <t>Formulación</t>
  </si>
  <si>
    <t>Proyecto_Fase_I_Prefactibilidad</t>
  </si>
  <si>
    <t>Articulando diseños con ampliación</t>
  </si>
  <si>
    <t>Finalización de la articulación</t>
  </si>
  <si>
    <t>Movistar Arena</t>
  </si>
  <si>
    <t>Todas</t>
  </si>
  <si>
    <t>Toda la Ciudad</t>
  </si>
  <si>
    <t>Visita de campo con el diseñador</t>
  </si>
  <si>
    <t>Propuestas de esquemas basicos o de implantación</t>
  </si>
  <si>
    <t xml:space="preserve">Malecón </t>
  </si>
  <si>
    <t>Noria - Gran Malecón</t>
  </si>
  <si>
    <t>Industrial Via 40</t>
  </si>
  <si>
    <t>11°00'54.3"N 74°47'17.6"W</t>
  </si>
  <si>
    <t>Consultoría</t>
  </si>
  <si>
    <t>11°04'21.4"N 74°51'55.4"W</t>
  </si>
  <si>
    <t>Estudio de demanda finalizado, en evaluación del modelo financiero</t>
  </si>
  <si>
    <t>CD-06-2021-4220</t>
  </si>
  <si>
    <t>Riesgos POT</t>
  </si>
  <si>
    <t>Se finalizó en 30 de abril de 2024</t>
  </si>
  <si>
    <t>CD-12-2023-1252</t>
  </si>
  <si>
    <t>Ecoparque Mallorquin-1252 - UF-4 Distrito Aventura</t>
  </si>
  <si>
    <t>Corregimiento La Playa, Las Flores</t>
  </si>
  <si>
    <t>11°1'49.70"N 74°51'16.60"W</t>
  </si>
  <si>
    <t>Diseños finalizados</t>
  </si>
  <si>
    <t>CD-12-2022-1444</t>
  </si>
  <si>
    <t>Recuperación Caños - Ahuyama y Mercado [Estudios y Diseños] (AECID)</t>
  </si>
  <si>
    <t>La Luz, La Chinita y Rebolo</t>
  </si>
  <si>
    <t>10°57'04.6"N 74°45'32.1"W</t>
  </si>
  <si>
    <t>GRT/BB-18616-CO</t>
  </si>
  <si>
    <t>Ecoparque Mallorquin-BID - Plan de Recuperación Ambiental</t>
  </si>
  <si>
    <t>Proyecto_Fase_III_Diseños_definitivos_y_detalles</t>
  </si>
  <si>
    <t>AFD-CCO 1087 01 S</t>
  </si>
  <si>
    <t>Ecoparque Mallorquin-1087 - UF 3 - Tierra (Antiguo Botadero)</t>
  </si>
  <si>
    <t>11°02'21.8"N 74°49'56.6"W</t>
  </si>
  <si>
    <t>Cierre de auditoría</t>
  </si>
  <si>
    <t>Pendiente resultados de auditoría</t>
  </si>
  <si>
    <t>Hyper Scale Data Center</t>
  </si>
  <si>
    <t>La Bendición de Dios</t>
  </si>
  <si>
    <t>10°59'27.9"N 74°46'04.9"W</t>
  </si>
  <si>
    <t>Diseños conceptual finalizado</t>
  </si>
  <si>
    <t>CD537-2023</t>
  </si>
  <si>
    <t>Universidad</t>
  </si>
  <si>
    <t>IUB_Baq - S. Centro Histórico, Renovación Fase I [Piso 1 + Dotación]</t>
  </si>
  <si>
    <t>Rosario</t>
  </si>
  <si>
    <t>Calle 42 #45-22</t>
  </si>
  <si>
    <t>10.985900, -74.782243</t>
  </si>
  <si>
    <t>Carlos Fernando Lemus Santana</t>
  </si>
  <si>
    <t>056-2023</t>
  </si>
  <si>
    <t>Fabio Bedoya</t>
  </si>
  <si>
    <t>4266 Estudiantes</t>
  </si>
  <si>
    <t>Metros cuadrados renovados</t>
  </si>
  <si>
    <t>Acta de entrega firmada</t>
  </si>
  <si>
    <t>Pendiente liquidación</t>
  </si>
  <si>
    <t>IUB_Baq - S. Centro Histórico, Renovación Fase II [Laboratorio, Aulas P2 y Cerramiento]</t>
  </si>
  <si>
    <t>CD0380-2025</t>
  </si>
  <si>
    <t>IUB_Baq - S. Centro Histórico, Renovación Fase III [Aulas, Reforzamiento estructural y Cubierta]</t>
  </si>
  <si>
    <t>CONSORCIO FASE 3</t>
  </si>
  <si>
    <t>Sandy Molina Villanueva</t>
  </si>
  <si>
    <t>097-2025</t>
  </si>
  <si>
    <t>Astra Consultores S.A.S</t>
  </si>
  <si>
    <t>IUB_Baq - S. Centro Histórico, Renovación Fase III [Reforzamiento Estructural y Aulas P2]</t>
  </si>
  <si>
    <t>Rojo</t>
  </si>
  <si>
    <t>En_Seguimiento</t>
  </si>
  <si>
    <t>DINATEL GROUP S.A.S.</t>
  </si>
  <si>
    <t xml:space="preserve">CARLOS FERNANDO LEMUS SANTANA  </t>
  </si>
  <si>
    <t>054-2025</t>
  </si>
  <si>
    <t>PUERTA DE ORO</t>
  </si>
  <si>
    <t>K-yena</t>
  </si>
  <si>
    <t>CD-01-2021-4482</t>
  </si>
  <si>
    <t>Energía_Sostenible</t>
  </si>
  <si>
    <t>Generación</t>
  </si>
  <si>
    <t>Ener_Sostenible-4482 - INSTECO Jesus Misericordioso N1</t>
  </si>
  <si>
    <t>20 de Julio</t>
  </si>
  <si>
    <t>Cra 4 Sur # 99C-46</t>
  </si>
  <si>
    <t>10.9334816431561, -74.83244896463155</t>
  </si>
  <si>
    <t>-74,83244896463150</t>
  </si>
  <si>
    <t>1321 estudiantes</t>
  </si>
  <si>
    <t>100/100</t>
  </si>
  <si>
    <t xml:space="preserve">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videoviligancia, comunicación - 100%
Interconexión con el punto de entrega - 100%
Inspección cumplimiento RETIE del AGPE - 100%
Emisión Dictamen Inspección Pleno RETIE del AGPE - 100%
Registro de proyectos SSFV -  0%
Solicitud cambio de comercializador - 0%
Acta de energización / Puesta en operación - 0%
</t>
  </si>
  <si>
    <t xml:space="preserve">Las respectivas actividades de normalización de la medida representan un hito relevante en el avance % del proyecto (Aprox un 25%) motivo por el cual , se debe tener en cuenta que no se reflejará dicho avance hasta el final (cambio de comercializador). </t>
  </si>
  <si>
    <t>Ener_Sostenible-4482 - PASO Ferry</t>
  </si>
  <si>
    <t>El Ferry</t>
  </si>
  <si>
    <t>Cra. 7b # 6 - 203</t>
  </si>
  <si>
    <t>10.947190326849334, -74.76725698233456</t>
  </si>
  <si>
    <t>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- 70%
Interconexión con el punto de entrega - 100%
Pruebas preoperacionales del SSFV  -100%
Inspección cumplimiento RETIE del AGPE -100%
Emisión Dictamen Inspección Pleno RETIE del AGPE - 100%
Registro de proyectos SSFV - 0%
Solicitud cambio de comercializador - 0%
Acta de energización / Puesta en operación - 0%</t>
  </si>
  <si>
    <t xml:space="preserve">A la espera del usuario de Mi red , quien tiene pendiente las cartas de solcitud de cambio de comercializador y representación de la frontera de generación para la edificación. </t>
  </si>
  <si>
    <t>Ener_Sostenible-4482 - PASO Las Palmas</t>
  </si>
  <si>
    <t>Las Palmas</t>
  </si>
  <si>
    <t>CRA 7 D # 34 - 55</t>
  </si>
  <si>
    <t>10.944631196748832, -74.78895481893824</t>
  </si>
  <si>
    <t>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-100%
Emisión Dictamen Inspección Pleno RETIE del AGPE -100%
Registro de proyectos SSFV - 0%
Solicitud cambio de comercializador - 0%
Acta de energización / Puesta en operación - 0%</t>
  </si>
  <si>
    <t>Ener_Sostenible-4482 - PASO Universal</t>
  </si>
  <si>
    <t>CALLE 96 CRA 1 G</t>
  </si>
  <si>
    <t>10.936401436934284, -74.8280211246637</t>
  </si>
  <si>
    <t>Intalación de puntos de anclaje - 100%
Acopio de materiales -75%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- 100%
Inspección cumplimiento RETIE del AGPE - 100%
Emisión Dictamen Inspección Pleno RETIE del AGPE - 100%
Registro de proyectos SSFV - 0%
Solicitud cambio de comercializador - 0%
Acta de energización / Puesta en operación - 0%</t>
  </si>
  <si>
    <t>Ener_Sostenible-4482 - Pista de Atletismo</t>
  </si>
  <si>
    <t>CRA 1 SUR N#45-99</t>
  </si>
  <si>
    <t>10.930163048382498, -74.80036035852625</t>
  </si>
  <si>
    <t>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-100%
Emisión Dictamen Inspección Pleno RETIE del AGPE - 100%
Registro de proyectos SSFV - 0%
Solicitud cambio de comercializador - 0%
Acta de energización / Puesta en operación - 0%</t>
  </si>
  <si>
    <t>Ener_Sostenible-4482 - PASO Rebolo</t>
  </si>
  <si>
    <t>CALLE 16 # 29-44</t>
  </si>
  <si>
    <t>10.966490646233488, -74.77443412078675</t>
  </si>
  <si>
    <t>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- 100%
Emisión Dictamen Inspección Pleno RETIE del AGPE - 100%
Registro de proyectos SSFV - 0%
Solicitud cambio de comercializador - 0%
Acta de energización / Puesta en operación - 0%</t>
  </si>
  <si>
    <t>Ener_Sostenible-4482 - PASO San José</t>
  </si>
  <si>
    <t xml:space="preserve">San José </t>
  </si>
  <si>
    <t>Carrera 21 # 39 - 59</t>
  </si>
  <si>
    <t>10.962389581868178, -74.79001769195125</t>
  </si>
  <si>
    <t xml:space="preserve">Ener_Sostenible-4482 - IED para el desarrollo humano Maria Cano </t>
  </si>
  <si>
    <t>CARRERA 8G # 35A - 33</t>
  </si>
  <si>
    <t>10.948761537702518, -74.7910424458759</t>
  </si>
  <si>
    <t>1798 estudiantes</t>
  </si>
  <si>
    <t>Ener_Sostenible-4482 - PASO Santo Domingo</t>
  </si>
  <si>
    <t>Calle 53 N° 3A-22</t>
  </si>
  <si>
    <t>10.939860501919224, -74.81255286126724</t>
  </si>
  <si>
    <t>Intalación de puntos de anclaje - 100%
Acopio de materiales - 100%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- 100%
Emisión Dictamen Inspección Pleno RETIE del AGPE - 100%
Registro de proyectos SSFV - 0%
Solicitud cambio de comercializador - 0%
Acta de energización / Puesta en operación - 0%</t>
  </si>
  <si>
    <t>Ener_Sostenible-4482 - PASO Nueva Era</t>
  </si>
  <si>
    <t>Mequejo</t>
  </si>
  <si>
    <t>Cra 27 N° 83- 116</t>
  </si>
  <si>
    <t>10.978453036416187, -74.82673293612875</t>
  </si>
  <si>
    <t>Intalación de puntos de anclaje - 100%
Acopio de materiales - 100%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- 100%
Emisión Dictamen Inspección Pleno RETIE del AGPE -100%
Registro de proyectos SSFV - 0%
Solicitud cambio de comercializador - 0%
Acta de energización / Puesta en operación - 0%</t>
  </si>
  <si>
    <t xml:space="preserve">A la espera del usuario de Mi red , quien tiene pendiente las cartas de solcitud de cambio de comercializador y representación de la frontera de generación para la edificación. 
Pediente medida de resistencia de SPT de la respectiva adeiacioón del punto de conexión. </t>
  </si>
  <si>
    <t>Ener_Sostenible-4482 - PASO Juan Mina</t>
  </si>
  <si>
    <t>Calle 7 # 6-33</t>
  </si>
  <si>
    <t>10.955728020845568, -74.89336498243144</t>
  </si>
  <si>
    <t>Ener_Sostenible-4482 - PASO Las Malvinas</t>
  </si>
  <si>
    <t>Las Malvinas</t>
  </si>
  <si>
    <t>Calle 99 C N° 9 C- 33</t>
  </si>
  <si>
    <t>10.956414398616017, -74.83221965113819</t>
  </si>
  <si>
    <t>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- 100%
Inspección cumplimiento RETIE del AGPE - 100%
Emisión Dictamen Inspección Pleno RETIE del AGPE - 100%
Registro de proyectos SSFV - 0%
Solicitud cambio de comercializador - 0%
Acta de energización / Puesta en operación - 0%</t>
  </si>
  <si>
    <t>Ener_Sostenible-4482 - PASO Rosour</t>
  </si>
  <si>
    <t>Los Rosales</t>
  </si>
  <si>
    <t>Calle 98 N° 9G-10</t>
  </si>
  <si>
    <t>10.958521019951935, -74.82793706311577</t>
  </si>
  <si>
    <t>19,1/100</t>
  </si>
  <si>
    <t>SUSPENDIDO , el ususario a ultima hora manifiesta adecuación de cubierta. A la espera del respectivo mantenimiento</t>
  </si>
  <si>
    <t>Ener_Sostenible-4482 - PASO La Villa</t>
  </si>
  <si>
    <t>El Romance</t>
  </si>
  <si>
    <t>Cra 9G # 97A - 18</t>
  </si>
  <si>
    <t>10.948412293937245, -74.8266061066548</t>
  </si>
  <si>
    <t xml:space="preserve">Validación del registro  inmobiliario para realizar los tramites de registro ante el Operador de Red.. Secretaria general reporta que la eficiación no cuenta con Folio. 
A la espera de respuesta por parte del Distrito para certificación que conste la propiedad.
A la espera del usuario de Mi red , quien tiene pendiente las cartas de solcitud de cambio de comercializador y representación de la frontera de generación para la edificación. 
 </t>
  </si>
  <si>
    <t>Ener_Sostenible-4482 - PASO Julio Montes</t>
  </si>
  <si>
    <t>Montes</t>
  </si>
  <si>
    <t>Carrera 23 # 27-16</t>
  </si>
  <si>
    <t>10.961944416128413, -74.78131354777346</t>
  </si>
  <si>
    <t xml:space="preserve">
 A la espera del usuario de Mi red , quien tiene pendiente las cartas de solcitud de cambio de comercializador y representación de la frontera de generación para la edificación. </t>
  </si>
  <si>
    <t xml:space="preserve">Ener_Sostenible-4482 - PASO La sierrita </t>
  </si>
  <si>
    <t>Cl. 74 #5E-0</t>
  </si>
  <si>
    <t>10.933249798378656, -74.81840543732602</t>
  </si>
  <si>
    <t xml:space="preserve">
A la espera del usuario de Mi red , quien tiene pendiente las cartas de solcitud de cambio de comercializador y representación de la frontera de generación para la edificación. 
Se programa 21 de julio descargo para mantenimiento de punto de conexión en paso La sierrita</t>
  </si>
  <si>
    <t>Ener_Sostenible-4482 - IED Del Barrio Simon Bolivar</t>
  </si>
  <si>
    <t>Cra. 7d #17 - 89</t>
  </si>
  <si>
    <t>10.947717971490668, -74.77341391519154</t>
  </si>
  <si>
    <t>Conectado a la red , nuevo comercializador , A la espera de que XM apruebe la frontera para reconocimiento de excendentres</t>
  </si>
  <si>
    <t>Ener_Sostenible-4482 - IED de formacion Integral</t>
  </si>
  <si>
    <t>Simón Bolívar</t>
  </si>
  <si>
    <t>Cl. 24b #4-02</t>
  </si>
  <si>
    <t>10.941927569135876, -74.77987237660943</t>
  </si>
  <si>
    <t>Proyecto conectado el 11 de septiembre</t>
  </si>
  <si>
    <t>Ener_Sostenible-4482 - IED Inmaculada Concepcion (ANT. CEB N.005)</t>
  </si>
  <si>
    <t>Santo Domingo de Guzmán</t>
  </si>
  <si>
    <t>Tv. 1f # 88 - 60</t>
  </si>
  <si>
    <t>10.94356042767121, -74.82146137845824</t>
  </si>
  <si>
    <t>Ener_Sostenible-4482 - IED de las Nieves N1</t>
  </si>
  <si>
    <t>Las Nieves</t>
  </si>
  <si>
    <t>Cra 15 # 21 - 15</t>
  </si>
  <si>
    <t>10.953778506943493, -74.7774105137422</t>
  </si>
  <si>
    <t xml:space="preserve">Ener_Sostenible-4482 - CD Jose Eusebio Caro NC1 </t>
  </si>
  <si>
    <t>Alfonso López</t>
  </si>
  <si>
    <t>Cra 33 # 45 - 71</t>
  </si>
  <si>
    <t>10.975237106447299, -74.78901314962215</t>
  </si>
  <si>
    <t xml:space="preserve">Suspendido </t>
  </si>
  <si>
    <t xml:space="preserve">El area estructural hace consideración sobre la importancia de realizar el estudio patológico de la estructura del edificio antes, ya que este puede arrojar consideraciones, no observables en la inspección estructural.
El 18 de Marzo se da respuesta por parte de Sec. de educación con concepto que da vía libre para la ejecución del proyecto liderado por K-yena.
Actualmente se está realizando planificación para iniciar etapa constructiva.
 Actualmente se cuenta con la normalización de medida. </t>
  </si>
  <si>
    <t>Ener_Sostenible-4482 - CD Santo Domingo de Guzman CEB N.027</t>
  </si>
  <si>
    <t>Cra. 2 #78-36</t>
  </si>
  <si>
    <t>10.936611702741422, -74.81981920544513</t>
  </si>
  <si>
    <t>Ener_Sostenible-4482 - Bomberos Tecnoglass</t>
  </si>
  <si>
    <t>Cl. 110 #53-1670</t>
  </si>
  <si>
    <t>11.034847435782128, -74.83047619431485</t>
  </si>
  <si>
    <t>Se solicitó reforzamiento estructural al distrito para proceder con el desarrollo constructivo del sistema fotovoltaico.
Se reporta novedades frente a la tirularidad de la propiedad a espera de respeusta por parte del Distrito</t>
  </si>
  <si>
    <t>Ener_Sostenible-4482 - Bomberos el Eden</t>
  </si>
  <si>
    <t>Calle 83B con 27</t>
  </si>
  <si>
    <t>10.979445103142487, -74.82665999010207</t>
  </si>
  <si>
    <t xml:space="preserve">Proyecto legalizado </t>
  </si>
  <si>
    <t>Ener_Sostenible-4482 - Casa Ludica La Paz</t>
  </si>
  <si>
    <t>Cl. 104 #14-70</t>
  </si>
  <si>
    <t>10.967760779440802, -74.83190866311567</t>
  </si>
  <si>
    <t>Se solicitó reforzamiento estructural al distrito para proceder con el desarrollo constructivo del sistema fotovoltaico.</t>
  </si>
  <si>
    <t>Eficiencia_Energética</t>
  </si>
  <si>
    <t>Ener_Sostenible-4482 - Escuela Normal Superior del Distrito</t>
  </si>
  <si>
    <t>Calle 47 # 44 - 100</t>
  </si>
  <si>
    <t>10.985870598093532, -74.78623473427974</t>
  </si>
  <si>
    <t xml:space="preserve">2370 estudiantes </t>
  </si>
  <si>
    <t>"69/69"</t>
  </si>
  <si>
    <t>En funcionamiento , A la Espera a la firma de acta de entrega.</t>
  </si>
  <si>
    <t>Ener_Sostenible-4482 - Instituto Distrital de Experiencias Pedagógicas IDEP</t>
  </si>
  <si>
    <t xml:space="preserve">CLL 55 # 43-77 </t>
  </si>
  <si>
    <t>10.985880427006295, -74.79306346311525</t>
  </si>
  <si>
    <t xml:space="preserve">833 estudiantes </t>
  </si>
  <si>
    <t>"39/39"</t>
  </si>
  <si>
    <t>Entregado el 19 de julio</t>
  </si>
  <si>
    <t>Ener_Sostenible-4482 - IED Helena de Chauvin</t>
  </si>
  <si>
    <t>K 20C 21 66</t>
  </si>
  <si>
    <t>10.958873585671666, -74.77807503428023</t>
  </si>
  <si>
    <t xml:space="preserve">737 estudiantes </t>
  </si>
  <si>
    <t>"44/44"</t>
  </si>
  <si>
    <t>Entregado el 25 de julio</t>
  </si>
  <si>
    <t>Ener_Sostenible-4482 - IED María Inmaculada</t>
  </si>
  <si>
    <t>Olaya Herrera</t>
  </si>
  <si>
    <t>Cra. 29 #70B-60</t>
  </si>
  <si>
    <t>10.979407203217304, -74.80954651116971</t>
  </si>
  <si>
    <t>1460 estudiantes</t>
  </si>
  <si>
    <t>"75/75"</t>
  </si>
  <si>
    <t>Entregado el 22 de julio</t>
  </si>
  <si>
    <t>Ener_Sostenible-4482 - IED Santa Magdalena Sofía 2</t>
  </si>
  <si>
    <t>La Floresta</t>
  </si>
  <si>
    <t>11.023634520491102, -74.8071711869342</t>
  </si>
  <si>
    <t>811 estudiantes</t>
  </si>
  <si>
    <t>"40/40"</t>
  </si>
  <si>
    <t>Ener_Sostenible-4482 - IED Betania Norte (ANT JARDIN INF. DIS. 001)</t>
  </si>
  <si>
    <t>Los Jobos</t>
  </si>
  <si>
    <t>CLL 76 # 38A</t>
  </si>
  <si>
    <t>10.988399010560698, -74.8151315511382</t>
  </si>
  <si>
    <t>1376 estudiantes</t>
  </si>
  <si>
    <t>"38/38"</t>
  </si>
  <si>
    <t>Entregado el 26 de julio</t>
  </si>
  <si>
    <t>Ener_Sostenible-4482 - IED Juan Acosta Solera</t>
  </si>
  <si>
    <t>Los Olivos</t>
  </si>
  <si>
    <t>CL 112 B 24 14</t>
  </si>
  <si>
    <t>10.972277750432577, -74.83929368820228</t>
  </si>
  <si>
    <t>1809 estudiantes</t>
  </si>
  <si>
    <t>"27/27"</t>
  </si>
  <si>
    <t>Entregado el 23 de julio</t>
  </si>
  <si>
    <t>Ener_Sostenible-4482 - IED Jorge ISSAC</t>
  </si>
  <si>
    <t>Cra 4A # 24B -21</t>
  </si>
  <si>
    <t>10.942332302546411, -74.78121151117026</t>
  </si>
  <si>
    <t>97,6/100</t>
  </si>
  <si>
    <t>Instalación de puntos de anclaje - 100%                                                                                                                                      Acopio de materiales -100%                                                                                                                                                                       Obras civiles - 100%                                                                                                                                                                           Instalación de lineas de vida - 100%                                                                                                                                              Instalación de Estructura - 100%                                                                                                                                                             Instalación de Canalizaciones DC en cubierta y bajante - 100%                                                                                        Instalación de Estructura - 100%                                                                                                                                       Instalación Cableado DC - 100%                                                                                                                                                Instalación de Modulos - 100%                                                                                                                                                              Montaje inverters Growatt - 100%                                                                                                                                                    Instalación Canalización AC - 100%                                                                                                                                              Instalación Tablero SSFV - 100%                                                                                                                                 Instalación cableado AC - 100%                                                                                                                         Instalación de medidor de generacion, comunicación y videovigilancia - 80%                                   Interconexión con el punto de entrega - 100%                                                                                                      Pruebas preoperacionales del SSFVC - 100%                                                                                                 Inspección cumplimiento RETIE del AGPE - 100%                                                                                                 Emisión Dictamen Inspección Pleno RETIE del AGPE - 80%</t>
  </si>
  <si>
    <t>Ener_Sostenible-4482 - Pista BMX</t>
  </si>
  <si>
    <t>Cra 73 con 95</t>
  </si>
  <si>
    <t>11.027443298963112, -74.81494547037117</t>
  </si>
  <si>
    <t>Instalación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- 100%
Inspección cumplimiento RETIE del AGPE - 100%
Emisión Dictamen Inspección Pleno RETIE del AGPE - 100%</t>
  </si>
  <si>
    <t>Ener_Sostenible-4482 - IED Santa María</t>
  </si>
  <si>
    <t>10.931191519811751, -74.82149231522037</t>
  </si>
  <si>
    <t>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-100%                                                                                                                                           Instalación Tablero SSFV - 100%                                                                                                                                                    Instalación cableado AC - 100%                                                                                                                                                       Instalación de medidor de generación y comunicación - 100%                                                                                                          Interconexión con el punto de entrega - 100%                                                                                                         Pruebas preoperacionales del SSFV - 100%                                                                                                           Inspección cumplimiento RETIE del AGPE - 100%
Emisión Dictamen Inspección Pleno RETIE del AGPE - 100%</t>
  </si>
  <si>
    <t>Ener_Sostenible-4482 - PASO Esmeralda Lipaya</t>
  </si>
  <si>
    <t>Ciudad Modesto</t>
  </si>
  <si>
    <t>Calle 73 N°12-19</t>
  </si>
  <si>
    <t>10.963926817304051, -74.82029892832074</t>
  </si>
  <si>
    <t>31712/2024</t>
  </si>
  <si>
    <t>Ener_Sostenible-4482 - PASO Nueva Vida</t>
  </si>
  <si>
    <t>El Santuario</t>
  </si>
  <si>
    <t>Cra. 9 Sur #49-16</t>
  </si>
  <si>
    <t>10.924747270822207, -74.81141861112837</t>
  </si>
  <si>
    <t xml:space="preserve">Ener_Sostenible-4482 -  IED SANTA BERNARDITA </t>
  </si>
  <si>
    <t xml:space="preserve">Delicias </t>
  </si>
  <si>
    <t xml:space="preserve">Calle 69d # 39 - 23 </t>
  </si>
  <si>
    <t>10.98619265893617, -74.8054345784575</t>
  </si>
  <si>
    <t>"35/35"</t>
  </si>
  <si>
    <t xml:space="preserve">Ener_Sostenible-4482 -  Colegio Dsitritral Juan José Rondon </t>
  </si>
  <si>
    <t>10.97461547645902, -74.80821541116983</t>
  </si>
  <si>
    <t>Entregado el 24 de julio</t>
  </si>
  <si>
    <t>Ener_Sostenible-4482 - CAI Los Olivos</t>
  </si>
  <si>
    <t>Los Olivos II</t>
  </si>
  <si>
    <t>Cra. 20 #112d-2</t>
  </si>
  <si>
    <t>10.971669776557272, -74.8409468706492</t>
  </si>
  <si>
    <t>Ener_Sostenible-4482 - CAI Las Gardenias</t>
  </si>
  <si>
    <t>Las Gardenias</t>
  </si>
  <si>
    <t>Cl. 96 #1e-5,</t>
  </si>
  <si>
    <t>10.935588371590633, -74.82794388229242</t>
  </si>
  <si>
    <t>Ener_Sostenible-4482 - Centro de Vida Bajo Valle</t>
  </si>
  <si>
    <t>K 18 # 71 - 13</t>
  </si>
  <si>
    <t>10.968214677724172, -74.81224169763489</t>
  </si>
  <si>
    <t>Ener_Sostenible-4482 - PASO San Salvador</t>
  </si>
  <si>
    <t>Calle 84 # 80 - 30</t>
  </si>
  <si>
    <t>11.02514888300091, -74.80371595530558</t>
  </si>
  <si>
    <t>Instalación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-100%
Interconexión con el punto de entrega - 100%
Pruebas preoperacionales del SSFV  - 100%
Inspección cumplimiento RETIE del AGPE - 100%
Emisión Dictamen Inspección Pleno RETIE del AGPE - 100%</t>
  </si>
  <si>
    <t>Ener_Sostenible-4482 - CAI Villa Carolina</t>
  </si>
  <si>
    <t>Cra 71 # 89 - 22</t>
  </si>
  <si>
    <t>11.020419539946896, -74.81434353996274</t>
  </si>
  <si>
    <t>Ener_Sostenible-4482 - CAI Los Andes</t>
  </si>
  <si>
    <t>Los Andes</t>
  </si>
  <si>
    <t>CL 64 # 23 - 126</t>
  </si>
  <si>
    <t>10.971506809376034, -74.80251164959918</t>
  </si>
  <si>
    <t xml:space="preserve">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- 70%                                                                                                          Interconexión con el punto de entrega - 100%                                                                                                         Pruebas preoperaciones del SSFV - 100%                                                                                                             Inspección cumplimiento RETIE del AGPE - 100%
Emisión Dictamen Inspección Pleno RETIE del AGPE - 100%                                                                                               </t>
  </si>
  <si>
    <t>Ener_Sostenible-4482 - IED Santa Magdalena Sofía NIC 1</t>
  </si>
  <si>
    <t xml:space="preserve">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- 100%                                                                                                          Interconexión con el punto de entrega - 100%                                                                                                 Pruebas preoperaciones del SSFV - 100%                                                                                                             Inspección cumplimiento RETIE del AGPE - 100%
Emisión Dictamen Inspección Pleno RETIE del AGPE - 100%                                                                                        </t>
  </si>
  <si>
    <t>Ener_Sostenible-4482 - Escuela Normal Superior La Hacienda</t>
  </si>
  <si>
    <t>Mercedes Sur</t>
  </si>
  <si>
    <t>Cra 35 # 72 - 83</t>
  </si>
  <si>
    <t>10.98301540188558, -74.8148812956546</t>
  </si>
  <si>
    <t>89,6/100</t>
  </si>
  <si>
    <t>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- 75%</t>
  </si>
  <si>
    <t>Ener_Sostenible-4482 - Instituto Alexander Von Humboldt</t>
  </si>
  <si>
    <t>Cra 35 # 72 - 35</t>
  </si>
  <si>
    <t>10.984022901147771, -74.8134653840171</t>
  </si>
  <si>
    <t>79,8/100</t>
  </si>
  <si>
    <t>Instalación de puntos de anclaje - 100%
Acopio de materiales -100%
Obras civiles - 80%
Instalación de lineas de vida - 100%                                                                                                                                            Instalación de Estructura - 100%                                                                                                                                                       Instalación de Canalizaciones DC en cubierta y bajante - 100%                                                           Instalación Cableado DC - 100%                                                                                                                                                             Instalación de Modulos - 50%                                                                                                                                                                  Montaje inverters Growatt - 100%                                                                                                                                                  Instalación Canalización AC - 100%                                                                                                                                              Instalación Tablero SSFV - 100%                                                                                                                            Instalación cableado AC - 100%</t>
  </si>
  <si>
    <t>Proyecto suspendido por la rectora por temas estructurales, por orden de la rectora se puede retomar después del 23 de Nov</t>
  </si>
  <si>
    <t>Ener_Sostenible-4482 - IED Calixto Alvarez</t>
  </si>
  <si>
    <t>Cra 15 # 21 - 11</t>
  </si>
  <si>
    <t>10.953415657077063, -74.77622838216372</t>
  </si>
  <si>
    <t>94,9/100</t>
  </si>
  <si>
    <t>Instalación de puntos de anclaje - 100%
Acopio de materiales - 100%
Obras civiles - 80%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- 70%                           Inspección cumplimiento RETIE del AGPE - 100%                                                                                                   Emisión Dictamen Inspección Pleno RETIE del AGPE - 65%</t>
  </si>
  <si>
    <t>Ener_Sostenible-4482 - IED  José Martí</t>
  </si>
  <si>
    <t>Pasadena</t>
  </si>
  <si>
    <t>Cra 8 # 17 - 40</t>
  </si>
  <si>
    <t>10.947993092047412, -74.77307417417374</t>
  </si>
  <si>
    <t>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- 100%                                                                                                          Interconexión con el punto de entrega - 100%                                                                                                  Pruebas operacionales del SSFV - 100%                                                                                                           Inspección cumplimiento RETIE del AGPE - 100%                                                                                                   Emisión Dictamen Inspección Pleno RETIE del AGPE - 100%</t>
  </si>
  <si>
    <t>Ener_Sostenible-4482 - PASO Galán Nuevo</t>
  </si>
  <si>
    <t>Galán</t>
  </si>
  <si>
    <t>Cra 2 # 38B - 08</t>
  </si>
  <si>
    <t>10.935445569633002, -74.79360523324183</t>
  </si>
  <si>
    <t>98,9/100</t>
  </si>
  <si>
    <t>Instalación de puntos de anclaje - 100%
Acopio de materiales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- 75%                                                                                                          Interconexión con el punto de entrega - 100%                                                                                                  Pruebas preoperacionales del SSFV - 100%                                                              Inspección cumplimiento RETIE del AGPE - 100%                                                                                                   Emisión Dictamen Inspección Pleno RETIE del AGPE - 50%</t>
  </si>
  <si>
    <t>Ener_Sostenible-4482 - IED Luis Carlos Galán Sarmiento</t>
  </si>
  <si>
    <t>10 de Mayo</t>
  </si>
  <si>
    <t>KR 7 A # - 6 32</t>
  </si>
  <si>
    <t>10.947403825028447, -74.76668349686815</t>
  </si>
  <si>
    <t>98,3/100</t>
  </si>
  <si>
    <t>Instalación de puntos de anclaje - 100%
Acopio de materiales - 100%
Obras civiles - 100%
Instalación de lineas de vida - 100%                                                                                                                       Instalación de Estructura - 100%                                                                                                                                                       Instalación de Canalizaciones DC en cubierta y bajante - 100%                                                                                    Instalación Cableado DC - 100%                                                                                                                                                             Instalación de Modulos - 100%                                                                                                                                                                  Montaje inverters Growatt - 100%                                                                                                                         Instalación canalización AC - 100%                                                                                                                            Instalación tablero SSFV - 100%                                                                                                                        Instalación cableado AC - 100%                                                                                                                      Instalación de medidor de generación y comunicación - 50%                                                                                                          Interconexión con el punto de entrega - 100%                                                           Pruebas preoperacionales del SSFV - 100%                                                              Inspección cumplimiento RETIE del AGPE - 100%                                                                                                   Emisión Dictamen Inspección Pleno RETIE del AGPE - 50%</t>
  </si>
  <si>
    <t>Ener_Sostenible-4482 - IED Rodolfo Llinás Riascos</t>
  </si>
  <si>
    <t>CL 35 # 7B - 40</t>
  </si>
  <si>
    <t>10.944587472815778, -74.78946848650688</t>
  </si>
  <si>
    <t>5.8/100</t>
  </si>
  <si>
    <t>Instalación de Puntos de Anclaje                 Acopio de Materiales</t>
  </si>
  <si>
    <t>Ener_Sostenible-4482 - Colegio Distrital San José</t>
  </si>
  <si>
    <t>Cra 21 # 39 - 10</t>
  </si>
  <si>
    <t>10.961013751423335, -74.79051559166177</t>
  </si>
  <si>
    <t>36/100</t>
  </si>
  <si>
    <t>Instalación de Puntos de Anclaje                 Acopio de Materiales            Obras Civiles                  Instalación Lineas de Vida             Montaje de Inversores                    Instlación de Tablero y Medidor</t>
  </si>
  <si>
    <t>Ener_Sostenible-4482 - IED Tec Div Alberto Assa</t>
  </si>
  <si>
    <t>Villa San Pedro</t>
  </si>
  <si>
    <t xml:space="preserve">CL 101 # 6 L - 170 </t>
  </si>
  <si>
    <t>10.949040660580497, -74.83158083399076</t>
  </si>
  <si>
    <t>29.3/100</t>
  </si>
  <si>
    <t>Ener_Sostenible-4482 - Inst Tec nal de Comercio</t>
  </si>
  <si>
    <t>Montecristo</t>
  </si>
  <si>
    <t>Cra. 62 #52-85</t>
  </si>
  <si>
    <t>10.996631200510883, -74.78939743068499</t>
  </si>
  <si>
    <t>43.3/100</t>
  </si>
  <si>
    <t>Ener_Sostenible-4482 -  IED Miguel Angel Builes</t>
  </si>
  <si>
    <t>KR 2 F 50 D 27</t>
  </si>
  <si>
    <t>10.936294181803785, -74.80925448650731</t>
  </si>
  <si>
    <t>23/23</t>
  </si>
  <si>
    <t>Ener_Sostenible-4482 -  IED Ciudadela Estudiantil</t>
  </si>
  <si>
    <t>Ciudadela 20 de julio</t>
  </si>
  <si>
    <t>Cra. 1 #47 - 49</t>
  </si>
  <si>
    <t>10.931515951529247, -74.80776902883562</t>
  </si>
  <si>
    <t>37/37</t>
  </si>
  <si>
    <t>Ener_Sostenible-4482 -  Inst Tec de Comercio de Barranquilla</t>
  </si>
  <si>
    <t>Cl. 47 #42-60</t>
  </si>
  <si>
    <t>10.983357478616075, -74.78727892883562</t>
  </si>
  <si>
    <t>48/48</t>
  </si>
  <si>
    <t>Ener_Sostenible - Parque Fotovoltaico</t>
  </si>
  <si>
    <t xml:space="preserve">Juan Mina </t>
  </si>
  <si>
    <t>10.954943402736093, -74.88635338709783</t>
  </si>
  <si>
    <t xml:space="preserve">Permiso: Resolución 674-2024 recibida el 23/10/2024. Recurso de reposición radicado el 06/11/2024 con el propósito de reducir el área de compensación.
Aprovechamiento: Inicio actividades en sitio el 31/10/2024. Fin previsto el 31/12/2024. Ahuyentamiento de fauna 100%, rocería 100%, tala 100% del lote con permiso de aprovechamiento forestal.      Ingeniería básica: Actividad finalizada el 25 de junio.
Topografía: Finalizada el 2 de julio.
Plantillado electromecánico: Actividad finalizada el 12 de julio.
Planos de detalle: Diseño V1 enviado a AIR-E el 08 de agosto. Se recibieron comentarios por parte del OR el 28/08. En proceso de atención y replanteo de trazado por cruce con circuitos existentes.
Cruce de vía: El 22/10/2024 se presentó carta a la ANI con radicado 20244091317812, para solicitar concepto de cruce aéreo de la línea sobre la vía circunvalar de la prosperidad.
Servidumbres: Predios ofertados 9/10, negociados 5/10, en proceso de negociación 4/10.         Ingeniería conceptual llegada a S/E Juan Mina: Presentada a AIR-E la versión V3 el 21/10/2024. Se recibieron comentarios el 22/11/2024 por parte del OR, previsto dar respuesta el 03/12/2024.
</t>
  </si>
  <si>
    <t xml:space="preserve">Se radica la solciitud de ampliación de la FPO con el fin de generar menor riesgo de atrasos, las fechas y % de avances seran ajustadas al nuevo Plan de trabajo.  
Se realiza ajuste de la ingenieria debido a novedades con la ocupación del predio.
Se estará estructurando un nuevo cronograma a partir de la nueva FPO a solciitar. 
</t>
  </si>
  <si>
    <t>Ener_Sostenible-4482 -  IED Fundación Pies Descalzos La Playa</t>
  </si>
  <si>
    <t>Cl. 14 #17-80</t>
  </si>
  <si>
    <t>11.03473238064597, -74.86789332860234</t>
  </si>
  <si>
    <t>74/74</t>
  </si>
  <si>
    <t>Ener_Sostenible-4482 -  IED Nuevo Bosque Pies Descalzos</t>
  </si>
  <si>
    <t>El Bosque</t>
  </si>
  <si>
    <t>CRA 9G # 135B - 7</t>
  </si>
  <si>
    <t>10.96935193884619, -74.85759364640388</t>
  </si>
  <si>
    <t>46/46</t>
  </si>
  <si>
    <t>Ener_Sostenible-4482 -  Colegio Distrital Camilo Torres Tenorio</t>
  </si>
  <si>
    <t xml:space="preserve">Lucero </t>
  </si>
  <si>
    <t>CRA 35 # 51B - 37</t>
  </si>
  <si>
    <t>10.978434631455274, -74.79299720515466</t>
  </si>
  <si>
    <t>32/32</t>
  </si>
  <si>
    <t>Ener_Sostenible-4482 - IED Brisas del Río</t>
  </si>
  <si>
    <t>Via 40 # 46A - 50</t>
  </si>
  <si>
    <t>10.986738065258244, -74.77652474858364</t>
  </si>
  <si>
    <t>34/34</t>
  </si>
  <si>
    <t>Ener_Sostenible-4482 - IED Manuel Elkin Patarroyo</t>
  </si>
  <si>
    <t>Por fin</t>
  </si>
  <si>
    <t>Cra 26 # 85 - 199</t>
  </si>
  <si>
    <t>10.98300189205647, -74.8290548058624</t>
  </si>
  <si>
    <t>29/29</t>
  </si>
  <si>
    <t>Ener_Sostenible-4482 - IED La Magdalena</t>
  </si>
  <si>
    <t>Calle 41 # 7 - 07</t>
  </si>
  <si>
    <t>10.942597394034197, -74.79609803139239</t>
  </si>
  <si>
    <t>24/24</t>
  </si>
  <si>
    <t>Ener_Sostenible-4482 - Colegio Dist Tecnico Rebolo</t>
  </si>
  <si>
    <t>Calle 6A # 32 - 05</t>
  </si>
  <si>
    <t>10.970257723946588, -74.77149491248329</t>
  </si>
  <si>
    <t>28/28</t>
  </si>
  <si>
    <t>Ener_Sostenible-4482 - IED Antonio José de Sucre Sede 1</t>
  </si>
  <si>
    <t>Modelo</t>
  </si>
  <si>
    <t>Calle 54 # 64 - 30</t>
  </si>
  <si>
    <t>10.998144256695193, -74.78885627556967</t>
  </si>
  <si>
    <t>19/19</t>
  </si>
  <si>
    <t>Ener_Sostenible-4482 - IED Antonio José de Sucre Sede 2</t>
  </si>
  <si>
    <t>Cra 65 # 52 - 19</t>
  </si>
  <si>
    <t>10.998223932687914, -74.78864820039443</t>
  </si>
  <si>
    <t>11/11</t>
  </si>
  <si>
    <t>Ener_Sostenible-4482 - IED Evelyne Abuchaibe de Daes</t>
  </si>
  <si>
    <t>Urb La Playa</t>
  </si>
  <si>
    <t>Calle 17A # 13 - 190</t>
  </si>
  <si>
    <t>11.031898533749452, -74.86915436172985</t>
  </si>
  <si>
    <t>35/35</t>
  </si>
  <si>
    <t>Ener_Sostenible - GD Las Gardenias</t>
  </si>
  <si>
    <t>Calle 98 # 2Sur - 5</t>
  </si>
  <si>
    <t>10.934169874964452, -74.82859547631983</t>
  </si>
  <si>
    <t>IUB</t>
  </si>
  <si>
    <t>ALEXANDER DE BEDOUT</t>
  </si>
  <si>
    <t>IUB_Baq - S. Plaza de la Paz, Construcción CTD, Adecuación Laboratorios y Baños</t>
  </si>
  <si>
    <t>Carrera 45 #48-31</t>
  </si>
  <si>
    <t>10.986794, -74.787551</t>
  </si>
  <si>
    <t>1066-2023</t>
  </si>
  <si>
    <t>Consorcio Instituciones 204</t>
  </si>
  <si>
    <t>Prada Rojas Ingenieros Ltda, Javier José Pereira Areiza y Construcciones y Valores Construvalores SAS</t>
  </si>
  <si>
    <t>Fernando Prada Monsalve</t>
  </si>
  <si>
    <t>No.1080-2023</t>
  </si>
  <si>
    <t>Consorcio Interuniversidad de Barranquilla</t>
  </si>
  <si>
    <t>Cayena Consultores E Interventores SAS y Roccia SAS</t>
  </si>
  <si>
    <t>Carlos Andres Mass Guerrero</t>
  </si>
  <si>
    <t>7854 Estudiantes</t>
  </si>
  <si>
    <t>Metros cuadrados intervenidos</t>
  </si>
  <si>
    <t>IUB_Sol - S. Lote, Cerramiento y Área deportiva</t>
  </si>
  <si>
    <t>Soledad</t>
  </si>
  <si>
    <t>MZ 6 URB Ciiudad del Puerto</t>
  </si>
  <si>
    <t>10.920940, -74.782512</t>
  </si>
  <si>
    <t>Primavera Ingenieria</t>
  </si>
  <si>
    <t>Luis Fernando Leguizamo</t>
  </si>
  <si>
    <t>Consorcio Interdeportivo UBAQ</t>
  </si>
  <si>
    <t>CGB S.A.S. COMPAÑÍA DE INTERVENTORÍAS Y CONSULTORÍAS DE LA COSTA S.A.S.</t>
  </si>
  <si>
    <t>ANDRES FELIPE
QUINTERO CÓRDOBA</t>
  </si>
  <si>
    <t>IUB_Sol - S. Lote, Construcción Nueva Sede</t>
  </si>
  <si>
    <t>Se radico proyecto ante el Ministerio de Educación Nacional (MEN), radicado No. 0208487 (Valor total $145.877.690.390,80, Fase I $45.780.544.204,95)</t>
  </si>
  <si>
    <r>
      <t xml:space="preserve">Población Beneficiada
</t>
    </r>
    <r>
      <rPr>
        <b/>
        <sz val="10"/>
        <color theme="5" tint="-0.249977111117893"/>
        <rFont val="Century Gothic"/>
        <family val="2"/>
      </rPr>
      <t>[ Indicar cantidad y tipo de población. Ej: 100 Estudiantes ]</t>
    </r>
  </si>
  <si>
    <t>Línea Estratégica</t>
  </si>
  <si>
    <t>Componente</t>
  </si>
  <si>
    <t>Programa</t>
  </si>
  <si>
    <t>Proyecto</t>
  </si>
  <si>
    <t>LS Más Seguridad y Convivencia Ciudadana</t>
  </si>
  <si>
    <t>Construyendo juntos una ciudad más segura para todos</t>
  </si>
  <si>
    <t xml:space="preserve">Fortalecimiento del servicio público de seguridad y convivencia ciudadana con: Más cobertura, más efectividad, más calidad </t>
  </si>
  <si>
    <t>Fortalecimiento de la Convivencia Ciudadana: una apuesta de todos</t>
  </si>
  <si>
    <t>Apoyo a las Barras Populares del Distrito de Barranquilla</t>
  </si>
  <si>
    <t>Línea Político-Administrativa_Gobierno Eficiente y Responsable</t>
  </si>
  <si>
    <t>Asistencia para la Atención integral a la población de internos (as) en el distrito de Barranquilla</t>
  </si>
  <si>
    <t>Fortalecimiento para la atención de familias con factores de riesgo de violencia intrafamiliar y convivencia ciudadana a través de Comisarias de familia e Inspecciones de policía</t>
  </si>
  <si>
    <t>Mantenimiento de la capacidad operativa del cuerpo de Bomberos del distrito de Barranquilla</t>
  </si>
  <si>
    <t>Operación y fortalecimiento de las casas de justicia garantizando el acceso a tramites y servicios</t>
  </si>
  <si>
    <t>Construyendo una ciudad cívica y participativa</t>
  </si>
  <si>
    <t>Fortalecimiento para la participación y desarrollo comunitario</t>
  </si>
  <si>
    <t>Implementación de la política pública de participación 
ciudadana y fortalecimiento comunal</t>
  </si>
  <si>
    <t>Apoyo a las instancias de interlocución y coordinación de la Secretaria Distrital de Gobierno en el Distrito de Barranquilla.</t>
  </si>
  <si>
    <t>Fortalecimiento del desarrollo comunitario y social</t>
  </si>
  <si>
    <t>Transformación de la cultura ciudadana</t>
  </si>
  <si>
    <t>LS Educación Inclusiva, Innovadora y Sostenible</t>
  </si>
  <si>
    <t>Más educación para la Vida</t>
  </si>
  <si>
    <t>Prestación del servicio educativo</t>
  </si>
  <si>
    <t>Apoyo a la contratación de la prestación del servicio</t>
  </si>
  <si>
    <t xml:space="preserve">Servicio de transporte escolar </t>
  </si>
  <si>
    <t>Implementación del programa de Alimentación Escolar</t>
  </si>
  <si>
    <t>Más educación Innovadora y de Calidad</t>
  </si>
  <si>
    <t>Fortalecimiento de la Educación inclusiva, equitativa y de calidad</t>
  </si>
  <si>
    <t>Implementación del plan de bilingüismo en Colegios Públicos - Barranquilla es bilingüe</t>
  </si>
  <si>
    <t>Fortalecimiento de competencias de lectura y escritura - Barranquilla es leer</t>
  </si>
  <si>
    <t>Fortalecimiento de la Convivencia Escolar</t>
  </si>
  <si>
    <t>Desarrollo profesional docente</t>
  </si>
  <si>
    <t>Fortalecimiento de la cultura de Evaluación Formativa</t>
  </si>
  <si>
    <t>Inversiones para la Exposición, Inmersión y Aprendizaje de habilidades digitales en las IED</t>
  </si>
  <si>
    <t>Fortalecimiento de los ambientes de aprendizaje mediante la provisión de dotación tecnológica para la enseñanza de tecnología e Informática en las IED</t>
  </si>
  <si>
    <t>Fortalecimiento de usos, valores, costumbres, saberes, prácticas, tradicionales, investigaciones y empoderamiento de la comunidad afrocolombiana del Distrito de Barranquilla</t>
  </si>
  <si>
    <t>Innovación y vinculación con el sector productivo</t>
  </si>
  <si>
    <t>Fortalecimiento de competencias en matemáticas en estudiantes - Matemáticas Didácticas</t>
  </si>
  <si>
    <t>Modernización de la infraestructura educativa</t>
  </si>
  <si>
    <t>Más educación Superior</t>
  </si>
  <si>
    <t>Apoyo para el acceso y permanencia en la educación superior mediante Becas educativas de alto impacto</t>
  </si>
  <si>
    <t>Implementación del modelo educativo de Doble Titulación</t>
  </si>
  <si>
    <t xml:space="preserve">Fortalecimiento de la Universidad Distrital </t>
  </si>
  <si>
    <t>LS Ciudad Saludable, Ciudad Feliz</t>
  </si>
  <si>
    <t>Atención Integral en Salud</t>
  </si>
  <si>
    <t>Fortalecimiento del Aseguramiento de los ciudadanos al sistema general de seguridad social en salud</t>
  </si>
  <si>
    <t>Modernización del Centro Regulador de Urgencias y Emergencias -(CRUE) y Sistema de Emergencias Médicas (SEM)</t>
  </si>
  <si>
    <t>Optimización de la Calidad del aseguramiento con enfoque de riesgo</t>
  </si>
  <si>
    <t>Servicio del Centro Regulador de Urgencias y Emergencias (CRUE) y Sistema de Emergencias Médicas (SEM)</t>
  </si>
  <si>
    <t>Fortalecimiento de la Unidad de reacción inmediata en salud (URISA)</t>
  </si>
  <si>
    <t>Gestión Integral para la Intervención del Riesgo en Salud</t>
  </si>
  <si>
    <t>Fortalecimiento de acciones de Promoción y mantenimiento de la salud</t>
  </si>
  <si>
    <t xml:space="preserve">Optimización de la Gestión operativa y funcional del plan territorial de salud </t>
  </si>
  <si>
    <t xml:space="preserve">Implementación del Modelo de Gestión del Riesgo en Salud </t>
  </si>
  <si>
    <t>Transformación e Intervención de los Determinantes ambientales</t>
  </si>
  <si>
    <t>Prevención y control de la salud mental</t>
  </si>
  <si>
    <t xml:space="preserve">Asistencia para la Promoción y Fomento de la Salud sexual y reproductiva </t>
  </si>
  <si>
    <t>Implementación de la estrategia Salud a mi Casa</t>
  </si>
  <si>
    <t>Implementación de la estrategia Salud al Colegio</t>
  </si>
  <si>
    <t>Fortalecimiento del Sistema de Vigilancia epidemiológica en el distrito de Barranquilla</t>
  </si>
  <si>
    <t>Más calidad en Salud</t>
  </si>
  <si>
    <t>Implementación de la modalidad hospital dia en salud mental en el Distrito de Barranquilla</t>
  </si>
  <si>
    <t>Adecuación de la infraestructura en salud</t>
  </si>
  <si>
    <t>Fortalecimiento de la Atención integral en salud a población con enfoque diferencial</t>
  </si>
  <si>
    <t>Optimización del sistema de Garantía de la Calidad en Salud</t>
  </si>
  <si>
    <t>Construcción y Adecuación de una morgue en el Distrito de Barranquilla</t>
  </si>
  <si>
    <t>LS Vivienda, Ciudad y Territorio</t>
  </si>
  <si>
    <t xml:space="preserve">Vivienda y Hábitat </t>
  </si>
  <si>
    <t>Titulación de predios fiscales en los asentamientos humanos de origen informal</t>
  </si>
  <si>
    <t>Generación de mecanismos para el acceso a Vivienda Nueva</t>
  </si>
  <si>
    <t>Servicio de Acompañamiento Social para Beneficiarios de Programas de Vivienda</t>
  </si>
  <si>
    <t>Asistencia para el Reasentamiento de hogares localizados en zonas de alto riesgo no mitigable</t>
  </si>
  <si>
    <t xml:space="preserve">Ordenamiento Territorial </t>
  </si>
  <si>
    <t>Elaboración del estudio para la nueva estratificación urbana del Distrito</t>
  </si>
  <si>
    <t>Apoyo a la Gestión de instrumentos de planificación</t>
  </si>
  <si>
    <t>Apoyo para la Legalización Urbanística</t>
  </si>
  <si>
    <t>Revisión del Plan de Ordenamiento Territorial</t>
  </si>
  <si>
    <t>Servicios Públicos</t>
  </si>
  <si>
    <t>Actualización e implementación del Plan Integral de Gestión de Residuos Sólidos - PGIRS</t>
  </si>
  <si>
    <t>Plan Maestro de Acueducto y Alcantarillado</t>
  </si>
  <si>
    <t>Administración, operación y mantenimiento del Sistema de Alumbrado Público de Barranquilla</t>
  </si>
  <si>
    <t>Construcción del colector de alcantarillado de la zona occidental del Distrito de Barranquilla</t>
  </si>
  <si>
    <t>Construcción del sistema de acueducto regional del norte en el Distrito de Barranquilla</t>
  </si>
  <si>
    <t>Saneamiento de la zona nororiental de Barranquilla (Ciudad del río)</t>
  </si>
  <si>
    <t>Apoyo a la eficiencia energética en edificaciones distritales</t>
  </si>
  <si>
    <t>Implementación de soluciones energéticas sostenibles a Hogares</t>
  </si>
  <si>
    <t>Asistencia, capacitación y fomento del uso racional de la energía - Ilumina tu ahorro</t>
  </si>
  <si>
    <t>Generación y utilización de fuentes de energía renovables y limpias en el Distrito de Barranquilla</t>
  </si>
  <si>
    <t>Normalización de redes eléctricas</t>
  </si>
  <si>
    <t>Generación DE ENERGÍA solar</t>
  </si>
  <si>
    <t>Mejoramiento de redes eléctricas internas para viviendas de estratos I y 11 - Renueva tu energía</t>
  </si>
  <si>
    <t>Prestación de los subsidios de servicios públicos domiciliarios</t>
  </si>
  <si>
    <t>LS Gestión Social con enfoque de Derechos</t>
  </si>
  <si>
    <t>Primera Infancia</t>
  </si>
  <si>
    <t>Implementación de la política pública de primera infancia</t>
  </si>
  <si>
    <t>Infancia y Adolescencia</t>
  </si>
  <si>
    <t>Apoyo en el hogar de paso</t>
  </si>
  <si>
    <t>Prevención y erradicación del trabajo infantil y sus peores formas en Barranquilla</t>
  </si>
  <si>
    <t>Apoyo a la Promoción de la participación de la infancia y la adolescencia</t>
  </si>
  <si>
    <t>Apoyo al proyecto Lúdica para la prevención</t>
  </si>
  <si>
    <t>Promoción de la Ciudadanía juvenil del Distrito de Barranquilla</t>
  </si>
  <si>
    <t>Implementación de la Escuela de Liderazgo</t>
  </si>
  <si>
    <t>Fortalecimiento de la Participación juvenil</t>
  </si>
  <si>
    <t>Adulto Mayor</t>
  </si>
  <si>
    <t>Prestación de servicios de atención en los Centros de Bienestar</t>
  </si>
  <si>
    <t>Servicio de Atención en los Centros de Vida</t>
  </si>
  <si>
    <t>Formulación de la política pública del adulto mayor</t>
  </si>
  <si>
    <t>Habitantes de calle</t>
  </si>
  <si>
    <t>Apoyo en centro de acogida para habitantes de calle en el Distrito de Barranquilla</t>
  </si>
  <si>
    <t>Recuperación integral de los habitantes de calles del Distrito de Barranquilla</t>
  </si>
  <si>
    <t>Fortalecimiento a las familias y superación de la pobreza</t>
  </si>
  <si>
    <t>Servicio de Atención a las familias vulnerables del Distrito</t>
  </si>
  <si>
    <t>Desarrollo social ambiental y productivo</t>
  </si>
  <si>
    <t>Desarrollo, gestión de acuerdos y cooperación para población vulnerable</t>
  </si>
  <si>
    <t>Implementación de la estrategia integral para el apoyo a la población vulnerable</t>
  </si>
  <si>
    <t>Implementación de Comedores Comunitarios</t>
  </si>
  <si>
    <t>mplementación y oferta de la gestión integral de servicios por medio de la estrategia ferias Pa'La Calle</t>
  </si>
  <si>
    <t>Implementación del Estímulo Social de Transporte</t>
  </si>
  <si>
    <t>Barranquilla avanza hacia la igualdad de género y diversidad</t>
  </si>
  <si>
    <t>Consolidación de una Ciudad libre de violencias y discriminaciones por razones de sexo y género</t>
  </si>
  <si>
    <t>Protección, garantía de derechos y generación de oportunidades para las mujeres - Barranquilla con mirada equitativa</t>
  </si>
  <si>
    <t>Apoyo a la Inclusión, Respeto Y Garantía Para El Goce Pleno De Los Derechos De Las Personas LGTBIQ+</t>
  </si>
  <si>
    <t>Más cuidado a las personas con discapacidad y sus cuidadores</t>
  </si>
  <si>
    <t>Mejoramiento de la Calidad de vida para las personas en condición de discapacidad y sus cuidadores</t>
  </si>
  <si>
    <t>Generación del Sistema distrital de cuidado de personas con discapacidad y sus cuidadores</t>
  </si>
  <si>
    <t>Inclusión de comunidades Indígenas</t>
  </si>
  <si>
    <t>Fortalecimiento a la identidad cultural, cabildos indígenas en contexto de ciudad</t>
  </si>
  <si>
    <t>Inclusión de comunidades Negras, Afrocolombianas, Raizales y Palenqueras</t>
  </si>
  <si>
    <t>Fortalecimiento para la inclusión de estrategias y acciones afirmativas para el desarrollo integral de las poblaciones negras, afrocolombianas, raizales y palenqueras del distrito de barranquilla</t>
  </si>
  <si>
    <t>Atención a Migrantes</t>
  </si>
  <si>
    <t>Servicio de Atención integral a la población migrante del distrito de Barranquilla</t>
  </si>
  <si>
    <t>Construcción de paz, Atención a Víctimas, Reconciliación y Promoción de los derechos humanos</t>
  </si>
  <si>
    <t>Apoyo en Acompañamiento Psicosocial y Construcción De Memoria Histórica - medidas de satisfacción</t>
  </si>
  <si>
    <t>Apoyo a la implementación de estrategias para el fortalecimiento de los Derechos Humanos y paz en el Distrito de Barranquilla</t>
  </si>
  <si>
    <t>Asistencia, atención integral a las victimas del conflicto y dinamización de la política pública</t>
  </si>
  <si>
    <t>Prevención del reclutamiento forzado, uso y utilización y participación efectiva de Niños, Niñas, Adolescentes y Jóvenes - NNAJ</t>
  </si>
  <si>
    <t xml:space="preserve">Reparación Integral: Procesos de retorno y reubicación -integración comunitaria y arraigo territorial </t>
  </si>
  <si>
    <t>Reintegración y Reincorporación</t>
  </si>
  <si>
    <t>Implementación de estrategias de Reintegración y Reinserción</t>
  </si>
  <si>
    <t>LS Recreación y Deportes</t>
  </si>
  <si>
    <t>Más recreación y actividad física</t>
  </si>
  <si>
    <t>Aprovechamiento del tiempo libre</t>
  </si>
  <si>
    <t>Apoyo a la Promoción de la Actividad física</t>
  </si>
  <si>
    <t>Más deporte para todos</t>
  </si>
  <si>
    <t>Apoyo para el desarrollo y la práctica de actividad física, de recreación y deporte para personas con discapacidad</t>
  </si>
  <si>
    <t>Desarrollo y fortalecimiento institucional del deporte y la recreación en el distrito de Barranquilla</t>
  </si>
  <si>
    <t>Fortalecimiento de Escuelas de formación deportiva</t>
  </si>
  <si>
    <t>Apoyo a los Juegos lntercolegiados</t>
  </si>
  <si>
    <t>Apoyo a la Promoción del deporte social, comunitario, formativo y asociado</t>
  </si>
  <si>
    <t>Apoyo a la Promoción y desarrollo de las actividades de recreación y deporte a la población con enfoque diferencial</t>
  </si>
  <si>
    <t>Apoyo para el desarrollo y la práctica de actividad física de recreación y deporte para personas de las comunidades negras, afrocolombianas, raizales y palequenqueras (NARP)</t>
  </si>
  <si>
    <t>Más deporte de clase mundial</t>
  </si>
  <si>
    <t>Apoyo a deportistas</t>
  </si>
  <si>
    <t>Apoyo logístico a eventos deportivos locales, nacionales e internacionales</t>
  </si>
  <si>
    <t>Construcción de escenarios deportivos</t>
  </si>
  <si>
    <t>Mantenimiento, adecuación y administración de los escenarios deportivos</t>
  </si>
  <si>
    <t>LE Ciudad Cultural</t>
  </si>
  <si>
    <t>Ciudadanía y Gobernanza Cultural</t>
  </si>
  <si>
    <t>Estudios de la ciudadanía cultural y solidaria de Barranquilla</t>
  </si>
  <si>
    <t>Fortalecimiento y estímulo a las prácticas de ciudadanía cultural y solidaría</t>
  </si>
  <si>
    <t>Apoyo al Fomento de la gestión partícípatíva de la cultura y el patrimonio</t>
  </si>
  <si>
    <t>Más fomento de la Cultura y el Arte</t>
  </si>
  <si>
    <t>Implementación del Sistema Distrital de Formación Artística y Cultural</t>
  </si>
  <si>
    <t>Apoyo a la promoción de la lectura, escritura y oralidad y el servicio público de bibliotecas</t>
  </si>
  <si>
    <t>Fortalecimiento de espacios culturales locales, inclusivos y sostenibles</t>
  </si>
  <si>
    <t>Consolidación del Sistema Distrital de Estímulos para la creación, investigación y gestión sostenible de las artes, las culturas y el patrimonio cultural</t>
  </si>
  <si>
    <t>Estudios para la Creación de un Espacio Multipropósito para Grandes Eventos</t>
  </si>
  <si>
    <t>Gestión, Protección y Salvaguardia del Patrimonio Cultural</t>
  </si>
  <si>
    <t>Servicios de protección y apoyo a la gestión del Patrimonio Cultural Material - PEMP</t>
  </si>
  <si>
    <t>poyo al cuidado y ejercicio de la salvaguardia de la memoria y los saberes tradicionales - Plan Especial de Salvaguardia (PES)</t>
  </si>
  <si>
    <t>Barranquilla Territorio Creativo y Sostenible</t>
  </si>
  <si>
    <t>Apoyo a Barranquilla creativa y sostenible</t>
  </si>
  <si>
    <t>LE Ciudad Emprendedora y Competitiva</t>
  </si>
  <si>
    <t>Más emprendedora y competitiva e Innovadora</t>
  </si>
  <si>
    <t>Asistencia a la generación y fortalecimiento a unidades productivas sostenibles, innovadoras y competitivas</t>
  </si>
  <si>
    <t>Consolidación de estrategias innovadoras para el trabajo en la ciudad de Barranquilla</t>
  </si>
  <si>
    <t>Fortalecimiento del territorio para grandes eventos e inversiones en Barranquilla</t>
  </si>
  <si>
    <t>Ciudad Global</t>
  </si>
  <si>
    <t>Desarrollo y Potencialización del sector portuario y sus contextos en la ciudad</t>
  </si>
  <si>
    <t>Fortalecimiento de la internacionalización de Barranquilla</t>
  </si>
  <si>
    <t>Elaboración de lineamientos técnicos para la transformación del Distrito de Barranquilla en HUB de Aviación</t>
  </si>
  <si>
    <t>Ciudad Digital</t>
  </si>
  <si>
    <t>Servicio de Internet universal y de alta velocidad para viviendas con bajas condiciones socioeconómicas de Barranquilla</t>
  </si>
  <si>
    <t>Mantenimiento del acceso a Internet wifi en sitios públicos para los usuarios</t>
  </si>
  <si>
    <t>Implementación de Oferta de capacitación en temas relacionados con tecnologías de la información</t>
  </si>
  <si>
    <t>Apoyo en la Estructuración de Barranquilla como Super puerto Digital para Latinoamérica</t>
  </si>
  <si>
    <t>LE Espacio Público y Ambientes Urbanos</t>
  </si>
  <si>
    <t>Espacios Públicos para todos</t>
  </si>
  <si>
    <t>Construcción del Malecón del Suroriente</t>
  </si>
  <si>
    <t>Construcción Parque Lineal Caño de la Ahuyama</t>
  </si>
  <si>
    <t>Fortalecimiento de los procesos de inspección, vigilancia y control y los mecanismos de concientización del buen uso del control urbano y el espacio público</t>
  </si>
  <si>
    <t>Fortalecimiento del ordenamiento del espacio público</t>
  </si>
  <si>
    <t>Fortalecimiento productivo de los vendedores informales y reubicados</t>
  </si>
  <si>
    <t>Implementación de herramientas técnicas y jurídicas para el control y seguimiento del cableado en desuso, inactivo y destensado del distrito de Barranquilla</t>
  </si>
  <si>
    <t>Recuperación y mejoramiento de Todos al parque</t>
  </si>
  <si>
    <t>Trasformación de Entornos Urbanos -TEU</t>
  </si>
  <si>
    <t>Infraestructura para la Competitividad</t>
  </si>
  <si>
    <t>Implementación del programa Barrios a la Obra</t>
  </si>
  <si>
    <t>Mantenimiento y Recuperación de la malla vial Distrital</t>
  </si>
  <si>
    <t>Construcción de la Calle 82 entre carrera 74 y Avenida del Ria</t>
  </si>
  <si>
    <t>Construcción de Obras de Urbanismo en el Gran Malecón del Río</t>
  </si>
  <si>
    <t>Recuperación y construcción de mercados</t>
  </si>
  <si>
    <t>LE Movilidad Segura, Accesible y Sostenible</t>
  </si>
  <si>
    <t>Conciencia y Seguridad Vial</t>
  </si>
  <si>
    <t>Actualización y adopción del Plan Maestro de Movilidad Sostenible y Segura distrital y metropolitano</t>
  </si>
  <si>
    <t>Control y regulación del tránsito y el transporte en el Distrito de Barranquilla</t>
  </si>
  <si>
    <t>Implementación de Estrategias para la seguridad vial</t>
  </si>
  <si>
    <t>Fortalecimiento del monitoreo para la gestión del tránsito</t>
  </si>
  <si>
    <t>Implementación de Medidas de gestión del tránsito para una Barranquilla con vias seguras</t>
  </si>
  <si>
    <t>Infraestructura Eficiente para el Transporte Público</t>
  </si>
  <si>
    <t>Mejoramiento de la infraestructura para la prestación del servicio de transporte publico</t>
  </si>
  <si>
    <t>Mejoramiento del parque automotor de servicio de Transporte Publico</t>
  </si>
  <si>
    <t>Identificación y verificación del parque automotor de Transporte Público Individual de Pasajeros</t>
  </si>
  <si>
    <t>Implementación de un sistema de medidas y tarifas para el transporte público individual</t>
  </si>
  <si>
    <t>Construcción e implementación de Terminales Satélite para el transporte público</t>
  </si>
  <si>
    <t>Transformación Cultural para una mejor Movilidad</t>
  </si>
  <si>
    <t>Implementación de acciones de Cultura ciudadana para actores viales</t>
  </si>
  <si>
    <t>Implementación de acciones de Cultura ciudadana para el transporte publico</t>
  </si>
  <si>
    <t>Transformación cultural para una movilidad sostenible e incluyente</t>
  </si>
  <si>
    <t>LA Medio Ambiente y Adaptación al Cambio Climático</t>
  </si>
  <si>
    <t>Gestión de la Información y el Conocimiento Ambiental</t>
  </si>
  <si>
    <t>Elaboración del Plan Integral de Gestión del Cambio Climático Territorial - PIGCCT</t>
  </si>
  <si>
    <t>Formulación del Plan de descontaminación por ruido del Distrito de Barranquilla</t>
  </si>
  <si>
    <t>Instalación de la Red Distrital Hidrometereológica</t>
  </si>
  <si>
    <t>Operación del sistema de vigilancia de la calidad del aire del Distrito de Barranquilla</t>
  </si>
  <si>
    <t>Conservación de la Biodiversidad y sus Servicios Ecosistémicos</t>
  </si>
  <si>
    <t>Construcción del Centro de Atención y Valoración de Fauna Silvestre- CAV</t>
  </si>
  <si>
    <t>Servicio de atención integral a los animales domésticos en condición de vulnerabilidad a través del Centro de Bienestar Animal</t>
  </si>
  <si>
    <t>Implementación y Mantenimiento del Proyecto Siembra Barranquilla</t>
  </si>
  <si>
    <t>LA Ordenamiento Ambiental Territorial</t>
  </si>
  <si>
    <t>Entorno Urbano Ambiental</t>
  </si>
  <si>
    <t>Construcción de obras de Drenaje Pluvial Efectivo</t>
  </si>
  <si>
    <t>Recuperación integral de la Ciénaga de Mallorquín</t>
  </si>
  <si>
    <t>Recuperación integral de rondas de caños, arroyos y cuerpos de agua</t>
  </si>
  <si>
    <t>Diagnóstico sobre la ocupación indebida real del espacio público alrededor de caños, arroyos y cuerpos de agua en el Distrito de Barranquilla</t>
  </si>
  <si>
    <t>Gestión Integral del Recurso Hídrico</t>
  </si>
  <si>
    <t>Formulación del Plan de Ordenamiento del Recurso Hidrico del Distrito</t>
  </si>
  <si>
    <t>Formulación del Plan de manejo ambiental de la Microcuenca del Distrito</t>
  </si>
  <si>
    <t>Gestión del Riesgo de Desastres</t>
  </si>
  <si>
    <t>Identificación, análisis, evaluación y monitoreo del riesgo de desastres en el territorio urbano del Distrito de Barranquilla</t>
  </si>
  <si>
    <t>Fortalecimiento y apropiación del conocimiento de riesgo de desastres en el distrito de Barranquilla</t>
  </si>
  <si>
    <t>Desarrollo de un Sistema de Alertas Tempranas</t>
  </si>
  <si>
    <t>sistencia y atención humanitaria para la rehabilitación y la recuperación de las condiciones de normalidad en el Distrito de Barranquilla</t>
  </si>
  <si>
    <t>Implementación de acciones para Mitigación de deslizamiento en laderas</t>
  </si>
  <si>
    <t>LPA Administración Pública Eficiente</t>
  </si>
  <si>
    <t>Fortalecimiento del Desempeño y la Eficiencia</t>
  </si>
  <si>
    <t>Fortalecimiento del Talento Humano</t>
  </si>
  <si>
    <t>Actualización de los trámites en los sistemas de información de los registros de tránsito</t>
  </si>
  <si>
    <t>Implementación del plan estratégico de Comunicaciones institucionales</t>
  </si>
  <si>
    <t>Apoyo a la Defensa jurídica</t>
  </si>
  <si>
    <t>Fortalecimiento de los sistemas de gestión en el Distrito de Barranquilla</t>
  </si>
  <si>
    <t>Fortalecimiento del sistema de gestión disciplinaria de la Alcaldía Distrital de Barranquilla</t>
  </si>
  <si>
    <t>Mejoramiento de las condiciones administrativas y logísticas para la prestación del servicio al ciudadano</t>
  </si>
  <si>
    <t>Modernización de los sistemas de información Distrital</t>
  </si>
  <si>
    <t>Innovación y mantenimiento de la infraestructura tecnológica de la entidad</t>
  </si>
  <si>
    <t>Mejoramiento del Archivo y Custodia de los Expedientes de los Registros de Tránsito</t>
  </si>
  <si>
    <t>Mejoramiento del Sistema de Control Interno desde el proceso de evaluación independiente de la Alcaldía Distrital de Barranquilla</t>
  </si>
  <si>
    <t>Mejoramiento de la Planeación Territorial</t>
  </si>
  <si>
    <t>Actualización y optimización de los Sistemas de Información para la Planeación</t>
  </si>
  <si>
    <t>Actualización del Catastro más fácil</t>
  </si>
  <si>
    <t>Difusión catastral</t>
  </si>
  <si>
    <t>Actualización de la Infraestructura de Datos Espaciales</t>
  </si>
  <si>
    <t>Consolidación de la Gestión de información y producción del conocimiento</t>
  </si>
  <si>
    <t>Optimización del proceso contravencional</t>
  </si>
  <si>
    <t>Apoyo a la Promoción y coordinación institucional para la construcción y seguimiento de planes de intervenciones comunitarias</t>
  </si>
  <si>
    <t>Actualización y mantenimiento del Sistema de Información de Potenciales Beneficiarios - SISBEN</t>
  </si>
  <si>
    <t>Mejor Inversión Pública</t>
  </si>
  <si>
    <t>Administración, Efectividad y estabilidad del sistema tributario</t>
  </si>
  <si>
    <t>Fortalecimiento del proceso de recuperación de cartera en la Secretaría de Tránsito y Seguridad Vial Barranquilla</t>
  </si>
  <si>
    <t>Consolidación de Fuentes alternativas de financiamiento público</t>
  </si>
  <si>
    <t>Desarrollo del Sistema de monitoreo de la inversión pública</t>
  </si>
  <si>
    <t>Administración de la Sostenibilidad financiera</t>
  </si>
  <si>
    <t>Etiquetas de fila</t>
  </si>
  <si>
    <t>Cuenta de Proyecto</t>
  </si>
  <si>
    <t>Total general</t>
  </si>
  <si>
    <t>PROYECTO</t>
  </si>
  <si>
    <t>IMG</t>
  </si>
  <si>
    <t>https://cdn.pixabay.com/photo/2017/06/08/04/44/mason-2382518_1280.jpg</t>
  </si>
  <si>
    <t>https://cdn.pixabay.com/photo/2019/02/06/16/32/architect-3979490_1280.jpg</t>
  </si>
  <si>
    <t>https://cdn.pixabay.com/photo/2014/03/11/23/21/site-285645_1280.jpg</t>
  </si>
  <si>
    <t>https://lh3.googleusercontent.com/u/0/drive-viewer/AKGpihZObs_C8LL1g7wXXS8Wpqk7u2MIEd-EQFUZ2IPFqMfrVZ8kjKh-Nk_K8hvtIJS3UHa5SBiUwCkwObOithAqebXpBubmFiDDHPs=w1920-h919-rw-v1</t>
  </si>
  <si>
    <t xml:space="preserve">Nombre </t>
  </si>
  <si>
    <t>Descripción</t>
  </si>
  <si>
    <r>
      <t xml:space="preserve">Convenio o Contrato Interadministrativo
</t>
    </r>
    <r>
      <rPr>
        <sz val="11"/>
        <color rgb="FFFFFF00"/>
        <rFont val="Century Gothic"/>
        <family val="2"/>
      </rPr>
      <t>[Si no aplica: N/A]</t>
    </r>
  </si>
  <si>
    <t>Corresponde al identificador del contrato marco en el cual está contenida la contratación derivada (Contratos de ejecución y contratos de interventoría)
No aplica contratación marco cuando la contratación derivada se realiza directamente por alguna de las secretarías o dependencias de la Alcaldía</t>
  </si>
  <si>
    <t>NI</t>
  </si>
  <si>
    <t>Corresponde al sector económico en el cual se enmarca el proyecto 
Se tienen los siguientes:
Agua potable y saneamiento básico
Arroyos | Cultura | Desarrollo urbano | EcoTurismo | Educación |Recreación y Deporte | Salud | Seguridad | Trasporte |Vivienda</t>
  </si>
  <si>
    <t xml:space="preserve">Corresponde a las líneas programáticas desarrolladas o definidas por la Alcaldía, dentro de los cuales se engloba uno o más proyectos y que a su vez se encuentran enmarcadas en los sectores económicos definidos. Algunos de los programas definidos pueden ser, entre otros que se incluirán dependiendo de la necesidad:
Pasos | Caminos 
Estaciones de Bomberos | CAI | Estaciones
Malla Vial | Barrios a la obra  | Reparcheo de vias |SITP
Parques | Escenarios deportivos | JCCB 2018
Conchas Acústicas | Edificaciones culturales 
Centros de Desarrollo Infantil | Colegios  | SENA | Universidad
Malecón | EcoParque Mallonquín | Tren Turistico | Recuperación Playas de Puerto Mocho | Rio Bus
Mejoramiento de viviendas
Arroyos 
Tranformación de Entornos Urbanos | Plazas de Mercado | Centros Comunitarios
Agua potable y saneamiento básico
</t>
  </si>
  <si>
    <r>
      <t xml:space="preserve">Nombre Proyecto
</t>
    </r>
    <r>
      <rPr>
        <b/>
        <sz val="11"/>
        <color rgb="FFFFFF00"/>
        <rFont val="Century Gothic"/>
        <family val="2"/>
      </rPr>
      <t>[Nombre corto indicativo]</t>
    </r>
  </si>
  <si>
    <r>
      <t xml:space="preserve">Corresponde al nombre corto con el cual se identifica el proyecto como unidad y la estructura general será:  indicativo programa + No.Contrato Marco (si aplica) + nombre indicativo del proyecto - </t>
    </r>
    <r>
      <rPr>
        <b/>
        <sz val="11"/>
        <color theme="1"/>
        <rFont val="Century Gothic"/>
        <family val="2"/>
      </rPr>
      <t>Ej: MP-2989 - Mercado Del Rio</t>
    </r>
    <r>
      <rPr>
        <sz val="11"/>
        <color theme="1"/>
        <rFont val="Century Gothic"/>
        <family val="2"/>
      </rPr>
      <t xml:space="preserve">
En algunos casos se incluye únicamente nombre indicativo del proyecto, por tratarse de proyectos estratégico o diferenciados
</t>
    </r>
    <r>
      <rPr>
        <b/>
        <sz val="11"/>
        <color theme="1"/>
        <rFont val="Century Gothic"/>
        <family val="2"/>
      </rPr>
      <t>Ej: Gran Malecón de Sur Oriente - Losa Canal</t>
    </r>
  </si>
  <si>
    <t>Corresponde a las localidades del Distrito de Barranquilla
Suroccidente
Suroriente
Norte_Centro_Histórico
Metropolitana
Riomar
Existen casos donde un proyecto impacta a más de una localidad, por lo cual aparecen como opción: Varias o todas</t>
  </si>
  <si>
    <t>Corresponde a los Barrios del Distrito de Barranquilla
Existen casos donde un proyecto impacta a más de un barrio, caso en el cual se listan los barrios impactados</t>
  </si>
  <si>
    <t>Dirección física con la cual se referencia la infraestructura</t>
  </si>
  <si>
    <r>
      <t xml:space="preserve">Localización
</t>
    </r>
    <r>
      <rPr>
        <sz val="11"/>
        <color rgb="FFFFFF00"/>
        <rFont val="Century Gothic"/>
        <family val="2"/>
      </rPr>
      <t>[Latitud y Longitud | Para vías indicar Latitud y Longitud de Inicio y fin intervención | Para polígonos indicar Latitud y longitud de cada vértice]</t>
    </r>
  </si>
  <si>
    <t>Corresponde a las coordenadas del proyecto</t>
  </si>
  <si>
    <t>X</t>
  </si>
  <si>
    <t>Valor de posición para la longitud en sistema de coordenadas geográficas. El rango para Colombia [-4, 14]</t>
  </si>
  <si>
    <t>Y</t>
  </si>
  <si>
    <t>Valor de posición para la latitud en sistema de coordenadas geográficas. El rango para Colombia [-65, -81]</t>
  </si>
  <si>
    <r>
      <t xml:space="preserve">Estado Proyecto
</t>
    </r>
    <r>
      <rPr>
        <sz val="11"/>
        <color rgb="FFFFFF00"/>
        <rFont val="Century Gothic"/>
        <family val="2"/>
      </rPr>
      <t>[Formulación | Precontractual | Contratual | Postcontractual]</t>
    </r>
  </si>
  <si>
    <r>
      <t xml:space="preserve">Corresponde a la clasificación general estandarizada, para la línea de vida de contratos y proyectos, en el cual se encuentra el proyecto en el momento del reporte. Las opciones son:
</t>
    </r>
    <r>
      <rPr>
        <b/>
        <sz val="11"/>
        <color theme="1"/>
        <rFont val="Century Gothic"/>
        <family val="2"/>
      </rPr>
      <t>- Formulación:</t>
    </r>
    <r>
      <rPr>
        <sz val="11"/>
        <color theme="1"/>
        <rFont val="Century Gothic"/>
        <family val="2"/>
      </rPr>
      <t xml:space="preserve"> Comprende aquellas necesidades de proyectos que se encuentran en gestión, pero no cuentan aún con marco contractual. Por ejemplo: MoU u otras iniciativas
</t>
    </r>
    <r>
      <rPr>
        <b/>
        <sz val="11"/>
        <color theme="1"/>
        <rFont val="Century Gothic"/>
        <family val="2"/>
      </rPr>
      <t xml:space="preserve">- Precontractual: </t>
    </r>
    <r>
      <rPr>
        <sz val="11"/>
        <color theme="1"/>
        <rFont val="Century Gothic"/>
        <family val="2"/>
      </rPr>
      <t xml:space="preserve">Comprendido desde la estructuración de la contratación derivada asociada al proyecto hasta previa la suscripción del acta de inicio
</t>
    </r>
    <r>
      <rPr>
        <b/>
        <sz val="11"/>
        <color theme="1"/>
        <rFont val="Century Gothic"/>
        <family val="2"/>
      </rPr>
      <t>- Contractual:</t>
    </r>
    <r>
      <rPr>
        <sz val="11"/>
        <color theme="1"/>
        <rFont val="Century Gothic"/>
        <family val="2"/>
      </rPr>
      <t xml:space="preserve"> Comprendido desde la suscripción del acta de inicio hasta el último día de vigencia contractual del proyecto
</t>
    </r>
    <r>
      <rPr>
        <b/>
        <sz val="11"/>
        <color theme="1"/>
        <rFont val="Century Gothic"/>
        <family val="2"/>
      </rPr>
      <t>- Postcontactual:</t>
    </r>
    <r>
      <rPr>
        <sz val="11"/>
        <color theme="1"/>
        <rFont val="Century Gothic"/>
        <family val="2"/>
      </rPr>
      <t xml:space="preserve"> Comprendido desde la suscripción del acta de terminación hasta la suscripción del acta de liquidación</t>
    </r>
  </si>
  <si>
    <r>
      <t xml:space="preserve">Subestado Proyecto
</t>
    </r>
    <r>
      <rPr>
        <sz val="11"/>
        <color rgb="FFFFFF00"/>
        <rFont val="Century Gothic"/>
        <family val="2"/>
      </rPr>
      <t>[En ejecución | Suspendido | Entregado | En estructuración | En Convocatoria | etc.]</t>
    </r>
  </si>
  <si>
    <r>
      <t xml:space="preserve">Corresponde a la clasificación estandarizada, para la línea de vida de contratos y proyectos en cada uno de los estados generales, en el cual se encuentra el proyecto en el momento del reporte. Las opciones son:
</t>
    </r>
    <r>
      <rPr>
        <b/>
        <sz val="11"/>
        <color theme="1"/>
        <rFont val="Century Gothic"/>
        <family val="2"/>
      </rPr>
      <t xml:space="preserve">- Formulación: </t>
    </r>
    <r>
      <rPr>
        <sz val="11"/>
        <color theme="1"/>
        <rFont val="Century Gothic"/>
        <family val="2"/>
      </rPr>
      <t xml:space="preserve">
-  Proyecto_Fase_I_Prefactibilidad: Corresponde a aquellos proyectos sobre los cuales se ha generado una manifestación de interés para ejecución que se encuentran en definición del problema y diseño conceptual preliminar
-  Proyecto_Fase_II_Factibilidad: Corresponde a aquellos proyectos sobre los cuales se ha generado una manifestación de necesidad para ejecución que cuenta con viabilidad y diseños generales de ingeniería
-  Proyecto_Fase_III_Diseños_definitivos_y_detalles: Corresponde a aquellos proyectos sobre los cuales se ha generado una manifestación de necesidad para ejecución, pero cuentan con diseños de detalle
</t>
    </r>
    <r>
      <rPr>
        <b/>
        <sz val="11"/>
        <color theme="1"/>
        <rFont val="Century Gothic"/>
        <family val="2"/>
      </rPr>
      <t>- Precontractual</t>
    </r>
    <r>
      <rPr>
        <sz val="11"/>
        <color theme="1"/>
        <rFont val="Century Gothic"/>
        <family val="2"/>
      </rPr>
      <t xml:space="preserve">
-  En_Estructuración: Comprende la etapa contractual previa a la publicación del proceso de selección, durante el cual se realiza la elaboración de Estudios Previos, Análisis del Sector, Anexos técnicos y Pliegos de Condiciones
-  En_Convocatoria: Comprende el período entre la fecha de publicación y la fecha de adjudicación.
-  Perfeccionamiento_y_Legalización: Comprende el período entre la fecha de adjudicación y la fecha de firma de acta de inicio.
</t>
    </r>
    <r>
      <rPr>
        <b/>
        <sz val="11"/>
        <color theme="1"/>
        <rFont val="Century Gothic"/>
        <family val="2"/>
      </rPr>
      <t xml:space="preserve">- Contractual: </t>
    </r>
    <r>
      <rPr>
        <sz val="11"/>
        <color theme="1"/>
        <rFont val="Century Gothic"/>
        <family val="2"/>
      </rPr>
      <t xml:space="preserve">
-  En_Ejecución: Comprende el período entre la fecha de inicio y la fecha de terminación.
-  Suspendido: Caso particular en el cual el proyecto dentro del tiempo contractual pasa de estar En_Ejecución a estar suspendido por un tiempo establecido.
</t>
    </r>
    <r>
      <rPr>
        <b/>
        <sz val="11"/>
        <color theme="1"/>
        <rFont val="Century Gothic"/>
        <family val="2"/>
      </rPr>
      <t xml:space="preserve">- Postcontractual: </t>
    </r>
    <r>
      <rPr>
        <sz val="11"/>
        <color theme="1"/>
        <rFont val="Century Gothic"/>
        <family val="2"/>
      </rPr>
      <t xml:space="preserve">
-  Terminado: Comprende el período entre la fecha de terminación y la fecha de entrega
-  Entregado: Comprende el período entre la fecha de entrega y la fecha de liquidación
-  Liquidado: Corresponde a aquellos proyectos cuyos contratos derivados asociados se encuentren debidamente liquidados</t>
    </r>
  </si>
  <si>
    <r>
      <t xml:space="preserve">Valor total de proyecto
</t>
    </r>
    <r>
      <rPr>
        <b/>
        <sz val="11"/>
        <color rgb="FFFFFF00"/>
        <rFont val="Century Gothic"/>
        <family val="2"/>
      </rPr>
      <t>[O+I]</t>
    </r>
  </si>
  <si>
    <t>Corresponde a la sumatoria del valor del contrato de ejecución (Estudios y Diseños u Obra) + el valor del contrato de interventoría (si aplica)</t>
  </si>
  <si>
    <t xml:space="preserve">Corresponde al porcentaje de avance físico planeado de acuerdo con la programación vigente del proyecto y se establece como la línea base de seguimiento. </t>
  </si>
  <si>
    <t>Corresponde al porcentaje de avance físico real del proyecto de acuerdo con el avance evidenciado y aprobado por la interventoría del mismo, o quien haga sus veces.</t>
  </si>
  <si>
    <t>Corresponde al valor que resulta de la operación matemática de restar el %programado del % ejecutado [%ejecutado - % programado]</t>
  </si>
  <si>
    <r>
      <t xml:space="preserve">Corresponde a la escala de colores definidas para clasificar el atraso del proyecto en concordancia con las tolerancias definidas para el seguimiento de proyectos. Se clasifican de la siguiente manera: 
</t>
    </r>
    <r>
      <rPr>
        <b/>
        <sz val="11"/>
        <color theme="1"/>
        <rFont val="Century Gothic"/>
        <family val="2"/>
      </rPr>
      <t>Proyectos de cuantía menor o igual a 10.000</t>
    </r>
    <r>
      <rPr>
        <sz val="11"/>
        <color theme="1"/>
        <rFont val="Century Gothic"/>
        <family val="2"/>
      </rPr>
      <t xml:space="preserve">
</t>
    </r>
    <r>
      <rPr>
        <sz val="11"/>
        <color rgb="FF00B050"/>
        <rFont val="Century Gothic"/>
        <family val="2"/>
      </rPr>
      <t>-	Verde para desviaciones menores a 5%</t>
    </r>
    <r>
      <rPr>
        <sz val="11"/>
        <color theme="1"/>
        <rFont val="Century Gothic"/>
        <family val="2"/>
      </rPr>
      <t xml:space="preserve">
</t>
    </r>
    <r>
      <rPr>
        <sz val="11"/>
        <color theme="7"/>
        <rFont val="Century Gothic"/>
        <family val="2"/>
      </rPr>
      <t>-	Amarillo para desviaciones entre 5 y 10%</t>
    </r>
    <r>
      <rPr>
        <sz val="11"/>
        <color theme="1"/>
        <rFont val="Century Gothic"/>
        <family val="2"/>
      </rPr>
      <t xml:space="preserve">
</t>
    </r>
    <r>
      <rPr>
        <sz val="11"/>
        <color rgb="FFC00000"/>
        <rFont val="Century Gothic"/>
        <family val="2"/>
      </rPr>
      <t>-	Rojo para desviaciones mayores a 10%</t>
    </r>
    <r>
      <rPr>
        <sz val="11"/>
        <color theme="1"/>
        <rFont val="Century Gothic"/>
        <family val="2"/>
      </rPr>
      <t xml:space="preserve">
</t>
    </r>
    <r>
      <rPr>
        <b/>
        <sz val="11"/>
        <color theme="1"/>
        <rFont val="Century Gothic"/>
        <family val="2"/>
      </rPr>
      <t xml:space="preserve">Proyectos de cuantía mayores a 10.000
</t>
    </r>
    <r>
      <rPr>
        <sz val="11"/>
        <color rgb="FF00B050"/>
        <rFont val="Century Gothic"/>
        <family val="2"/>
      </rPr>
      <t>-	Verde para desviaciones menores a 3%</t>
    </r>
    <r>
      <rPr>
        <sz val="11"/>
        <color theme="1"/>
        <rFont val="Century Gothic"/>
        <family val="2"/>
      </rPr>
      <t xml:space="preserve">
</t>
    </r>
    <r>
      <rPr>
        <sz val="11"/>
        <color theme="7"/>
        <rFont val="Century Gothic"/>
        <family val="2"/>
      </rPr>
      <t>-	Amarillo para desviaciones entre 3 y 7%</t>
    </r>
    <r>
      <rPr>
        <sz val="11"/>
        <color theme="1"/>
        <rFont val="Century Gothic"/>
        <family val="2"/>
      </rPr>
      <t xml:space="preserve">
</t>
    </r>
    <r>
      <rPr>
        <sz val="11"/>
        <color rgb="FFC00000"/>
        <rFont val="Century Gothic"/>
        <family val="2"/>
      </rPr>
      <t>-	Rojo para desviaciones mayores a 7%</t>
    </r>
  </si>
  <si>
    <t>Fecha en la cual se selecciona oficialmente al ganador del proceso de selección que derivó en el contrato. Aplica para convocatorias. En los casos de contrataciones directas se registrará en este campo la misma fecha de firma de contrato.</t>
  </si>
  <si>
    <t>Fecha en la cual se perfecciona la minuta contractual, mediante la firma de todas las partes y fechado de documento. La fecha a registrar será la fecha que aparece en el contrato.</t>
  </si>
  <si>
    <r>
      <t xml:space="preserve">Fecha de Inicio
</t>
    </r>
    <r>
      <rPr>
        <sz val="11"/>
        <color rgb="FFFFFF00"/>
        <rFont val="Century Gothic"/>
        <family val="2"/>
      </rPr>
      <t>[dd/mm/aaaa]</t>
    </r>
  </si>
  <si>
    <t>Fecha contractual inicio</t>
  </si>
  <si>
    <r>
      <t xml:space="preserve">Fecha de Terminación Inicial
</t>
    </r>
    <r>
      <rPr>
        <sz val="11"/>
        <color rgb="FFFFFF00"/>
        <rFont val="Century Gothic"/>
        <family val="2"/>
      </rPr>
      <t>[dd/mm/aaaa]</t>
    </r>
  </si>
  <si>
    <t>Fecha contractual de terminación inicialmente pactada</t>
  </si>
  <si>
    <r>
      <t xml:space="preserve">Fecha de Terminación Final
</t>
    </r>
    <r>
      <rPr>
        <sz val="11"/>
        <color rgb="FFFFFF00"/>
        <rFont val="Century Gothic"/>
        <family val="2"/>
      </rPr>
      <t>[dd/mm/aaaa]</t>
    </r>
  </si>
  <si>
    <t>Fecha contractual de terminación actualizada, incluyendo prórrogas, en caso que aplique</t>
  </si>
  <si>
    <r>
      <t xml:space="preserve">Aplica solo para proyectos que se encuentren en estado En_Ejecución y contempla condicionales calculadas de acuerdo con los días restantes para la terminación del proyecto. Planteados de la siguiente manera:
</t>
    </r>
    <r>
      <rPr>
        <sz val="11"/>
        <color rgb="FF00B050"/>
        <rFont val="Century Gothic"/>
        <family val="2"/>
      </rPr>
      <t>- Verde: restan más de 45 días para la terminación</t>
    </r>
    <r>
      <rPr>
        <sz val="11"/>
        <color theme="1"/>
        <rFont val="Century Gothic"/>
        <family val="2"/>
      </rPr>
      <t xml:space="preserve">
</t>
    </r>
    <r>
      <rPr>
        <sz val="11"/>
        <color theme="7"/>
        <rFont val="Century Gothic"/>
        <family val="2"/>
      </rPr>
      <t>- Amarillo: restan entre 16 y 45 días para la terminación</t>
    </r>
    <r>
      <rPr>
        <sz val="11"/>
        <color theme="1"/>
        <rFont val="Century Gothic"/>
        <family val="2"/>
      </rPr>
      <t xml:space="preserve">
</t>
    </r>
    <r>
      <rPr>
        <sz val="11"/>
        <color rgb="FFC00000"/>
        <rFont val="Century Gothic"/>
        <family val="2"/>
      </rPr>
      <t>- Rojo: restan 15 o menos días para la terminación</t>
    </r>
  </si>
  <si>
    <r>
      <t xml:space="preserve">Corresponde a combinación de condicionales que se basa en los resultados del semáforo de cronograma y los resultados del semáforo de fecha de terminación y establece los siguientes escenarios para proyectos que requieren seguimiento especial:
- Plazo Alerta </t>
    </r>
    <r>
      <rPr>
        <sz val="11"/>
        <color theme="7"/>
        <rFont val="Century Gothic"/>
        <family val="2"/>
      </rPr>
      <t xml:space="preserve">Amarilla </t>
    </r>
    <r>
      <rPr>
        <sz val="11"/>
        <color theme="1"/>
        <rFont val="Century Gothic"/>
        <family val="2"/>
      </rPr>
      <t xml:space="preserve">+ Desviación Cronograma </t>
    </r>
    <r>
      <rPr>
        <sz val="11"/>
        <color rgb="FFC00000"/>
        <rFont val="Century Gothic"/>
        <family val="2"/>
      </rPr>
      <t>Rojo</t>
    </r>
    <r>
      <rPr>
        <sz val="11"/>
        <color theme="1"/>
        <rFont val="Century Gothic"/>
        <family val="2"/>
      </rPr>
      <t xml:space="preserve">
- Plazo Alerta </t>
    </r>
    <r>
      <rPr>
        <sz val="11"/>
        <color rgb="FFC00000"/>
        <rFont val="Century Gothic"/>
        <family val="2"/>
      </rPr>
      <t>Roja</t>
    </r>
    <r>
      <rPr>
        <sz val="11"/>
        <color theme="1"/>
        <rFont val="Century Gothic"/>
        <family val="2"/>
      </rPr>
      <t xml:space="preserve"> + Desviación Cronograma </t>
    </r>
    <r>
      <rPr>
        <sz val="11"/>
        <color theme="7"/>
        <rFont val="Century Gothic"/>
        <family val="2"/>
      </rPr>
      <t>Amarilla</t>
    </r>
    <r>
      <rPr>
        <sz val="11"/>
        <color theme="1"/>
        <rFont val="Century Gothic"/>
        <family val="2"/>
      </rPr>
      <t xml:space="preserve">
- Plazo Alerta </t>
    </r>
    <r>
      <rPr>
        <sz val="11"/>
        <color rgb="FFC00000"/>
        <rFont val="Century Gothic"/>
        <family val="2"/>
      </rPr>
      <t>Roja</t>
    </r>
    <r>
      <rPr>
        <sz val="11"/>
        <color theme="1"/>
        <rFont val="Century Gothic"/>
        <family val="2"/>
      </rPr>
      <t xml:space="preserve"> + Desviación Cronograma </t>
    </r>
    <r>
      <rPr>
        <sz val="11"/>
        <color rgb="FFC00000"/>
        <rFont val="Century Gothic"/>
        <family val="2"/>
      </rPr>
      <t>Roja</t>
    </r>
    <r>
      <rPr>
        <sz val="11"/>
        <color theme="1"/>
        <rFont val="Century Gothic"/>
        <family val="2"/>
      </rPr>
      <t xml:space="preserve">
- Subestado </t>
    </r>
    <r>
      <rPr>
        <b/>
        <sz val="11"/>
        <color theme="1"/>
        <rFont val="Century Gothic"/>
        <family val="2"/>
      </rPr>
      <t>Suspendido</t>
    </r>
    <r>
      <rPr>
        <sz val="11"/>
        <color theme="1"/>
        <rFont val="Century Gothic"/>
        <family val="2"/>
      </rPr>
      <t xml:space="preserve"> + Desviación Cronograma </t>
    </r>
    <r>
      <rPr>
        <sz val="11"/>
        <color theme="7"/>
        <rFont val="Century Gothic"/>
        <family val="2"/>
      </rPr>
      <t>Amarilla</t>
    </r>
    <r>
      <rPr>
        <sz val="11"/>
        <color theme="1"/>
        <rFont val="Century Gothic"/>
        <family val="2"/>
      </rPr>
      <t xml:space="preserve">
- Subestado </t>
    </r>
    <r>
      <rPr>
        <b/>
        <sz val="11"/>
        <color theme="1"/>
        <rFont val="Century Gothic"/>
        <family val="2"/>
      </rPr>
      <t>Suspendido</t>
    </r>
    <r>
      <rPr>
        <sz val="11"/>
        <color theme="1"/>
        <rFont val="Century Gothic"/>
        <family val="2"/>
      </rPr>
      <t xml:space="preserve"> + Desviación Cronograma </t>
    </r>
    <r>
      <rPr>
        <sz val="11"/>
        <color rgb="FFC00000"/>
        <rFont val="Century Gothic"/>
        <family val="2"/>
      </rPr>
      <t>Roja</t>
    </r>
  </si>
  <si>
    <r>
      <t xml:space="preserve">Fecha de Entrega
</t>
    </r>
    <r>
      <rPr>
        <sz val="11"/>
        <color rgb="FFFFFF00"/>
        <rFont val="Century Gothic"/>
        <family val="2"/>
      </rPr>
      <t>[Realizada o proyectada]</t>
    </r>
  </si>
  <si>
    <t>Corresponde a fecha de entrega del proyecto por parte del Alcalde o en caso de no tener evento de entrega corresponde a fecha de suscripción de acta de entrega</t>
  </si>
  <si>
    <r>
      <t xml:space="preserve">No. Contrato Ejecución
</t>
    </r>
    <r>
      <rPr>
        <sz val="11"/>
        <color rgb="FFFFFF00"/>
        <rFont val="Century Gothic"/>
        <family val="2"/>
      </rPr>
      <t>[Diseños | Obra | Suministros]</t>
    </r>
  </si>
  <si>
    <t>Número del contrato de ejecución (Estudios y Diseños u Obra)</t>
  </si>
  <si>
    <r>
      <t xml:space="preserve">Nombre Contratista Ejecución
</t>
    </r>
    <r>
      <rPr>
        <sz val="11"/>
        <color rgb="FFFFFF00"/>
        <rFont val="Century Gothic"/>
        <family val="2"/>
      </rPr>
      <t>[Razón Social | UT | Consorcio]</t>
    </r>
  </si>
  <si>
    <t>Nombre Legal del Contratista de contrato de ejecución (Estudios y Diseños u Obra)</t>
  </si>
  <si>
    <r>
      <t xml:space="preserve">Miembros Consorcios o UT 
</t>
    </r>
    <r>
      <rPr>
        <b/>
        <sz val="11"/>
        <color rgb="FFFFFF00"/>
        <rFont val="Century Gothic"/>
        <family val="2"/>
      </rPr>
      <t>[Si aplica]</t>
    </r>
  </si>
  <si>
    <t>En caso de Unión Temporal o Consorcio incluir el nombre de los miembros o consorciados</t>
  </si>
  <si>
    <t>Nombre del Representante Legal del Contratista de contrato de ejecución (Estudios y Diseños u Obra)</t>
  </si>
  <si>
    <r>
      <t xml:space="preserve">No. Contrato Interventoría
</t>
    </r>
    <r>
      <rPr>
        <sz val="11"/>
        <color rgb="FFFFFF00"/>
        <rFont val="Century Gothic"/>
        <family val="2"/>
      </rPr>
      <t>[Diseños | Obra | Suministros]</t>
    </r>
  </si>
  <si>
    <t>Número de contrato de interventoría</t>
  </si>
  <si>
    <r>
      <t xml:space="preserve">Nombre Contratista Interventoría
</t>
    </r>
    <r>
      <rPr>
        <sz val="11"/>
        <color rgb="FFFFFF00"/>
        <rFont val="Century Gothic"/>
        <family val="2"/>
      </rPr>
      <t>[Razón Social | UT | Consorcio]</t>
    </r>
  </si>
  <si>
    <t>Nombre Legal del Contratista de contrato de interventoría</t>
  </si>
  <si>
    <t>Nombre del Representante Legal del Contratista de contrato de interventoría</t>
  </si>
  <si>
    <t>Valor con el cual se firmó el contrato de ejecución (Estudios y Diseños u Obra), en caso de que el contrato contenga varios proyectos, el valor corresponderá al proyecto en mención</t>
  </si>
  <si>
    <t>Valor total de adiciones realizadas al contrato  de ejecución (Estudios y Diseños u Obra), en caso de que el contrato contenga varios proyectos, el valor corresponderá al proyecto en mención</t>
  </si>
  <si>
    <t>Suma de Valor inicial + valor total adiciones, en caso de que el contrato contenga varios proyectos, el valor corresponderá al proyecto en mención</t>
  </si>
  <si>
    <t>Sumatoria de actas parciales de cobro tramitadas a la fecha de corte por el contratista de ejecución (estudios y diseños u obra), en caso de que el contrato contenga varios proyectos, el valor corresponderá al proyecto en mención</t>
  </si>
  <si>
    <t>Sumatoria de actas pagadas a la fecha de corte al contratista de ejecución (estudios y diseños u obra), en caso de que el contrato contenga varios proyectos, el valor corresponderá al proyecto en mención</t>
  </si>
  <si>
    <t>Valor con el cual se firmó el contrato de interventoría, en caso de que el contrato contenga varios proyectos, el valor corresponderá al proyecto en mención</t>
  </si>
  <si>
    <t>Valor total de adiciones realizadas al contrato de interventoría, en caso de que el contrato contenga varios proyectos, el valor corresponderá al proyecto en mención</t>
  </si>
  <si>
    <t>Sumatoria de actas parciales de cobro tramitadas a la fecha de corte por el contratista de interventoría, en caso de que el contrato contenga varios proyectos, el valor corresponderá al proyecto en mención</t>
  </si>
  <si>
    <t>Sumatoria de actas pagadas a la fecha de corte al contratista de interventoría, en caso de que el contrato contenga varios proyectos, el valor corresponderá al proyecto en mención</t>
  </si>
  <si>
    <t>Corresponde a la población directamente beneficiada por el proyecto. El tipo de población variará dependiendo del tipo de proyecto</t>
  </si>
  <si>
    <t>Indicador propio del tipo de proyecto. A definir por cada entidad</t>
  </si>
  <si>
    <t>Corresponde a las actividades relevantes ejecutadas en el proyecto en la semana correspondiente al reporte</t>
  </si>
  <si>
    <t>Corresponde al registro de necesidades específicas de gestiones o acciones tipo prórrogas, adiciones, gestión de medidas conminatorias, entre otros</t>
  </si>
  <si>
    <t>Fuente de Recursos</t>
  </si>
  <si>
    <t>Localidades</t>
  </si>
  <si>
    <t>Estados</t>
  </si>
  <si>
    <t>Sectores</t>
  </si>
  <si>
    <t>En_Estructuración</t>
  </si>
  <si>
    <t>Centros Comunitarios</t>
  </si>
  <si>
    <t>Centros de Desarrollo Infantil</t>
  </si>
  <si>
    <t xml:space="preserve">Caminos </t>
  </si>
  <si>
    <t>Proyecto_Fase_II_Factibilidad</t>
  </si>
  <si>
    <t>En_Convocatoria</t>
  </si>
  <si>
    <t>JCCB 2018</t>
  </si>
  <si>
    <t>Estaciones</t>
  </si>
  <si>
    <t>Otros</t>
  </si>
  <si>
    <t>SENA</t>
  </si>
  <si>
    <t>Estaciones de Bomberos</t>
  </si>
  <si>
    <t>Reparcheo de vias</t>
  </si>
  <si>
    <t>Mixtos [Propios + Cofinanciación]</t>
  </si>
  <si>
    <t>Rio Bus</t>
  </si>
  <si>
    <t>Líneas Estratégicas PD_2024-2027</t>
  </si>
  <si>
    <t xml:space="preserve">Salud </t>
  </si>
  <si>
    <t xml:space="preserve">Trasporte </t>
  </si>
  <si>
    <t xml:space="preserve">Recreación y Deporte </t>
  </si>
  <si>
    <t xml:space="preserve">Educación </t>
  </si>
  <si>
    <t xml:space="preserve">Vivienda </t>
  </si>
  <si>
    <t xml:space="preserve">Desarrollo urbano </t>
  </si>
  <si>
    <t xml:space="preserve">Acueducto regional del Norte </t>
  </si>
  <si>
    <t xml:space="preserve">Cuenta de Sectores </t>
  </si>
  <si>
    <t>Cuenta de Semáforo Cronograma</t>
  </si>
  <si>
    <t>Amarillo</t>
  </si>
  <si>
    <t>Verde</t>
  </si>
  <si>
    <t>Cuenta de Semáforo Fecha Terminación</t>
  </si>
  <si>
    <t>(en blanco)</t>
  </si>
  <si>
    <t>Cuenta de Semáforo Críticos</t>
  </si>
  <si>
    <t>Energia_Sostenible</t>
  </si>
  <si>
    <t>Autogeneracion</t>
  </si>
  <si>
    <t>Eficiencia</t>
  </si>
  <si>
    <t>Parque Solar</t>
  </si>
  <si>
    <t>Datos formulado</t>
  </si>
  <si>
    <t>PROYECTOS EN GESTIÓN</t>
  </si>
  <si>
    <t>Proyectos</t>
  </si>
  <si>
    <t>Total sin prospectiva</t>
  </si>
  <si>
    <r>
      <t>En</t>
    </r>
    <r>
      <rPr>
        <sz val="20"/>
        <color theme="0"/>
        <rFont val="Volkswagen Serial Medium"/>
        <family val="3"/>
      </rPr>
      <t>_</t>
    </r>
    <r>
      <rPr>
        <sz val="20"/>
        <color theme="0" tint="-0.499984740745262"/>
        <rFont val="Volkswagen Serial Medium"/>
        <family val="3"/>
      </rPr>
      <t>Convocatoria</t>
    </r>
  </si>
  <si>
    <r>
      <t>En</t>
    </r>
    <r>
      <rPr>
        <sz val="20"/>
        <color theme="0"/>
        <rFont val="Volkswagen Serial Medium"/>
        <family val="3"/>
      </rPr>
      <t>_</t>
    </r>
    <r>
      <rPr>
        <sz val="20"/>
        <color theme="0" tint="-0.499984740745262"/>
        <rFont val="Volkswagen Serial Medium"/>
        <family val="3"/>
      </rPr>
      <t>Ejecución</t>
    </r>
  </si>
  <si>
    <r>
      <rPr>
        <b/>
        <sz val="18"/>
        <color rgb="FF122133"/>
        <rFont val="Volkswagen Serial"/>
        <family val="3"/>
      </rPr>
      <t>Agua Potable y Saneamiento Básico</t>
    </r>
    <r>
      <rPr>
        <b/>
        <sz val="16"/>
        <color rgb="FF122133"/>
        <rFont val="Volkswagen Serial"/>
        <family val="3"/>
      </rPr>
      <t xml:space="preserve">
</t>
    </r>
    <r>
      <rPr>
        <sz val="12"/>
        <color theme="0" tint="-0.499984740745262"/>
        <rFont val="Volkswagen Serial"/>
        <family val="3"/>
      </rPr>
      <t>[Agua potable y saneamiento básico]</t>
    </r>
  </si>
  <si>
    <r>
      <rPr>
        <b/>
        <sz val="18"/>
        <color rgb="FF122133"/>
        <rFont val="Volkswagen Serial"/>
        <family val="3"/>
      </rPr>
      <t>Arroyos</t>
    </r>
    <r>
      <rPr>
        <b/>
        <sz val="16"/>
        <color rgb="FF122133"/>
        <rFont val="Volkswagen Serial"/>
        <family val="3"/>
      </rPr>
      <t xml:space="preserve">
</t>
    </r>
    <r>
      <rPr>
        <b/>
        <sz val="12"/>
        <color theme="0" tint="-0.499984740745262"/>
        <rFont val="Volkswagen Serial"/>
        <family val="3"/>
      </rPr>
      <t>[Canalización]</t>
    </r>
  </si>
  <si>
    <r>
      <rPr>
        <b/>
        <sz val="18"/>
        <color rgb="FF122133"/>
        <rFont val="Volkswagen Serial"/>
        <family val="3"/>
      </rPr>
      <t>Cultura</t>
    </r>
    <r>
      <rPr>
        <b/>
        <sz val="16"/>
        <color rgb="FF122133"/>
        <rFont val="Volkswagen Serial"/>
        <family val="3"/>
      </rPr>
      <t xml:space="preserve">
</t>
    </r>
    <r>
      <rPr>
        <sz val="12"/>
        <color theme="0" tint="-0.499984740745262"/>
        <rFont val="Volkswagen Serial"/>
        <family val="3"/>
      </rPr>
      <t>[Conchas Acústicas ]</t>
    </r>
  </si>
  <si>
    <r>
      <rPr>
        <b/>
        <sz val="18"/>
        <color rgb="FF122133"/>
        <rFont val="Volkswagen Serial"/>
        <family val="3"/>
      </rPr>
      <t>Desarrollo Urbano</t>
    </r>
    <r>
      <rPr>
        <b/>
        <sz val="16"/>
        <color rgb="FF122133"/>
        <rFont val="Volkswagen Serial"/>
        <family val="3"/>
      </rPr>
      <t xml:space="preserve">
</t>
    </r>
    <r>
      <rPr>
        <sz val="12"/>
        <color theme="0" tint="-0.499984740745262"/>
        <rFont val="Volkswagen Serial"/>
        <family val="3"/>
      </rPr>
      <t>[Transformación de Entornos Urbanos | Mercados Públicos | Huertas Comunitarias | Malecón de Suroriente]</t>
    </r>
  </si>
  <si>
    <r>
      <rPr>
        <b/>
        <sz val="18"/>
        <color rgb="FF122133"/>
        <rFont val="Volkswagen Serial"/>
        <family val="3"/>
      </rPr>
      <t>EcoTurismo</t>
    </r>
    <r>
      <rPr>
        <b/>
        <sz val="16"/>
        <color rgb="FF122133"/>
        <rFont val="Volkswagen Serial"/>
        <family val="3"/>
      </rPr>
      <t xml:space="preserve">
</t>
    </r>
    <r>
      <rPr>
        <sz val="12"/>
        <color theme="0" tint="-0.499984740745262"/>
        <rFont val="Volkswagen Serial"/>
        <family val="3"/>
      </rPr>
      <t>[EcoParque Ciénaga de Mallorquín | Tren Turístico | Recuperación Playas de Puerto Mocho ]</t>
    </r>
  </si>
  <si>
    <r>
      <rPr>
        <b/>
        <sz val="18"/>
        <color rgb="FF122133"/>
        <rFont val="Volkswagen Serial"/>
        <family val="3"/>
      </rPr>
      <t>Educación</t>
    </r>
    <r>
      <rPr>
        <b/>
        <sz val="16"/>
        <color rgb="FF122133"/>
        <rFont val="Volkswagen Serial"/>
        <family val="3"/>
      </rPr>
      <t xml:space="preserve">
</t>
    </r>
    <r>
      <rPr>
        <sz val="12"/>
        <color theme="0" tint="-0.499984740745262"/>
        <rFont val="Volkswagen Serial"/>
        <family val="3"/>
      </rPr>
      <t>[Colegios]</t>
    </r>
  </si>
  <si>
    <r>
      <rPr>
        <b/>
        <sz val="18"/>
        <color rgb="FF122133"/>
        <rFont val="Volkswagen Serial"/>
        <family val="3"/>
      </rPr>
      <t>Recreación y Deporte</t>
    </r>
    <r>
      <rPr>
        <b/>
        <sz val="16"/>
        <color rgb="FF122133"/>
        <rFont val="Volkswagen Serial"/>
        <family val="3"/>
      </rPr>
      <t xml:space="preserve">
</t>
    </r>
    <r>
      <rPr>
        <sz val="12"/>
        <color theme="0" tint="-0.499984740745262"/>
        <rFont val="Volkswagen Serial"/>
        <family val="3"/>
      </rPr>
      <t>[Parques ]</t>
    </r>
  </si>
  <si>
    <r>
      <rPr>
        <b/>
        <sz val="18"/>
        <color rgb="FF122133"/>
        <rFont val="Volkswagen Serial"/>
        <family val="3"/>
      </rPr>
      <t>Salud</t>
    </r>
    <r>
      <rPr>
        <b/>
        <sz val="16"/>
        <color rgb="FF122133"/>
        <rFont val="Volkswagen Serial"/>
        <family val="3"/>
      </rPr>
      <t xml:space="preserve">
</t>
    </r>
    <r>
      <rPr>
        <sz val="12"/>
        <color theme="0" tint="-0.499984740745262"/>
        <rFont val="Volkswagen Serial"/>
        <family val="3"/>
      </rPr>
      <t>[Hospital | Pasos]</t>
    </r>
  </si>
  <si>
    <r>
      <rPr>
        <b/>
        <sz val="18"/>
        <color rgb="FF122133"/>
        <rFont val="Volkswagen Serial"/>
        <family val="3"/>
      </rPr>
      <t>Seguridad</t>
    </r>
    <r>
      <rPr>
        <b/>
        <sz val="16"/>
        <color rgb="FF122133"/>
        <rFont val="Volkswagen Serial"/>
        <family val="3"/>
      </rPr>
      <t xml:space="preserve">
</t>
    </r>
    <r>
      <rPr>
        <sz val="12"/>
        <color theme="0" tint="-0.499984740745262"/>
        <rFont val="Volkswagen Serial"/>
        <family val="3"/>
      </rPr>
      <t>[CAI]</t>
    </r>
  </si>
  <si>
    <r>
      <rPr>
        <b/>
        <sz val="18"/>
        <color rgb="FF122133"/>
        <rFont val="Volkswagen Serial"/>
        <family val="3"/>
      </rPr>
      <t>Transporte</t>
    </r>
    <r>
      <rPr>
        <b/>
        <sz val="16"/>
        <color rgb="FF122133"/>
        <rFont val="Volkswagen Serial"/>
        <family val="3"/>
      </rPr>
      <t xml:space="preserve">
</t>
    </r>
    <r>
      <rPr>
        <sz val="12"/>
        <color theme="0" tint="-0.499984740745262"/>
        <rFont val="Volkswagen Serial"/>
        <family val="3"/>
      </rPr>
      <t>[Barrios a la Obra | Malla Vial]</t>
    </r>
  </si>
  <si>
    <r>
      <rPr>
        <b/>
        <sz val="18"/>
        <color rgb="FF122133"/>
        <rFont val="Volkswagen Serial"/>
        <family val="3"/>
      </rPr>
      <t>Vivienda</t>
    </r>
    <r>
      <rPr>
        <b/>
        <sz val="16"/>
        <color rgb="FF122133"/>
        <rFont val="Volkswagen Serial"/>
        <family val="3"/>
      </rPr>
      <t xml:space="preserve">
</t>
    </r>
    <r>
      <rPr>
        <sz val="12"/>
        <color theme="0" tint="-0.499984740745262"/>
        <rFont val="Volkswagen Serial"/>
        <family val="3"/>
      </rPr>
      <t>[Mejoramiento de viviendas]</t>
    </r>
  </si>
  <si>
    <t>Estado Proyecto
[Formulación (aplica para proyectos de EyD) | Precontractual | Contratual | Postcontractual]</t>
  </si>
  <si>
    <t>Subestado Proyecto
[En ejecución | Suspendido | Entregado | En estructuración | En Convocatoria | etc.]</t>
  </si>
  <si>
    <t>Fecha de Terminación Final
[dd/mm/aaaa]</t>
  </si>
  <si>
    <t>Cronograma</t>
  </si>
  <si>
    <r>
      <t xml:space="preserve">Plazo Contractual
</t>
    </r>
    <r>
      <rPr>
        <i/>
        <sz val="14"/>
        <color theme="0" tint="-0.499984740745262"/>
        <rFont val="Volkswagen Serial"/>
        <family val="3"/>
      </rPr>
      <t>*Solo aplica a En Ejecución</t>
    </r>
  </si>
  <si>
    <t>Semáforo Fechas</t>
  </si>
  <si>
    <t>En Seguimiento Especial</t>
  </si>
  <si>
    <t>Playa de Puerto Mocho</t>
  </si>
  <si>
    <t>Suspendidos</t>
  </si>
  <si>
    <t>Fecha de Suspensión</t>
  </si>
  <si>
    <t>Emblemáticos Gerencia de Ciudad</t>
  </si>
  <si>
    <t>Entidad
Secretaría</t>
  </si>
  <si>
    <t>Entrega depende de compra vivienda</t>
  </si>
  <si>
    <t>Otros Proyectos Gerencia de Ciudad</t>
  </si>
  <si>
    <t>BAO_VIII_0002_M1_Tramo1</t>
  </si>
  <si>
    <t>BAO_VIII_0002_M1_Tramo2</t>
  </si>
  <si>
    <t>BAO_VIII_0002_M1_Tramo3</t>
  </si>
  <si>
    <t>BAO_VIII_0002_M1_Tramo4</t>
  </si>
  <si>
    <t>BAO_VIII_0002_M1_Tramo5</t>
  </si>
  <si>
    <t>BAO_VIII_0002_M1_Tramo6</t>
  </si>
  <si>
    <t>BAO_VIII_0002_M1_Tramo7</t>
  </si>
  <si>
    <t>BAO_VIII_0002_M1_Tramo8</t>
  </si>
  <si>
    <t>BAO_VIII_0002_M1_Tramo9</t>
  </si>
  <si>
    <t>BAO_VIII_0002_M2_Tramo1</t>
  </si>
  <si>
    <t>BAO_VIII_0002_M2_Tramo2</t>
  </si>
  <si>
    <t>BAO_VIII_0002_M2_Tramo3</t>
  </si>
  <si>
    <t>BAO_VIII_0002_M2_Tramo4</t>
  </si>
  <si>
    <t>BAO_VIII_0002_M2_Tramo5</t>
  </si>
  <si>
    <t>BAO_VIII_0002_M2_Tramo6</t>
  </si>
  <si>
    <t>BAO_VIII_0002_M2_Tramo7</t>
  </si>
  <si>
    <t>BAO_VIII_0002_M2_Tramo8</t>
  </si>
  <si>
    <t>BAO_VIII_0002_M2_Tramo9</t>
  </si>
  <si>
    <t>BAO_VIII_0002_M2_Tramo10</t>
  </si>
  <si>
    <t>BAO_VIII_0002_M2_Tramo11</t>
  </si>
  <si>
    <t>BAO_VIII_0002_M2_Tramo12</t>
  </si>
  <si>
    <t>BAO_VIII_0002_M2_Tramo13</t>
  </si>
  <si>
    <t>BAO_VIII_0002_M2_Tramo14</t>
  </si>
  <si>
    <t>BAO_VIII_0002_M2_Tramo15</t>
  </si>
  <si>
    <t>BAO_VIII_0002_M2_Tramo16</t>
  </si>
  <si>
    <t>BAO_VIII_0002_M2_Tramo17</t>
  </si>
  <si>
    <t>BAO_VIII_0002_M2_Tramo18</t>
  </si>
  <si>
    <t>BAO_VIII_0002_M2_Tramo19</t>
  </si>
  <si>
    <t>BAO_VIII_0002_M3_Tramo1</t>
  </si>
  <si>
    <t>BAO_VIII_0002_M3_Tramo2</t>
  </si>
  <si>
    <t>BAO_VIII_0002_M3_Tramo3</t>
  </si>
  <si>
    <t>BAO_VIII_0002_M3_Tramo4</t>
  </si>
  <si>
    <t>BAO_VIII_0002_M3_Tramo5</t>
  </si>
  <si>
    <t>BAO_VIII_0002_M3_Tramo6</t>
  </si>
  <si>
    <t>BAO_VIII_0002_M3_Tramo7</t>
  </si>
  <si>
    <t>BAO_VIII_0002_M3_Tramo8</t>
  </si>
  <si>
    <t>BAO_VIII_0002_M3_Tramo9</t>
  </si>
  <si>
    <t>BAO_VIII_0002_M3_Tramo10</t>
  </si>
  <si>
    <t>BAO_VIII_0002_M3_Tramo11</t>
  </si>
  <si>
    <t>BAO_VIII_0002_M3_Tramo12</t>
  </si>
  <si>
    <t>BAO_VIII_0002_M3_Tramo13</t>
  </si>
  <si>
    <t>BAO_VIII_0002_M4_Tramo1</t>
  </si>
  <si>
    <t>BAO_VIII_0002_M4_Tramo2</t>
  </si>
  <si>
    <t>BAO_VIII_0002_M4_Tramo3</t>
  </si>
  <si>
    <t>BAO_VIII_0002_M4_Tramo4</t>
  </si>
  <si>
    <t>BAO_VIII_0002_M4_Tramo5</t>
  </si>
  <si>
    <t>BAO_VIII_0002_M4_Tramo6</t>
  </si>
  <si>
    <t>BAO_VIII_0002_M4_Tramo7</t>
  </si>
  <si>
    <t>BAO_VIII_0002_M5_Tramo1</t>
  </si>
  <si>
    <t>BAO_VIII_0002_M5_Tramo2</t>
  </si>
  <si>
    <t>BAO_VIII_0002_M5_Tramo3</t>
  </si>
  <si>
    <t>BAO_VIII_0002_M5_Tramo4</t>
  </si>
  <si>
    <t>BAO_VIII_0002_M5_Tramo5</t>
  </si>
  <si>
    <t>BAO_VIII_0002_M5_Tramo6</t>
  </si>
  <si>
    <t>BAO_VIII_0002_M5_Tramo7</t>
  </si>
  <si>
    <t>BAO_VIII_0002_M5_Tramo8</t>
  </si>
  <si>
    <t>BAO_VIII_0002_M5_Tramo9</t>
  </si>
  <si>
    <t>BAO_VIII_0002_M5_Tramo10</t>
  </si>
  <si>
    <t>BAO_VIII_0002_M5_Tramo11</t>
  </si>
  <si>
    <t>BAO_VIII_0002_M5_Tramo12</t>
  </si>
  <si>
    <t>BAO_VIII_0002_M5_Tramo13</t>
  </si>
  <si>
    <t>BAO_VIII_0002_M5_Tramo14</t>
  </si>
  <si>
    <t>BAO_VIII_0002_M5_Tramo15</t>
  </si>
  <si>
    <t>Parques-VII - Grupo 3 Parque El Parquecito</t>
  </si>
  <si>
    <t>Parques-VII - Grupo 4 Parque Los Muñecos</t>
  </si>
  <si>
    <t>Parques-VII - Grupo 4 Parque Urbanización la Playa</t>
  </si>
  <si>
    <t>Parques-VII - Grupo 4 Parque La Gloria</t>
  </si>
  <si>
    <t>Parques-VII - Grupo 5 Parque Residual las Americas</t>
  </si>
  <si>
    <t>Parques-VII - Grupo 7 Parque La 16</t>
  </si>
  <si>
    <t>BAO_VIII_0002_M5_Tramo16</t>
  </si>
  <si>
    <t>BAO_VIII_0002_M6_Tramo1 Calle 98</t>
  </si>
  <si>
    <t xml:space="preserve">BAO_VIII_0002_M8_Tramo1 Carrera 49C </t>
  </si>
  <si>
    <t>BAO_VIII_0002_M9_Tramo1 Carrera 50</t>
  </si>
  <si>
    <t>InfraEducativa-4513 - IED Sofia Camargo de Lleras sede 1- FASE 3[Construcción]</t>
  </si>
  <si>
    <t>A la fecha se han intervenido 862 viviendas de las cuales 775se encuentran terminadas y  en 87viviendas se avanza en demolición, fundida de plantilla, pañete, estuco, construcción de mesón, instalación de cerámica, instalaciones eléctricas e hidrosanitarias</t>
  </si>
  <si>
    <t>Se han interevnido 482 viviendas, de las cuales se han terminado 331 y en 151 viviendas se avanza en demolición, fundida de plantilla, pañete, estuco, instalaciones sanitarias y eléctricas, construcción de mesón, instalación de cerámica</t>
  </si>
  <si>
    <t>Se han intervenido 687 viviendas, 538 de las cuales ya se encuentran terminadas y en 149 viviendas se encuentran en ejecución avanzando en demolición, fundida de plantilla, pañete estuco, instalaciones sanitarias y eléctricas, construcción de mesón, instalación de cerámica</t>
  </si>
  <si>
    <t>Se han intervenido 866 viviendas, 742 de las cuales ya se encuentran terminadas y en 124 viviendas se encuentran en ejecución avanzando en demolición, fundida de plantilla, pañete estuco, instalaciones sanitarias y eléctricas, construcción de mesón, instalación de cerámica</t>
  </si>
  <si>
    <t>Se ejecutan actividades en 446 viviendas de las cuales 385 se encuentran terminadas y en 61 se continúa avanzando en demolición, fundida de plantilla, pañete, estuco, instalaciones sanitarias y eléctricas, construcción de mesón, instalación de cerámica</t>
  </si>
  <si>
    <t>Se han intervenido 536 viviendas de las cuales 481 se encuentran terminadas y  en 55 viviendas, avanzando en demolición de elementos existentes como plantilla y mesones en mal estado. Asimismo se trabaja en fundida de plantilla, pañete, estuco, instalaciones sanitarias y eléctricas, construcción de mesón, instalación de cerámica</t>
  </si>
  <si>
    <t>A la fecha se han intervenido 577 viviendas, 486 de las cuales se encuentran termiandas y en 91 se continúan avanzando en demolición, fundida de plantilla, pañete, estuco, construcción de mesón, instalación de cerámica, instalaciones elécrticas e hidrosanitarias.</t>
  </si>
  <si>
    <t>nueva prorroga hasta 20 de octubre del 2025</t>
  </si>
  <si>
    <t>IS-002-005</t>
  </si>
  <si>
    <t>SOLARMAX SAS</t>
  </si>
  <si>
    <t>STEPHANY MARTELO</t>
  </si>
  <si>
    <t>IS-003.2025</t>
  </si>
  <si>
    <t>ILG CONSULTING SAS</t>
  </si>
  <si>
    <t>MAURICIO GARCIA</t>
  </si>
  <si>
    <t>7% sobre la facturacion para interventoria</t>
  </si>
  <si>
    <t>Puerto de Aguas Profundas - Canal de Acceso</t>
  </si>
  <si>
    <t>Definición fecha de solicitud de concesión</t>
  </si>
  <si>
    <t>Seguridad_2025_Estación Riomar</t>
  </si>
  <si>
    <t>Seguridad_2025_Estación Caribe Verde</t>
  </si>
  <si>
    <t>Seguridad_2025_Estación Rebolo</t>
  </si>
  <si>
    <t>Seguridad_2025_CAI La Victoria</t>
  </si>
  <si>
    <t>Seguridad_2025_Estación El Bosque</t>
  </si>
  <si>
    <t>Seguridad_2025_CAI La Alboraya</t>
  </si>
  <si>
    <t>Seguridad_2025_CAI El Limon</t>
  </si>
  <si>
    <t>Mantenimeinto y adecuacion</t>
  </si>
  <si>
    <t>Seguridad_2025_Escuela calle 17</t>
  </si>
  <si>
    <t>Seguridad_2025_Red de apoyo (CAD)</t>
  </si>
  <si>
    <t>Seguridad_2025_Centro Local de Analisis Criminar (CELAC)</t>
  </si>
  <si>
    <t>Seguridad_2025_Interpol</t>
  </si>
  <si>
    <t>Seguridad_2025_Celdas en la Estacion Norte</t>
  </si>
  <si>
    <t xml:space="preserve"> 10°56'52.67"N.  74°48'57.29"O</t>
  </si>
  <si>
    <t>Cordialidad #calle 60B -110</t>
  </si>
  <si>
    <t>Caribe Verde</t>
  </si>
  <si>
    <t xml:space="preserve"> 10°57'25.09"N.  74°50'38.85"O</t>
  </si>
  <si>
    <t>Avenida Caribe Verde 120 #11 d 02</t>
  </si>
  <si>
    <t>Altos de Riomar</t>
  </si>
  <si>
    <t xml:space="preserve"> 11° 0'51.60"N.  74°49'19.37"O</t>
  </si>
  <si>
    <t>Calle 94 Cra 56 esquina</t>
  </si>
  <si>
    <t>Cra 26 # 24-71</t>
  </si>
  <si>
    <t xml:space="preserve"> 10°57'50.99"N.  74°46'46.68"O</t>
  </si>
  <si>
    <t>Montes/Rebolo</t>
  </si>
  <si>
    <t xml:space="preserve"> 10°57'9.02"N.  74°47'53.04"O</t>
  </si>
  <si>
    <t>Av. Murillo cra 10e</t>
  </si>
  <si>
    <t>La Victoria</t>
  </si>
  <si>
    <t xml:space="preserve"> 10°56'47.93"N.  74°47'48.20"O</t>
  </si>
  <si>
    <t>La Alboraya</t>
  </si>
  <si>
    <t>Calle 41b # 8-52</t>
  </si>
  <si>
    <t>Calle 33c # 05-5D</t>
  </si>
  <si>
    <t>El Limon</t>
  </si>
  <si>
    <t xml:space="preserve"> 10°56'29.09"N.  74°47'12.11"O</t>
  </si>
  <si>
    <t xml:space="preserve"> 10°56'47.47"N.  74°46'23.60"O</t>
  </si>
  <si>
    <t>Calle 17 # 7d</t>
  </si>
  <si>
    <t>IUB_Baq - S. Centro Histórico, Renovación Fase Mantenimiento [Aulas, Reforzamiento estructural y Cubierta]</t>
  </si>
  <si>
    <t>BAO_VII_2429_M1</t>
  </si>
  <si>
    <t>BAO_VII_2429_M2</t>
  </si>
  <si>
    <t>BAO_VII_2429_M3</t>
  </si>
  <si>
    <t>BAO_VII_2429_M4</t>
  </si>
  <si>
    <t>BAO_VII_2429_M5</t>
  </si>
  <si>
    <t>BAO_VII_2429_M6</t>
  </si>
  <si>
    <t>BAO_VII_2429_M7</t>
  </si>
  <si>
    <t>BAO_VII_2429_M8</t>
  </si>
  <si>
    <t>BAO_VII_2429_M9</t>
  </si>
  <si>
    <t>BAO_VII_2429_M10</t>
  </si>
  <si>
    <t>BAO_VII_2429_M11</t>
  </si>
  <si>
    <t>BAO_VII_2429_M12</t>
  </si>
  <si>
    <t>BAO_VIII_0002_M1</t>
  </si>
  <si>
    <t>BAO_IX_VN_M1</t>
  </si>
  <si>
    <t>BAO_IX_VN_M2</t>
  </si>
  <si>
    <t>BAO_IX_VN_M3</t>
  </si>
  <si>
    <t>BAO_IX_VN_M4</t>
  </si>
  <si>
    <t>BAO_IX_VN_M5</t>
  </si>
  <si>
    <t>ETAPA 1 -EJECUCCION AL 100%, ETAPA 2 -100%, ETAPA 3 - 15,72%, AMPLIACION 1 Y 2- 68%
AMPLIACION (1 Y 2) - 55%</t>
  </si>
  <si>
    <t>OSCAR MERCADO HOYOS</t>
  </si>
  <si>
    <t>Instalacion de cercha en anillo 1er tramo, construccion de registros</t>
  </si>
  <si>
    <t>Instalacion de Noria</t>
  </si>
  <si>
    <t>Capacitación a la comunidad en economía circular y transformación de residuos, proyecto piloto basura marina. Realización de jornada de recolección de basura en Puerto Mocho con la comunidad. Entrega de alternativa de aprovechamiento de mejillón Mytilus sp. Solicitud de No objeción proceso de auditoría financiera.</t>
  </si>
  <si>
    <t>Revisión de avances de estrategia de captura de residuos en la CM, proyecto de basura marina. Revisión de avances de plan de implementación de proyecto productivo y plan de socialización de avances con actores varios, proyecto mejillones. Articulación de los proyectos con oficina de emprendemiento de la Alcaldía. Evaluación de hv para proceso de evaluación final del componente 1. Revisión de avance cronograma de eventos y beneficiarios del proyecto con equipo de comunicaciones.</t>
  </si>
  <si>
    <t>Armado de acero, Instalación de columnas, Fundida de zapatas y pedestales, Demolicion de placa</t>
  </si>
  <si>
    <t>Acero, concreto</t>
  </si>
  <si>
    <t>Montaje de cercha tipo 2, Instalacion de laminas PVC, Instalación de correas, Encajonamiento de correas</t>
  </si>
  <si>
    <t>Cubierta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</si>
</sst>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 #,##0.00_-;\-&quot;$&quot;\ * #,##0.00_-;_-&quot;$&quot;\ * &quot;-&quot;??_-;_-@_-"/>
    <numFmt numFmtId="43" formatCode="_-* #,##0.00_-;\-* #,##0.00_-;_-* &quot;-&quot;??_-;_-@_-"/>
    <numFmt numFmtId="164" formatCode="_-&quot;$&quot;* #,##0_-;\-&quot;$&quot;* #,##0_-;_-&quot;$&quot;* &quot;-&quot;_-;_-@_-"/>
    <numFmt numFmtId="165" formatCode="d/mm/yyyy;@"/>
    <numFmt numFmtId="166" formatCode="&quot;$&quot;\ #,##0"/>
    <numFmt numFmtId="167" formatCode="_-&quot;$&quot;* #,##0.00_-;\-&quot;$&quot;* #,##0.00_-;_-&quot;$&quot;* &quot;-&quot;_-;_-@_-"/>
    <numFmt numFmtId="168" formatCode="#,##0.00\ _€"/>
    <numFmt numFmtId="169" formatCode="dd/mm/yyyy;@"/>
    <numFmt numFmtId="170" formatCode="0\ &quot;Proyectos&quot;"/>
    <numFmt numFmtId="171" formatCode="#,##0.00000000"/>
    <numFmt numFmtId="172" formatCode="[$-F800]dddd\,\ mmmm\ dd\,\ yyyy"/>
    <numFmt numFmtId="173" formatCode="0.00000"/>
    <numFmt numFmtId="174" formatCode="0.0000000"/>
  </numFmts>
  <fonts count="90">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8"/>
      <name val="Calibri"/>
      <family val="2"/>
      <scheme val="minor"/>
    </font>
    <font>
      <sz val="10"/>
      <name val="Arial"/>
      <family val="2"/>
    </font>
    <font>
      <sz val="11"/>
      <color theme="1"/>
      <name val="Volkswagen Serial"/>
      <family val="3"/>
    </font>
    <font>
      <sz val="11"/>
      <color rgb="FF000000"/>
      <name val="Volkswagen Serial"/>
      <family val="3"/>
    </font>
    <font>
      <b/>
      <sz val="11"/>
      <color theme="1"/>
      <name val="Volkswagen Serial"/>
      <family val="3"/>
    </font>
    <font>
      <b/>
      <sz val="11"/>
      <color theme="0"/>
      <name val="Volkswagen Serial"/>
      <family val="3"/>
    </font>
    <font>
      <b/>
      <sz val="14"/>
      <name val="Volkswagen Serial"/>
      <family val="3"/>
    </font>
    <font>
      <sz val="11"/>
      <color rgb="FFFFFF00"/>
      <name val="Volkswagen Serial"/>
      <family val="3"/>
    </font>
    <font>
      <b/>
      <sz val="12"/>
      <color theme="1"/>
      <name val="Volkswagen Serial"/>
      <family val="3"/>
    </font>
    <font>
      <b/>
      <sz val="12"/>
      <name val="Volkswagen Serial"/>
      <family val="3"/>
    </font>
    <font>
      <b/>
      <sz val="11"/>
      <color rgb="FF000000"/>
      <name val="Arial Narrow"/>
      <family val="2"/>
    </font>
    <font>
      <sz val="11"/>
      <color rgb="FF000000"/>
      <name val="Arial Narrow"/>
      <family val="2"/>
    </font>
    <font>
      <b/>
      <sz val="11"/>
      <color theme="1"/>
      <name val="Arial Narrow"/>
      <family val="2"/>
    </font>
    <font>
      <sz val="11"/>
      <color rgb="FFFF0000"/>
      <name val="Arial Narrow"/>
      <family val="2"/>
    </font>
    <font>
      <sz val="11"/>
      <color theme="1"/>
      <name val="Arial Narrow"/>
      <family val="2"/>
    </font>
    <font>
      <b/>
      <sz val="11"/>
      <color theme="0"/>
      <name val="Arial Narrow"/>
      <family val="2"/>
    </font>
    <font>
      <sz val="9"/>
      <color theme="1"/>
      <name val="Volkswagen Serial"/>
      <family val="3"/>
    </font>
    <font>
      <sz val="10"/>
      <color theme="1"/>
      <name val="Century Gothic"/>
      <family val="2"/>
    </font>
    <font>
      <sz val="10"/>
      <color rgb="FF000000"/>
      <name val="Century Gothic"/>
      <family val="2"/>
    </font>
    <font>
      <b/>
      <sz val="10"/>
      <color theme="0"/>
      <name val="Century Gothic"/>
      <family val="2"/>
    </font>
    <font>
      <b/>
      <sz val="10"/>
      <color theme="1"/>
      <name val="Century Gothic"/>
      <family val="2"/>
    </font>
    <font>
      <sz val="10"/>
      <name val="Century Gothic"/>
      <family val="2"/>
    </font>
    <font>
      <b/>
      <sz val="10"/>
      <color rgb="FF000000"/>
      <name val="Century Gothic"/>
      <family val="2"/>
    </font>
    <font>
      <b/>
      <sz val="9"/>
      <color rgb="FF000000"/>
      <name val="Tahoma"/>
      <family val="2"/>
    </font>
    <font>
      <sz val="11"/>
      <color theme="1"/>
      <name val="Century Gothic"/>
      <family val="2"/>
    </font>
    <font>
      <b/>
      <sz val="11"/>
      <color theme="0"/>
      <name val="Century Gothic"/>
      <family val="2"/>
    </font>
    <font>
      <sz val="11"/>
      <color rgb="FFFFFF00"/>
      <name val="Century Gothic"/>
      <family val="2"/>
    </font>
    <font>
      <b/>
      <sz val="11"/>
      <color rgb="FFFFFF00"/>
      <name val="Century Gothic"/>
      <family val="2"/>
    </font>
    <font>
      <b/>
      <sz val="11"/>
      <color theme="1"/>
      <name val="Century Gothic"/>
      <family val="2"/>
    </font>
    <font>
      <sz val="10"/>
      <color rgb="FF000000"/>
      <name val="Century Gothic"/>
      <family val="1"/>
    </font>
    <font>
      <sz val="11"/>
      <color theme="1"/>
      <name val="Century Gothic"/>
      <family val="1"/>
    </font>
    <font>
      <sz val="11"/>
      <color rgb="FF00B050"/>
      <name val="Century Gothic"/>
      <family val="2"/>
    </font>
    <font>
      <sz val="11"/>
      <color theme="7"/>
      <name val="Century Gothic"/>
      <family val="2"/>
    </font>
    <font>
      <sz val="11"/>
      <color rgb="FFC00000"/>
      <name val="Century Gothic"/>
      <family val="2"/>
    </font>
    <font>
      <sz val="9"/>
      <color rgb="FF000000"/>
      <name val="Tahoma"/>
      <family val="2"/>
    </font>
    <font>
      <b/>
      <sz val="10"/>
      <color rgb="FFFFFFFF"/>
      <name val="Century Gothic"/>
      <family val="1"/>
    </font>
    <font>
      <sz val="9"/>
      <color theme="0"/>
      <name val="Volkswagen Serial"/>
      <family val="3"/>
    </font>
    <font>
      <sz val="12"/>
      <color theme="1"/>
      <name val="Volkswagen Serial Medium"/>
      <family val="3"/>
    </font>
    <font>
      <b/>
      <sz val="36"/>
      <color rgb="FF0A9A49"/>
      <name val="Volkswagen Serial Medium"/>
      <family val="3"/>
    </font>
    <font>
      <b/>
      <sz val="16"/>
      <color rgb="FF0A9A49"/>
      <name val="Volkswagen Serial Medium"/>
      <family val="3"/>
    </font>
    <font>
      <sz val="18"/>
      <name val="Arial"/>
      <family val="2"/>
    </font>
    <font>
      <b/>
      <sz val="40"/>
      <color rgb="FF122133"/>
      <name val="Volkswagen Serial"/>
      <family val="3"/>
    </font>
    <font>
      <b/>
      <sz val="24"/>
      <color rgb="FF122133"/>
      <name val="Volkswagen Serial"/>
      <family val="3"/>
    </font>
    <font>
      <b/>
      <sz val="16"/>
      <color rgb="FF122133"/>
      <name val="Volkswagen Serial"/>
      <family val="3"/>
    </font>
    <font>
      <sz val="10"/>
      <color rgb="FF7F7F7F"/>
      <name val="Volkswagen Serial"/>
      <family val="3"/>
    </font>
    <font>
      <sz val="10"/>
      <color rgb="FF7F7F7F"/>
      <name val="Volkswagen Serial Light"/>
      <family val="3"/>
    </font>
    <font>
      <sz val="12"/>
      <color rgb="FF7F7F7F"/>
      <name val="Volkswagen Serial"/>
      <family val="3"/>
    </font>
    <font>
      <b/>
      <sz val="12"/>
      <color theme="0" tint="-0.499984740745262"/>
      <name val="Volkswagen Serial"/>
      <family val="3"/>
    </font>
    <font>
      <sz val="12"/>
      <color theme="0" tint="-0.499984740745262"/>
      <name val="Volkswagen Serial"/>
      <family val="3"/>
    </font>
    <font>
      <b/>
      <sz val="26"/>
      <color rgb="FF122133"/>
      <name val="Volkswagen Serial"/>
      <family val="3"/>
    </font>
    <font>
      <b/>
      <sz val="18"/>
      <color rgb="FF122133"/>
      <name val="Volkswagen Serial"/>
      <family val="3"/>
    </font>
    <font>
      <b/>
      <sz val="36"/>
      <color rgb="FF122133"/>
      <name val="Volkswagen Serial"/>
      <family val="3"/>
    </font>
    <font>
      <sz val="36"/>
      <name val="Arial"/>
      <family val="2"/>
    </font>
    <font>
      <b/>
      <sz val="48"/>
      <color rgb="FF122133"/>
      <name val="Volkswagen Serial"/>
      <family val="3"/>
    </font>
    <font>
      <b/>
      <sz val="20"/>
      <color rgb="FF7F7F7F"/>
      <name val="Volkswagen Serial"/>
      <family val="3"/>
    </font>
    <font>
      <sz val="20"/>
      <color theme="0" tint="-0.499984740745262"/>
      <name val="Volkswagen Serial Medium"/>
      <family val="3"/>
    </font>
    <font>
      <sz val="20"/>
      <color theme="0"/>
      <name val="Volkswagen Serial Medium"/>
      <family val="3"/>
    </font>
    <font>
      <b/>
      <sz val="12"/>
      <color theme="1"/>
      <name val="Volkswagen Serial Medium"/>
      <family val="3"/>
    </font>
    <font>
      <sz val="16"/>
      <color theme="1"/>
      <name val="Volkswagen Serial Medium"/>
      <family val="3"/>
    </font>
    <font>
      <sz val="18"/>
      <color theme="1"/>
      <name val="Volkswagen Serial Medium"/>
      <family val="3"/>
    </font>
    <font>
      <b/>
      <sz val="80"/>
      <color rgb="FF0A9A49"/>
      <name val="Volkswagen Serial Medium"/>
      <family val="3"/>
    </font>
    <font>
      <b/>
      <sz val="20"/>
      <color rgb="FF122133"/>
      <name val="Volkswagen Serial"/>
      <family val="3"/>
    </font>
    <font>
      <sz val="28"/>
      <color rgb="FFC00000"/>
      <name val="Volkswagen Serial"/>
      <family val="3"/>
    </font>
    <font>
      <b/>
      <sz val="20"/>
      <color rgb="FFFFC000"/>
      <name val="Volkswagen Serial"/>
      <family val="3"/>
    </font>
    <font>
      <i/>
      <sz val="14"/>
      <color theme="0" tint="-0.499984740745262"/>
      <name val="Volkswagen Serial"/>
      <family val="3"/>
    </font>
    <font>
      <b/>
      <sz val="16"/>
      <color theme="1"/>
      <name val="Volkswagen Serial Medium"/>
      <family val="3"/>
    </font>
    <font>
      <b/>
      <sz val="48"/>
      <color rgb="FF0A9A49"/>
      <name val="Volkswagen Serial"/>
      <family val="3"/>
    </font>
    <font>
      <b/>
      <sz val="48"/>
      <color rgb="FFFFC000"/>
      <name val="Volkswagen Serial"/>
      <family val="3"/>
    </font>
    <font>
      <sz val="48"/>
      <color theme="1"/>
      <name val="Volkswagen Serial Medium"/>
      <family val="3"/>
    </font>
    <font>
      <b/>
      <sz val="48"/>
      <color rgb="FFC00000"/>
      <name val="Volkswagen Serial"/>
      <family val="3"/>
    </font>
    <font>
      <u/>
      <sz val="12"/>
      <color theme="10"/>
      <name val="Calibri"/>
      <family val="2"/>
      <scheme val="minor"/>
    </font>
    <font>
      <b/>
      <sz val="9"/>
      <color theme="1"/>
      <name val="Volkswagen Serial"/>
      <family val="3"/>
    </font>
    <font>
      <sz val="10"/>
      <color theme="1"/>
      <name val="Calibri"/>
      <family val="2"/>
      <scheme val="minor"/>
    </font>
    <font>
      <b/>
      <sz val="10"/>
      <color rgb="FFFFC000"/>
      <name val="Century Gothic"/>
      <family val="2"/>
    </font>
    <font>
      <b/>
      <sz val="10"/>
      <color theme="5" tint="-0.249977111117893"/>
      <name val="Century Gothic"/>
      <family val="2"/>
    </font>
    <font>
      <sz val="12"/>
      <color theme="1"/>
      <name val="Century Gothic"/>
      <family val="2"/>
    </font>
    <font>
      <b/>
      <sz val="10"/>
      <color rgb="FFFFFFFF"/>
      <name val="Century Gothic"/>
      <family val="2"/>
    </font>
    <font>
      <b/>
      <sz val="12"/>
      <color theme="1"/>
      <name val="Century Gothic"/>
      <family val="2"/>
    </font>
    <font>
      <b/>
      <sz val="12"/>
      <color theme="0"/>
      <name val="Century Gothic"/>
      <family val="2"/>
    </font>
    <font>
      <sz val="9"/>
      <color theme="1"/>
      <name val="Century Gothic"/>
      <family val="2"/>
    </font>
    <font>
      <b/>
      <sz val="9"/>
      <color rgb="FF92D050"/>
      <name val="Century Gothic"/>
      <family val="2"/>
    </font>
    <font>
      <b/>
      <sz val="9"/>
      <color theme="7"/>
      <name val="Century Gothic"/>
      <family val="2"/>
    </font>
    <font>
      <b/>
      <sz val="9"/>
      <color theme="1"/>
      <name val="Century Gothic"/>
      <family val="2"/>
    </font>
    <font>
      <sz val="10"/>
      <color theme="1"/>
      <name val="Century Gothic"/>
      <family val="1"/>
    </font>
    <font>
      <sz val="10"/>
      <color rgb="FFFF0000"/>
      <name val="Century Gothic"/>
      <family val="2"/>
    </font>
    <font>
      <sz val="10"/>
      <name val="Century Gothic"/>
      <family val="1"/>
    </font>
  </fonts>
  <fills count="24">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rgb="FF7030A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rgb="FF0070C0"/>
        <bgColor indexed="64"/>
      </patternFill>
    </fill>
    <fill>
      <patternFill patternType="solid">
        <fgColor theme="8" tint="-0.49998474074526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00"/>
        <bgColor theme="4" tint="0.79998168889431442"/>
      </patternFill>
    </fill>
    <fill>
      <patternFill patternType="solid">
        <fgColor theme="5" tint="0.39997558519241921"/>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s>
  <borders count="48">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4" tint="0.39997558519241921"/>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style="thin">
        <color theme="6"/>
      </left>
      <right/>
      <top style="thin">
        <color theme="6"/>
      </top>
      <bottom style="thin">
        <color theme="6"/>
      </bottom>
      <diagonal/>
    </border>
    <border>
      <left style="thin">
        <color theme="0" tint="-0.499984740745262"/>
      </left>
      <right style="thin">
        <color theme="0" tint="-0.499984740745262"/>
      </right>
      <top/>
      <bottom style="thin">
        <color theme="0" tint="-0.499984740745262"/>
      </bottom>
      <diagonal/>
    </border>
    <border>
      <left style="thin">
        <color theme="4" tint="0.39997558519241921"/>
      </left>
      <right style="thin">
        <color theme="4" tint="0.39997558519241921"/>
      </right>
      <top/>
      <bottom style="thin">
        <color theme="4" tint="0.39997558519241921"/>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thin">
        <color theme="0"/>
      </left>
      <right/>
      <top style="thin">
        <color theme="0"/>
      </top>
      <bottom/>
      <diagonal/>
    </border>
    <border>
      <left/>
      <right style="thin">
        <color theme="0"/>
      </right>
      <top style="thin">
        <color theme="0"/>
      </top>
      <bottom/>
      <diagonal/>
    </border>
    <border>
      <left/>
      <right/>
      <top/>
      <bottom style="thin">
        <color rgb="FFBFBFBF"/>
      </bottom>
      <diagonal/>
    </border>
    <border>
      <left/>
      <right style="medium">
        <color rgb="FFFFFFFF"/>
      </right>
      <top/>
      <bottom style="thin">
        <color rgb="FFBFBFBF"/>
      </bottom>
      <diagonal/>
    </border>
    <border>
      <left/>
      <right style="thin">
        <color theme="0"/>
      </right>
      <top/>
      <bottom style="thin">
        <color theme="0"/>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rgb="FF808080"/>
      </left>
      <right/>
      <top style="thin">
        <color rgb="FF808080"/>
      </top>
      <bottom/>
      <diagonal/>
    </border>
    <border>
      <left style="thin">
        <color theme="0" tint="-0.499984740745262"/>
      </left>
      <right/>
      <top style="thin">
        <color rgb="FF808080"/>
      </top>
      <bottom/>
      <diagonal/>
    </border>
    <border>
      <left style="thin">
        <color theme="0" tint="-0.499984740745262"/>
      </left>
      <right style="thin">
        <color rgb="FF808080"/>
      </right>
      <top style="thin">
        <color rgb="FF808080"/>
      </top>
      <bottom/>
      <diagonal/>
    </border>
    <border>
      <left style="thin">
        <color rgb="FF808080"/>
      </left>
      <right/>
      <top style="thin">
        <color theme="0" tint="-0.499984740745262"/>
      </top>
      <bottom/>
      <diagonal/>
    </border>
    <border>
      <left style="thin">
        <color theme="0" tint="-0.499984740745262"/>
      </left>
      <right style="thin">
        <color rgb="FF808080"/>
      </right>
      <top style="thin">
        <color theme="0" tint="-0.499984740745262"/>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right style="thin">
        <color theme="0" tint="-0.499984740745262"/>
      </right>
      <top style="thin">
        <color theme="0" tint="-0.499984740745262"/>
      </top>
      <bottom/>
      <diagonal/>
    </border>
  </borders>
  <cellStyleXfs count="11">
    <xf numFmtId="0" fontId="0" fillId="0" borderId="0"/>
    <xf numFmtId="9" fontId="3" fillId="0" borderId="0" applyFont="0" applyFill="0" applyBorder="0" applyAlignment="0" applyProtection="0"/>
    <xf numFmtId="0" fontId="2" fillId="0" borderId="0"/>
    <xf numFmtId="44" fontId="2" fillId="0" borderId="0" applyFont="0" applyFill="0" applyBorder="0" applyAlignment="0" applyProtection="0"/>
    <xf numFmtId="44" fontId="3" fillId="0" borderId="0" applyFont="0" applyFill="0" applyBorder="0" applyAlignment="0" applyProtection="0"/>
    <xf numFmtId="0" fontId="1" fillId="0" borderId="0"/>
    <xf numFmtId="0" fontId="5" fillId="0" borderId="0"/>
    <xf numFmtId="164" fontId="3" fillId="0" borderId="0" applyFont="0" applyFill="0" applyBorder="0" applyAlignment="0" applyProtection="0"/>
    <xf numFmtId="43" fontId="1" fillId="0" borderId="0" applyFont="0" applyFill="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cellStyleXfs>
  <cellXfs count="358">
    <xf numFmtId="0" fontId="0" fillId="0" borderId="0" xfId="0"/>
    <xf numFmtId="0" fontId="6" fillId="0" borderId="0" xfId="0" applyFont="1"/>
    <xf numFmtId="9" fontId="7" fillId="0" borderId="0" xfId="1" applyFont="1" applyAlignment="1">
      <alignment vertical="center"/>
    </xf>
    <xf numFmtId="0" fontId="8" fillId="0" borderId="0" xfId="0" applyFont="1" applyAlignment="1">
      <alignment vertical="center" wrapText="1"/>
    </xf>
    <xf numFmtId="0" fontId="9" fillId="2" borderId="1" xfId="0" applyFont="1" applyFill="1" applyBorder="1" applyAlignment="1">
      <alignment horizontal="center" vertical="center" wrapText="1"/>
    </xf>
    <xf numFmtId="9" fontId="9" fillId="2" borderId="1" xfId="1" applyFont="1" applyFill="1" applyBorder="1" applyAlignment="1">
      <alignment horizontal="center" vertical="center" wrapText="1"/>
    </xf>
    <xf numFmtId="9" fontId="9" fillId="4" borderId="1" xfId="1" applyFont="1" applyFill="1" applyBorder="1" applyAlignment="1">
      <alignment horizontal="center" vertical="center" wrapText="1"/>
    </xf>
    <xf numFmtId="0" fontId="6" fillId="6" borderId="5" xfId="0" applyFont="1" applyFill="1" applyBorder="1"/>
    <xf numFmtId="9" fontId="10" fillId="0" borderId="0" xfId="1" applyFont="1" applyFill="1" applyBorder="1" applyAlignment="1">
      <alignment horizontal="center" vertical="center"/>
    </xf>
    <xf numFmtId="0" fontId="9" fillId="0" borderId="0" xfId="0" applyFont="1" applyAlignment="1">
      <alignment horizontal="center" vertical="center" wrapText="1"/>
    </xf>
    <xf numFmtId="9" fontId="9" fillId="9" borderId="1" xfId="1" applyFont="1" applyFill="1" applyBorder="1" applyAlignment="1">
      <alignment horizontal="center" vertical="center" wrapText="1"/>
    </xf>
    <xf numFmtId="0" fontId="13" fillId="7" borderId="6" xfId="0" applyFont="1" applyFill="1" applyBorder="1"/>
    <xf numFmtId="0" fontId="0" fillId="0" borderId="0" xfId="0" applyAlignment="1">
      <alignment vertical="center"/>
    </xf>
    <xf numFmtId="165" fontId="15" fillId="0" borderId="1" xfId="1" applyNumberFormat="1" applyFont="1" applyFill="1" applyBorder="1" applyAlignment="1">
      <alignment horizontal="center" vertical="center"/>
    </xf>
    <xf numFmtId="44" fontId="15" fillId="0" borderId="1" xfId="4" applyFont="1" applyFill="1" applyBorder="1" applyAlignment="1">
      <alignment horizontal="center" vertical="center"/>
    </xf>
    <xf numFmtId="167" fontId="15" fillId="0" borderId="1" xfId="7" applyNumberFormat="1" applyFont="1" applyFill="1" applyBorder="1" applyAlignment="1">
      <alignment horizontal="center" vertical="center"/>
    </xf>
    <xf numFmtId="164" fontId="15" fillId="0" borderId="1" xfId="7" applyFont="1" applyFill="1" applyBorder="1" applyAlignment="1">
      <alignment horizontal="center" vertical="center"/>
    </xf>
    <xf numFmtId="168" fontId="15" fillId="0" borderId="1" xfId="1" applyNumberFormat="1" applyFont="1" applyFill="1" applyBorder="1" applyAlignment="1">
      <alignment horizontal="center" vertical="center"/>
    </xf>
    <xf numFmtId="166" fontId="15" fillId="0" borderId="1" xfId="4" applyNumberFormat="1" applyFont="1" applyFill="1" applyBorder="1" applyAlignment="1">
      <alignment horizontal="center" vertical="center"/>
    </xf>
    <xf numFmtId="0" fontId="18" fillId="0" borderId="7" xfId="0" applyFont="1" applyBorder="1" applyAlignment="1">
      <alignment horizontal="center" vertical="center"/>
    </xf>
    <xf numFmtId="165" fontId="15" fillId="0" borderId="7" xfId="1" applyNumberFormat="1" applyFont="1" applyFill="1" applyBorder="1" applyAlignment="1">
      <alignment horizontal="center" vertical="center"/>
    </xf>
    <xf numFmtId="44" fontId="15" fillId="0" borderId="7" xfId="4" applyFont="1" applyBorder="1" applyAlignment="1">
      <alignment horizontal="center" vertical="center"/>
    </xf>
    <xf numFmtId="9" fontId="15" fillId="0" borderId="7" xfId="1" applyFont="1" applyBorder="1" applyAlignment="1">
      <alignment horizontal="center" vertical="center"/>
    </xf>
    <xf numFmtId="164" fontId="15" fillId="0" borderId="7" xfId="7" applyFont="1" applyBorder="1" applyAlignment="1">
      <alignment horizontal="center" vertical="center"/>
    </xf>
    <xf numFmtId="44" fontId="15" fillId="0" borderId="7" xfId="4" applyFont="1" applyFill="1" applyBorder="1" applyAlignment="1">
      <alignment horizontal="center" vertical="center"/>
    </xf>
    <xf numFmtId="168" fontId="15" fillId="0" borderId="7" xfId="1" applyNumberFormat="1" applyFont="1" applyFill="1" applyBorder="1" applyAlignment="1">
      <alignment horizontal="center" vertical="center"/>
    </xf>
    <xf numFmtId="44" fontId="15" fillId="0" borderId="7" xfId="1" applyNumberFormat="1" applyFont="1" applyBorder="1" applyAlignment="1">
      <alignment horizontal="center" vertical="center"/>
    </xf>
    <xf numFmtId="14" fontId="15" fillId="0" borderId="1" xfId="1" applyNumberFormat="1" applyFont="1" applyFill="1" applyBorder="1" applyAlignment="1">
      <alignment horizontal="center" vertical="center"/>
    </xf>
    <xf numFmtId="0" fontId="19" fillId="2" borderId="11" xfId="0" applyFont="1" applyFill="1" applyBorder="1" applyAlignment="1">
      <alignment horizontal="center" vertical="center" wrapText="1"/>
    </xf>
    <xf numFmtId="0" fontId="9" fillId="2" borderId="11" xfId="0" applyFont="1" applyFill="1" applyBorder="1" applyAlignment="1">
      <alignment horizontal="center" vertical="center" wrapText="1"/>
    </xf>
    <xf numFmtId="9" fontId="10" fillId="5" borderId="4" xfId="1" applyFont="1" applyFill="1" applyBorder="1" applyAlignment="1">
      <alignment vertical="center"/>
    </xf>
    <xf numFmtId="0" fontId="13" fillId="7" borderId="12" xfId="0" applyFont="1" applyFill="1" applyBorder="1" applyAlignment="1">
      <alignment horizontal="center" vertical="center"/>
    </xf>
    <xf numFmtId="0" fontId="13" fillId="7" borderId="8" xfId="0" applyFont="1" applyFill="1" applyBorder="1" applyAlignment="1">
      <alignment wrapText="1"/>
    </xf>
    <xf numFmtId="0" fontId="13" fillId="7" borderId="9" xfId="0" applyFont="1" applyFill="1" applyBorder="1" applyAlignment="1">
      <alignment wrapText="1"/>
    </xf>
    <xf numFmtId="0" fontId="6" fillId="0" borderId="0" xfId="0" applyFont="1" applyAlignment="1">
      <alignment wrapText="1"/>
    </xf>
    <xf numFmtId="0" fontId="0" fillId="0" borderId="0" xfId="0" applyAlignment="1">
      <alignment vertical="center" wrapText="1"/>
    </xf>
    <xf numFmtId="0" fontId="12" fillId="0" borderId="0" xfId="0" applyFont="1"/>
    <xf numFmtId="0" fontId="13" fillId="7" borderId="0" xfId="0" applyFont="1" applyFill="1"/>
    <xf numFmtId="0" fontId="13" fillId="11" borderId="6" xfId="0" applyFont="1" applyFill="1" applyBorder="1"/>
    <xf numFmtId="0" fontId="0" fillId="11" borderId="0" xfId="0" applyFill="1" applyAlignment="1">
      <alignment vertical="center"/>
    </xf>
    <xf numFmtId="0" fontId="20" fillId="0" borderId="0" xfId="0" pivotButton="1" applyFont="1" applyAlignment="1">
      <alignment horizontal="left" vertical="center" wrapText="1"/>
    </xf>
    <xf numFmtId="0" fontId="20" fillId="0" borderId="0" xfId="0" applyFont="1" applyAlignment="1">
      <alignment horizontal="center" vertical="center" wrapText="1"/>
    </xf>
    <xf numFmtId="0" fontId="20" fillId="0" borderId="0" xfId="0" applyFont="1" applyAlignment="1">
      <alignment horizontal="left" vertical="center" wrapText="1"/>
    </xf>
    <xf numFmtId="0" fontId="20" fillId="0" borderId="0" xfId="0" applyFont="1" applyAlignment="1">
      <alignment horizontal="left"/>
    </xf>
    <xf numFmtId="0" fontId="20" fillId="0" borderId="0" xfId="0" applyFont="1" applyAlignment="1">
      <alignment horizontal="center" vertical="center"/>
    </xf>
    <xf numFmtId="0" fontId="20" fillId="0" borderId="0" xfId="0" applyFont="1"/>
    <xf numFmtId="0" fontId="20" fillId="13" borderId="0" xfId="0" applyFont="1" applyFill="1" applyAlignment="1">
      <alignment horizontal="left"/>
    </xf>
    <xf numFmtId="0" fontId="20" fillId="10" borderId="0" xfId="0" applyFont="1" applyFill="1" applyAlignment="1">
      <alignment horizontal="left"/>
    </xf>
    <xf numFmtId="0" fontId="20" fillId="12" borderId="0" xfId="0" applyFont="1" applyFill="1" applyAlignment="1">
      <alignment horizontal="left"/>
    </xf>
    <xf numFmtId="0" fontId="20" fillId="0" borderId="0" xfId="0" applyFont="1" applyAlignment="1">
      <alignment horizontal="left" indent="1"/>
    </xf>
    <xf numFmtId="0" fontId="21" fillId="0" borderId="0" xfId="0" applyFont="1" applyAlignment="1">
      <alignment horizontal="center" vertical="center"/>
    </xf>
    <xf numFmtId="0" fontId="22" fillId="0" borderId="0" xfId="0" applyFont="1" applyAlignment="1">
      <alignment horizontal="center" vertical="center"/>
    </xf>
    <xf numFmtId="9" fontId="22" fillId="0" borderId="1" xfId="1" applyFont="1" applyFill="1" applyBorder="1" applyAlignment="1">
      <alignment horizontal="center" vertical="center"/>
    </xf>
    <xf numFmtId="10" fontId="22" fillId="0" borderId="0" xfId="1" applyNumberFormat="1" applyFont="1" applyAlignment="1">
      <alignment horizontal="center" vertical="center"/>
    </xf>
    <xf numFmtId="9" fontId="22" fillId="0" borderId="0" xfId="1" applyFont="1" applyAlignment="1">
      <alignment horizontal="center" vertical="center"/>
    </xf>
    <xf numFmtId="0" fontId="24" fillId="0" borderId="0" xfId="0" applyFont="1" applyAlignment="1">
      <alignment horizontal="center" vertical="center" wrapText="1"/>
    </xf>
    <xf numFmtId="0" fontId="22" fillId="0" borderId="1" xfId="0" applyFont="1" applyBorder="1" applyAlignment="1">
      <alignment horizontal="center" vertical="center"/>
    </xf>
    <xf numFmtId="0" fontId="22" fillId="0" borderId="1" xfId="0" applyFont="1" applyBorder="1" applyAlignment="1">
      <alignment horizontal="left" vertical="center"/>
    </xf>
    <xf numFmtId="10" fontId="22" fillId="0" borderId="1" xfId="1" applyNumberFormat="1" applyFont="1" applyFill="1" applyBorder="1" applyAlignment="1">
      <alignment horizontal="center" vertical="center"/>
    </xf>
    <xf numFmtId="9" fontId="21" fillId="0" borderId="1" xfId="1" applyFont="1" applyFill="1" applyBorder="1" applyAlignment="1">
      <alignment horizontal="center" vertical="center"/>
    </xf>
    <xf numFmtId="0" fontId="22" fillId="0" borderId="3" xfId="0" applyFont="1" applyBorder="1" applyAlignment="1">
      <alignment horizontal="center" vertical="center"/>
    </xf>
    <xf numFmtId="0" fontId="26" fillId="0" borderId="0" xfId="0" applyFont="1" applyAlignment="1">
      <alignment horizontal="left" vertical="center"/>
    </xf>
    <xf numFmtId="169" fontId="22" fillId="0" borderId="0" xfId="1" applyNumberFormat="1" applyFont="1" applyAlignment="1">
      <alignment horizontal="center" vertical="center"/>
    </xf>
    <xf numFmtId="169" fontId="22" fillId="0"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29" fillId="0" borderId="0" xfId="0" applyFont="1" applyAlignment="1">
      <alignment horizontal="center" vertical="center" wrapText="1"/>
    </xf>
    <xf numFmtId="0" fontId="29" fillId="8" borderId="1" xfId="0" applyFont="1" applyFill="1" applyBorder="1" applyAlignment="1">
      <alignment horizontal="center" vertical="center" wrapText="1"/>
    </xf>
    <xf numFmtId="166" fontId="29" fillId="4" borderId="1" xfId="1" applyNumberFormat="1" applyFont="1" applyFill="1" applyBorder="1" applyAlignment="1">
      <alignment horizontal="center" vertical="center" wrapText="1"/>
    </xf>
    <xf numFmtId="10" fontId="29" fillId="2" borderId="1" xfId="1" applyNumberFormat="1" applyFont="1" applyFill="1" applyBorder="1" applyAlignment="1">
      <alignment horizontal="center" vertical="center" wrapText="1"/>
    </xf>
    <xf numFmtId="169" fontId="29" fillId="2" borderId="1" xfId="1" applyNumberFormat="1" applyFont="1" applyFill="1" applyBorder="1" applyAlignment="1">
      <alignment horizontal="center" vertical="center" wrapText="1"/>
    </xf>
    <xf numFmtId="9" fontId="29" fillId="2" borderId="1" xfId="1" applyFont="1" applyFill="1" applyBorder="1" applyAlignment="1">
      <alignment horizontal="center" vertical="center" wrapText="1"/>
    </xf>
    <xf numFmtId="169" fontId="29" fillId="2" borderId="1" xfId="0" applyNumberFormat="1" applyFont="1" applyFill="1" applyBorder="1" applyAlignment="1">
      <alignment horizontal="center" vertical="center" wrapText="1"/>
    </xf>
    <xf numFmtId="9" fontId="29" fillId="4" borderId="1" xfId="1" applyFont="1" applyFill="1" applyBorder="1" applyAlignment="1">
      <alignment horizontal="center" vertical="center" wrapText="1"/>
    </xf>
    <xf numFmtId="0" fontId="28" fillId="0" borderId="0" xfId="0" applyFont="1" applyAlignment="1">
      <alignment horizontal="center" vertical="center"/>
    </xf>
    <xf numFmtId="0" fontId="28" fillId="0" borderId="0" xfId="0" applyFont="1" applyAlignment="1">
      <alignment horizontal="left" vertical="center" wrapText="1"/>
    </xf>
    <xf numFmtId="0" fontId="34" fillId="0" borderId="0" xfId="0" applyFont="1" applyAlignment="1">
      <alignment horizontal="center" vertical="center"/>
    </xf>
    <xf numFmtId="0" fontId="6" fillId="14" borderId="0" xfId="0" applyFont="1" applyFill="1"/>
    <xf numFmtId="0" fontId="0" fillId="0" borderId="0" xfId="0" applyAlignment="1">
      <alignment horizontal="center" vertical="center"/>
    </xf>
    <xf numFmtId="0" fontId="7" fillId="3" borderId="0" xfId="0" applyFont="1" applyFill="1" applyAlignment="1">
      <alignment vertical="center"/>
    </xf>
    <xf numFmtId="0" fontId="14" fillId="0" borderId="10" xfId="1" applyNumberFormat="1" applyFont="1" applyFill="1" applyBorder="1" applyAlignment="1">
      <alignment horizontal="center" vertical="center"/>
    </xf>
    <xf numFmtId="9" fontId="14" fillId="0" borderId="10" xfId="1" applyFont="1" applyFill="1" applyBorder="1" applyAlignment="1">
      <alignment horizontal="center" vertical="center"/>
    </xf>
    <xf numFmtId="0" fontId="15" fillId="0" borderId="1" xfId="0" applyFont="1" applyBorder="1" applyAlignment="1">
      <alignment horizontal="center" vertical="center"/>
    </xf>
    <xf numFmtId="44" fontId="15" fillId="0" borderId="1" xfId="4" applyFont="1" applyBorder="1" applyAlignment="1">
      <alignment horizontal="center" vertical="center"/>
    </xf>
    <xf numFmtId="164" fontId="15" fillId="0" borderId="1" xfId="7" applyFont="1" applyBorder="1" applyAlignment="1">
      <alignment horizontal="center" vertical="center"/>
    </xf>
    <xf numFmtId="0" fontId="15" fillId="0" borderId="0" xfId="0" applyFont="1" applyAlignment="1">
      <alignment horizontal="center" vertical="center"/>
    </xf>
    <xf numFmtId="9" fontId="16" fillId="0" borderId="10" xfId="1" applyFont="1" applyFill="1" applyBorder="1" applyAlignment="1">
      <alignment horizontal="center" vertical="center"/>
    </xf>
    <xf numFmtId="166" fontId="15" fillId="0" borderId="0" xfId="0" applyNumberFormat="1" applyFont="1" applyAlignment="1">
      <alignment horizontal="center" vertical="center"/>
    </xf>
    <xf numFmtId="0" fontId="17" fillId="0" borderId="1" xfId="0" applyFont="1" applyBorder="1" applyAlignment="1">
      <alignment horizontal="center" vertical="center"/>
    </xf>
    <xf numFmtId="0" fontId="15" fillId="0" borderId="7" xfId="0" applyFont="1" applyBorder="1" applyAlignment="1">
      <alignment horizontal="center" vertical="center"/>
    </xf>
    <xf numFmtId="0" fontId="14" fillId="0" borderId="7" xfId="0" applyFont="1" applyBorder="1" applyAlignment="1">
      <alignment horizontal="center" vertical="center"/>
    </xf>
    <xf numFmtId="0" fontId="7" fillId="0" borderId="0" xfId="0" applyFont="1" applyAlignment="1">
      <alignment vertical="center"/>
    </xf>
    <xf numFmtId="0" fontId="40" fillId="2" borderId="0" xfId="0" applyFont="1" applyFill="1"/>
    <xf numFmtId="0" fontId="40" fillId="2" borderId="0" xfId="0" applyFont="1" applyFill="1" applyAlignment="1">
      <alignment horizontal="center" vertical="center"/>
    </xf>
    <xf numFmtId="0" fontId="41" fillId="0" borderId="0" xfId="0" applyFont="1" applyAlignment="1">
      <alignment vertical="center"/>
    </xf>
    <xf numFmtId="0" fontId="41" fillId="0" borderId="0" xfId="0" applyFont="1" applyAlignment="1">
      <alignment horizontal="left" vertical="center"/>
    </xf>
    <xf numFmtId="0" fontId="41" fillId="0" borderId="13" xfId="0" applyFont="1" applyBorder="1" applyAlignment="1">
      <alignment vertical="center"/>
    </xf>
    <xf numFmtId="0" fontId="41" fillId="0" borderId="13" xfId="0" applyFont="1" applyBorder="1" applyAlignment="1">
      <alignment horizontal="left" vertical="center"/>
    </xf>
    <xf numFmtId="0" fontId="42" fillId="0" borderId="13" xfId="0" applyFont="1" applyBorder="1" applyAlignment="1">
      <alignment vertical="center"/>
    </xf>
    <xf numFmtId="0" fontId="42" fillId="0" borderId="13" xfId="0" applyFont="1" applyBorder="1" applyAlignment="1">
      <alignment horizontal="left" vertical="center"/>
    </xf>
    <xf numFmtId="0" fontId="45" fillId="0" borderId="13" xfId="0" applyFont="1" applyBorder="1" applyAlignment="1">
      <alignment vertical="center" wrapText="1" readingOrder="1"/>
    </xf>
    <xf numFmtId="0" fontId="44" fillId="0" borderId="13" xfId="0" applyFont="1" applyBorder="1" applyAlignment="1">
      <alignment vertical="center" wrapText="1"/>
    </xf>
    <xf numFmtId="0" fontId="55" fillId="0" borderId="13" xfId="0" applyFont="1" applyBorder="1" applyAlignment="1">
      <alignment vertical="center" wrapText="1" readingOrder="1"/>
    </xf>
    <xf numFmtId="0" fontId="47" fillId="0" borderId="13" xfId="0" applyFont="1" applyBorder="1" applyAlignment="1">
      <alignment horizontal="left" vertical="center" wrapText="1" readingOrder="1"/>
    </xf>
    <xf numFmtId="0" fontId="47" fillId="0" borderId="13" xfId="0" applyFont="1" applyBorder="1" applyAlignment="1">
      <alignment horizontal="right" vertical="center" wrapText="1" readingOrder="1"/>
    </xf>
    <xf numFmtId="0" fontId="44" fillId="0" borderId="13" xfId="0" applyFont="1" applyBorder="1" applyAlignment="1">
      <alignment horizontal="right" vertical="center" wrapText="1"/>
    </xf>
    <xf numFmtId="0" fontId="55" fillId="0" borderId="13" xfId="0" applyFont="1" applyBorder="1" applyAlignment="1">
      <alignment horizontal="left" vertical="center" wrapText="1" readingOrder="1"/>
    </xf>
    <xf numFmtId="0" fontId="56" fillId="0" borderId="13" xfId="0" applyFont="1" applyBorder="1" applyAlignment="1">
      <alignment horizontal="right" vertical="center" wrapText="1"/>
    </xf>
    <xf numFmtId="0" fontId="48" fillId="0" borderId="13" xfId="0" applyFont="1" applyBorder="1" applyAlignment="1">
      <alignment horizontal="left" vertical="center" wrapText="1" readingOrder="1"/>
    </xf>
    <xf numFmtId="0" fontId="49" fillId="0" borderId="13" xfId="0" applyFont="1" applyBorder="1" applyAlignment="1">
      <alignment horizontal="right" vertical="center" wrapText="1" readingOrder="1"/>
    </xf>
    <xf numFmtId="0" fontId="56" fillId="0" borderId="13" xfId="0" applyFont="1" applyBorder="1" applyAlignment="1">
      <alignment vertical="center" wrapText="1"/>
    </xf>
    <xf numFmtId="0" fontId="55" fillId="0" borderId="13" xfId="0" applyFont="1" applyBorder="1" applyAlignment="1">
      <alignment horizontal="right" vertical="center" wrapText="1" readingOrder="1"/>
    </xf>
    <xf numFmtId="0" fontId="49" fillId="0" borderId="13" xfId="0" applyFont="1" applyBorder="1" applyAlignment="1">
      <alignment horizontal="left" vertical="center" wrapText="1" readingOrder="1"/>
    </xf>
    <xf numFmtId="0" fontId="50" fillId="0" borderId="13" xfId="0" applyFont="1" applyBorder="1" applyAlignment="1">
      <alignment horizontal="right" vertical="center" wrapText="1" readingOrder="1"/>
    </xf>
    <xf numFmtId="0" fontId="41" fillId="0" borderId="14" xfId="0" applyFont="1" applyBorder="1" applyAlignment="1">
      <alignment vertical="center"/>
    </xf>
    <xf numFmtId="0" fontId="41" fillId="0" borderId="14" xfId="0" applyFont="1" applyBorder="1" applyAlignment="1">
      <alignment horizontal="left" vertical="center"/>
    </xf>
    <xf numFmtId="0" fontId="41" fillId="0" borderId="15" xfId="0" applyFont="1" applyBorder="1" applyAlignment="1">
      <alignment vertical="center"/>
    </xf>
    <xf numFmtId="0" fontId="41" fillId="0" borderId="17" xfId="0" applyFont="1" applyBorder="1" applyAlignment="1">
      <alignment vertical="center"/>
    </xf>
    <xf numFmtId="0" fontId="41" fillId="0" borderId="16" xfId="0" applyFont="1" applyBorder="1" applyAlignment="1">
      <alignment vertical="center"/>
    </xf>
    <xf numFmtId="0" fontId="57" fillId="0" borderId="13" xfId="0" applyFont="1" applyBorder="1" applyAlignment="1">
      <alignment vertical="center" wrapText="1" readingOrder="1"/>
    </xf>
    <xf numFmtId="0" fontId="58" fillId="0" borderId="13" xfId="0" applyFont="1" applyBorder="1" applyAlignment="1">
      <alignment horizontal="left" vertical="center" wrapText="1" readingOrder="1"/>
    </xf>
    <xf numFmtId="0" fontId="59" fillId="0" borderId="13" xfId="0" applyFont="1" applyBorder="1" applyAlignment="1">
      <alignment horizontal="left" vertical="center"/>
    </xf>
    <xf numFmtId="0" fontId="41" fillId="0" borderId="18" xfId="0" applyFont="1" applyBorder="1" applyAlignment="1">
      <alignment vertical="center"/>
    </xf>
    <xf numFmtId="0" fontId="41" fillId="0" borderId="19" xfId="0" applyFont="1" applyBorder="1" applyAlignment="1">
      <alignment vertical="center"/>
    </xf>
    <xf numFmtId="0" fontId="41" fillId="0" borderId="20" xfId="0" applyFont="1" applyBorder="1" applyAlignment="1">
      <alignment vertical="center"/>
    </xf>
    <xf numFmtId="0" fontId="41" fillId="0" borderId="20" xfId="0" applyFont="1" applyBorder="1" applyAlignment="1">
      <alignment horizontal="left" vertical="center"/>
    </xf>
    <xf numFmtId="0" fontId="41" fillId="0" borderId="21" xfId="0" applyFont="1" applyBorder="1" applyAlignment="1">
      <alignment vertical="center"/>
    </xf>
    <xf numFmtId="0" fontId="41" fillId="0" borderId="22" xfId="0" applyFont="1" applyBorder="1" applyAlignment="1">
      <alignment vertical="center"/>
    </xf>
    <xf numFmtId="0" fontId="47" fillId="0" borderId="15" xfId="0" applyFont="1" applyBorder="1" applyAlignment="1">
      <alignment horizontal="left" vertical="center" wrapText="1" readingOrder="1"/>
    </xf>
    <xf numFmtId="0" fontId="48" fillId="0" borderId="15" xfId="0" applyFont="1" applyBorder="1" applyAlignment="1">
      <alignment horizontal="left" vertical="center" wrapText="1" readingOrder="1"/>
    </xf>
    <xf numFmtId="0" fontId="49" fillId="0" borderId="15" xfId="0" applyFont="1" applyBorder="1" applyAlignment="1">
      <alignment horizontal="left" vertical="center" wrapText="1" readingOrder="1"/>
    </xf>
    <xf numFmtId="0" fontId="41" fillId="0" borderId="23" xfId="0" applyFont="1" applyBorder="1" applyAlignment="1">
      <alignment vertical="center"/>
    </xf>
    <xf numFmtId="0" fontId="0" fillId="0" borderId="0" xfId="0" pivotButton="1"/>
    <xf numFmtId="0" fontId="0" fillId="0" borderId="0" xfId="0" applyAlignment="1">
      <alignment horizontal="left"/>
    </xf>
    <xf numFmtId="0" fontId="41" fillId="2" borderId="0" xfId="0" applyFont="1" applyFill="1" applyAlignment="1">
      <alignment vertical="center"/>
    </xf>
    <xf numFmtId="0" fontId="41" fillId="2" borderId="0" xfId="0" applyFont="1" applyFill="1" applyAlignment="1">
      <alignment horizontal="left" vertical="center"/>
    </xf>
    <xf numFmtId="0" fontId="0" fillId="2" borderId="0" xfId="0" applyFill="1" applyAlignment="1">
      <alignment horizontal="right" vertical="center" wrapText="1"/>
    </xf>
    <xf numFmtId="0" fontId="44" fillId="2" borderId="0" xfId="0" applyFont="1" applyFill="1" applyAlignment="1">
      <alignment vertical="center" wrapText="1"/>
    </xf>
    <xf numFmtId="0" fontId="46" fillId="2" borderId="0" xfId="0" applyFont="1" applyFill="1" applyAlignment="1">
      <alignment vertical="center" wrapText="1" readingOrder="1"/>
    </xf>
    <xf numFmtId="0" fontId="49" fillId="2" borderId="0" xfId="0" applyFont="1" applyFill="1" applyAlignment="1">
      <alignment horizontal="left" vertical="center" wrapText="1" readingOrder="1"/>
    </xf>
    <xf numFmtId="0" fontId="41" fillId="0" borderId="0" xfId="0" applyFont="1" applyAlignment="1">
      <alignment horizontal="center" vertical="center"/>
    </xf>
    <xf numFmtId="0" fontId="62" fillId="11" borderId="0" xfId="0" applyFont="1" applyFill="1" applyAlignment="1">
      <alignment vertical="center"/>
    </xf>
    <xf numFmtId="0" fontId="62" fillId="11" borderId="0" xfId="0" applyFont="1" applyFill="1" applyAlignment="1">
      <alignment horizontal="left" vertical="center"/>
    </xf>
    <xf numFmtId="0" fontId="61" fillId="11" borderId="0" xfId="0" applyFont="1" applyFill="1" applyAlignment="1">
      <alignment vertical="center"/>
    </xf>
    <xf numFmtId="0" fontId="63" fillId="11" borderId="0" xfId="0" applyFont="1" applyFill="1" applyAlignment="1">
      <alignment horizontal="left" vertical="center"/>
    </xf>
    <xf numFmtId="0" fontId="61" fillId="11" borderId="0" xfId="0" applyFont="1" applyFill="1" applyAlignment="1">
      <alignment horizontal="left" vertical="center"/>
    </xf>
    <xf numFmtId="0" fontId="41" fillId="11" borderId="0" xfId="0" applyFont="1" applyFill="1" applyAlignment="1">
      <alignment horizontal="left" vertical="center"/>
    </xf>
    <xf numFmtId="0" fontId="41" fillId="11" borderId="0" xfId="0" applyFont="1" applyFill="1" applyAlignment="1">
      <alignment vertical="center"/>
    </xf>
    <xf numFmtId="0" fontId="47" fillId="0" borderId="0" xfId="0" applyFont="1" applyAlignment="1">
      <alignment horizontal="left" vertical="center" wrapText="1" readingOrder="1"/>
    </xf>
    <xf numFmtId="0" fontId="48" fillId="0" borderId="0" xfId="0" applyFont="1" applyAlignment="1">
      <alignment horizontal="left" vertical="center" wrapText="1" readingOrder="1"/>
    </xf>
    <xf numFmtId="0" fontId="49" fillId="0" borderId="0" xfId="0" applyFont="1" applyAlignment="1">
      <alignment horizontal="left" vertical="center" wrapText="1" readingOrder="1"/>
    </xf>
    <xf numFmtId="0" fontId="61" fillId="15" borderId="0" xfId="0" applyFont="1" applyFill="1" applyAlignment="1">
      <alignment vertical="center"/>
    </xf>
    <xf numFmtId="0" fontId="61" fillId="15" borderId="0" xfId="0" applyFont="1" applyFill="1" applyAlignment="1">
      <alignment horizontal="left" vertical="center"/>
    </xf>
    <xf numFmtId="0" fontId="41" fillId="15" borderId="0" xfId="0" applyFont="1" applyFill="1" applyAlignment="1">
      <alignment horizontal="left" vertical="center"/>
    </xf>
    <xf numFmtId="0" fontId="67" fillId="0" borderId="0" xfId="0" applyFont="1" applyAlignment="1">
      <alignment horizontal="left" vertical="center" readingOrder="1"/>
    </xf>
    <xf numFmtId="0" fontId="62" fillId="0" borderId="0" xfId="0" applyFont="1" applyAlignment="1">
      <alignment horizontal="left" vertical="center"/>
    </xf>
    <xf numFmtId="170" fontId="67" fillId="0" borderId="0" xfId="0" applyNumberFormat="1" applyFont="1" applyAlignment="1">
      <alignment horizontal="left" vertical="center" readingOrder="1"/>
    </xf>
    <xf numFmtId="0" fontId="65" fillId="0" borderId="13" xfId="0" applyFont="1" applyBorder="1" applyAlignment="1">
      <alignment horizontal="left" vertical="center" readingOrder="1"/>
    </xf>
    <xf numFmtId="0" fontId="69" fillId="0" borderId="13" xfId="0" applyFont="1" applyBorder="1" applyAlignment="1">
      <alignment horizontal="center" vertical="center"/>
    </xf>
    <xf numFmtId="0" fontId="62" fillId="0" borderId="13" xfId="0" applyFont="1" applyBorder="1" applyAlignment="1">
      <alignment vertical="center"/>
    </xf>
    <xf numFmtId="0" fontId="71" fillId="0" borderId="13" xfId="0" applyFont="1" applyBorder="1" applyAlignment="1">
      <alignment horizontal="center" vertical="center" wrapText="1" readingOrder="1"/>
    </xf>
    <xf numFmtId="0" fontId="72" fillId="0" borderId="13" xfId="0" applyFont="1" applyBorder="1" applyAlignment="1">
      <alignment vertical="center"/>
    </xf>
    <xf numFmtId="0" fontId="73" fillId="0" borderId="18" xfId="0" applyFont="1" applyBorder="1" applyAlignment="1">
      <alignment vertical="center" wrapText="1" readingOrder="1"/>
    </xf>
    <xf numFmtId="0" fontId="69" fillId="0" borderId="18" xfId="0" applyFont="1" applyBorder="1" applyAlignment="1">
      <alignment vertical="center"/>
    </xf>
    <xf numFmtId="0" fontId="66" fillId="0" borderId="18" xfId="0" applyFont="1" applyBorder="1" applyAlignment="1">
      <alignment horizontal="center" vertical="center" wrapText="1" readingOrder="1"/>
    </xf>
    <xf numFmtId="0" fontId="44" fillId="0" borderId="17" xfId="0" applyFont="1" applyBorder="1" applyAlignment="1">
      <alignment vertical="center" wrapText="1"/>
    </xf>
    <xf numFmtId="0" fontId="44" fillId="0" borderId="0" xfId="0" applyFont="1" applyAlignment="1">
      <alignment vertical="top" wrapText="1"/>
    </xf>
    <xf numFmtId="0" fontId="0" fillId="6" borderId="9" xfId="0" applyFill="1" applyBorder="1" applyAlignment="1">
      <alignment horizontal="center" vertical="center" wrapText="1"/>
    </xf>
    <xf numFmtId="14" fontId="0" fillId="6" borderId="9" xfId="0" applyNumberFormat="1" applyFill="1" applyBorder="1" applyAlignment="1">
      <alignment horizontal="center" vertical="center" wrapText="1"/>
    </xf>
    <xf numFmtId="9" fontId="0" fillId="6" borderId="9" xfId="1" applyFont="1" applyFill="1" applyBorder="1" applyAlignment="1">
      <alignment horizontal="center" vertical="center" wrapText="1"/>
    </xf>
    <xf numFmtId="9" fontId="41" fillId="0" borderId="0" xfId="1" applyFont="1" applyAlignment="1">
      <alignment horizontal="center" vertical="center"/>
    </xf>
    <xf numFmtId="14" fontId="41" fillId="0" borderId="0" xfId="0" applyNumberFormat="1" applyFont="1" applyAlignment="1">
      <alignment horizontal="center" vertical="center"/>
    </xf>
    <xf numFmtId="0" fontId="0" fillId="0" borderId="0" xfId="0" applyAlignment="1">
      <alignment horizontal="center"/>
    </xf>
    <xf numFmtId="9" fontId="0" fillId="0" borderId="0" xfId="1" applyFont="1" applyAlignment="1">
      <alignment horizontal="center"/>
    </xf>
    <xf numFmtId="0" fontId="49" fillId="2" borderId="0" xfId="0" applyFont="1" applyFill="1" applyAlignment="1">
      <alignment horizontal="center" vertical="center" wrapText="1" readingOrder="1"/>
    </xf>
    <xf numFmtId="9" fontId="49" fillId="2" borderId="0" xfId="1" applyFont="1" applyFill="1" applyAlignment="1">
      <alignment horizontal="center" vertical="center" wrapText="1" readingOrder="1"/>
    </xf>
    <xf numFmtId="14" fontId="49" fillId="2" borderId="0" xfId="0" applyNumberFormat="1" applyFont="1" applyFill="1" applyAlignment="1">
      <alignment horizontal="center" vertical="center" wrapText="1" readingOrder="1"/>
    </xf>
    <xf numFmtId="9" fontId="0" fillId="0" borderId="0" xfId="1" applyFont="1" applyAlignment="1">
      <alignment horizontal="center" vertical="center"/>
    </xf>
    <xf numFmtId="9" fontId="8" fillId="0" borderId="0" xfId="1" applyFont="1" applyAlignment="1">
      <alignment horizontal="center" vertical="center"/>
    </xf>
    <xf numFmtId="14" fontId="0" fillId="16" borderId="9" xfId="0" applyNumberFormat="1" applyFill="1" applyBorder="1" applyAlignment="1">
      <alignment horizontal="center" vertical="center" wrapText="1"/>
    </xf>
    <xf numFmtId="44" fontId="22" fillId="0" borderId="0" xfId="4" applyFont="1" applyAlignment="1">
      <alignment horizontal="center" vertical="center"/>
    </xf>
    <xf numFmtId="44" fontId="21" fillId="0" borderId="0" xfId="4" applyFont="1" applyAlignment="1">
      <alignment horizontal="center" vertical="center"/>
    </xf>
    <xf numFmtId="0" fontId="0" fillId="0" borderId="0" xfId="0" applyAlignment="1">
      <alignment horizontal="left" vertical="center"/>
    </xf>
    <xf numFmtId="0" fontId="20" fillId="13" borderId="0" xfId="0" applyFont="1" applyFill="1" applyAlignment="1">
      <alignment horizontal="center" vertical="center"/>
    </xf>
    <xf numFmtId="0" fontId="20" fillId="10" borderId="0" xfId="0" applyFont="1" applyFill="1" applyAlignment="1">
      <alignment horizontal="center" vertical="center"/>
    </xf>
    <xf numFmtId="0" fontId="20" fillId="12" borderId="0" xfId="0" applyFont="1" applyFill="1" applyAlignment="1">
      <alignment horizontal="center" vertical="center"/>
    </xf>
    <xf numFmtId="44" fontId="25" fillId="0" borderId="1" xfId="4" applyFont="1" applyFill="1" applyBorder="1" applyAlignment="1">
      <alignment horizontal="right" vertical="center"/>
    </xf>
    <xf numFmtId="44" fontId="21" fillId="0" borderId="1" xfId="4" applyFont="1" applyFill="1" applyBorder="1" applyAlignment="1">
      <alignment horizontal="right" vertical="center"/>
    </xf>
    <xf numFmtId="44" fontId="22" fillId="0" borderId="1" xfId="4" applyFont="1" applyFill="1" applyBorder="1" applyAlignment="1">
      <alignment horizontal="right" vertical="center"/>
    </xf>
    <xf numFmtId="0" fontId="22" fillId="0" borderId="2" xfId="0" applyFont="1" applyBorder="1" applyAlignment="1">
      <alignment horizontal="center" vertical="center"/>
    </xf>
    <xf numFmtId="0" fontId="23" fillId="2" borderId="27"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39" fillId="2" borderId="11" xfId="0" applyFont="1" applyFill="1" applyBorder="1" applyAlignment="1">
      <alignment horizontal="center" vertical="center" wrapText="1"/>
    </xf>
    <xf numFmtId="0" fontId="23" fillId="8" borderId="11" xfId="0" applyFont="1" applyFill="1" applyBorder="1" applyAlignment="1">
      <alignment horizontal="center" vertical="center" wrapText="1"/>
    </xf>
    <xf numFmtId="44" fontId="23" fillId="4" borderId="11" xfId="4" applyFont="1" applyFill="1" applyBorder="1" applyAlignment="1">
      <alignment horizontal="center" vertical="center" wrapText="1"/>
    </xf>
    <xf numFmtId="10" fontId="23" fillId="2" borderId="11" xfId="1" applyNumberFormat="1" applyFont="1" applyFill="1" applyBorder="1" applyAlignment="1">
      <alignment horizontal="center" vertical="center" wrapText="1"/>
    </xf>
    <xf numFmtId="169" fontId="23" fillId="2" borderId="11" xfId="1" applyNumberFormat="1" applyFont="1" applyFill="1" applyBorder="1" applyAlignment="1">
      <alignment horizontal="center" vertical="center" wrapText="1"/>
    </xf>
    <xf numFmtId="9" fontId="23" fillId="2" borderId="11" xfId="1" applyFont="1" applyFill="1" applyBorder="1" applyAlignment="1">
      <alignment horizontal="center" vertical="center" wrapText="1"/>
    </xf>
    <xf numFmtId="169" fontId="23" fillId="2" borderId="11" xfId="0" applyNumberFormat="1" applyFont="1" applyFill="1" applyBorder="1" applyAlignment="1">
      <alignment horizontal="center" vertical="center" wrapText="1"/>
    </xf>
    <xf numFmtId="44" fontId="23" fillId="2" borderId="11" xfId="4" applyFont="1" applyFill="1" applyBorder="1" applyAlignment="1">
      <alignment horizontal="center" vertical="center" wrapText="1"/>
    </xf>
    <xf numFmtId="0" fontId="23" fillId="2" borderId="28" xfId="0" applyFont="1" applyFill="1" applyBorder="1" applyAlignment="1">
      <alignment horizontal="center" vertical="center" wrapText="1"/>
    </xf>
    <xf numFmtId="0" fontId="20" fillId="0" borderId="30" xfId="0" applyFont="1" applyBorder="1"/>
    <xf numFmtId="0" fontId="20" fillId="0" borderId="31" xfId="0" applyFont="1" applyBorder="1"/>
    <xf numFmtId="0" fontId="20" fillId="0" borderId="32" xfId="0" applyFont="1" applyBorder="1"/>
    <xf numFmtId="0" fontId="20" fillId="0" borderId="33" xfId="0" applyFont="1" applyBorder="1" applyAlignment="1">
      <alignment horizontal="center" vertical="center"/>
    </xf>
    <xf numFmtId="0" fontId="20" fillId="0" borderId="34" xfId="0" applyFont="1" applyBorder="1" applyAlignment="1">
      <alignment horizontal="center" vertical="center"/>
    </xf>
    <xf numFmtId="0" fontId="20" fillId="0" borderId="35" xfId="0" applyFont="1" applyBorder="1" applyAlignment="1">
      <alignment horizontal="center" vertical="center"/>
    </xf>
    <xf numFmtId="0" fontId="20" fillId="0" borderId="36" xfId="0" applyFont="1" applyBorder="1" applyAlignment="1">
      <alignment horizontal="center" vertical="center"/>
    </xf>
    <xf numFmtId="0" fontId="20" fillId="0" borderId="37" xfId="0" applyFont="1" applyBorder="1" applyAlignment="1">
      <alignment horizontal="center" vertical="center"/>
    </xf>
    <xf numFmtId="0" fontId="20" fillId="0" borderId="38" xfId="0" applyFont="1" applyBorder="1" applyAlignment="1">
      <alignment horizontal="center" vertical="center"/>
    </xf>
    <xf numFmtId="0" fontId="13" fillId="7" borderId="0" xfId="0" applyFont="1" applyFill="1" applyAlignment="1">
      <alignment wrapText="1"/>
    </xf>
    <xf numFmtId="0" fontId="74" fillId="0" borderId="0" xfId="9"/>
    <xf numFmtId="0" fontId="23" fillId="2" borderId="39" xfId="0" applyFont="1" applyFill="1" applyBorder="1" applyAlignment="1">
      <alignment horizontal="center" vertical="center" wrapText="1"/>
    </xf>
    <xf numFmtId="0" fontId="23" fillId="2" borderId="40" xfId="0" applyFont="1" applyFill="1" applyBorder="1" applyAlignment="1">
      <alignment horizontal="center" vertical="center" wrapText="1"/>
    </xf>
    <xf numFmtId="0" fontId="39" fillId="2" borderId="40" xfId="0" applyFont="1" applyFill="1" applyBorder="1" applyAlignment="1">
      <alignment horizontal="center" vertical="center" wrapText="1"/>
    </xf>
    <xf numFmtId="10" fontId="23" fillId="2" borderId="40" xfId="1" applyNumberFormat="1" applyFont="1" applyFill="1" applyBorder="1" applyAlignment="1">
      <alignment horizontal="center" vertical="center" wrapText="1"/>
    </xf>
    <xf numFmtId="169" fontId="23" fillId="2" borderId="40" xfId="1" applyNumberFormat="1" applyFont="1" applyFill="1" applyBorder="1" applyAlignment="1">
      <alignment horizontal="center" vertical="center" wrapText="1"/>
    </xf>
    <xf numFmtId="9" fontId="23" fillId="2" borderId="40" xfId="1" applyFont="1" applyFill="1" applyBorder="1" applyAlignment="1">
      <alignment horizontal="center" vertical="center" wrapText="1"/>
    </xf>
    <xf numFmtId="169" fontId="23" fillId="2" borderId="40" xfId="0" applyNumberFormat="1" applyFont="1" applyFill="1" applyBorder="1" applyAlignment="1">
      <alignment horizontal="center" vertical="center" wrapText="1"/>
    </xf>
    <xf numFmtId="44" fontId="23" fillId="2" borderId="40" xfId="4" applyFont="1" applyFill="1" applyBorder="1" applyAlignment="1">
      <alignment horizontal="center" vertical="center" wrapText="1"/>
    </xf>
    <xf numFmtId="0" fontId="23" fillId="2" borderId="41" xfId="0" applyFont="1" applyFill="1" applyBorder="1" applyAlignment="1">
      <alignment horizontal="center" vertical="center" wrapText="1"/>
    </xf>
    <xf numFmtId="0" fontId="22" fillId="0" borderId="42" xfId="0" applyFont="1" applyBorder="1" applyAlignment="1">
      <alignment horizontal="center" vertical="center"/>
    </xf>
    <xf numFmtId="0" fontId="22" fillId="0" borderId="29" xfId="0" applyFont="1" applyBorder="1" applyAlignment="1">
      <alignment horizontal="center" vertical="center"/>
    </xf>
    <xf numFmtId="0" fontId="22" fillId="0" borderId="29" xfId="0" applyFont="1" applyBorder="1" applyAlignment="1">
      <alignment horizontal="left" vertical="center"/>
    </xf>
    <xf numFmtId="9" fontId="22" fillId="0" borderId="29" xfId="1" applyFont="1" applyFill="1" applyBorder="1" applyAlignment="1">
      <alignment horizontal="center" vertical="center"/>
    </xf>
    <xf numFmtId="44" fontId="25" fillId="0" borderId="29" xfId="4" applyFont="1" applyFill="1" applyBorder="1" applyAlignment="1">
      <alignment horizontal="right" vertical="center"/>
    </xf>
    <xf numFmtId="10" fontId="22" fillId="0" borderId="29" xfId="1" applyNumberFormat="1" applyFont="1" applyFill="1" applyBorder="1" applyAlignment="1">
      <alignment horizontal="center" vertical="center"/>
    </xf>
    <xf numFmtId="169" fontId="22" fillId="0" borderId="29" xfId="1" applyNumberFormat="1" applyFont="1" applyFill="1" applyBorder="1" applyAlignment="1">
      <alignment horizontal="center" vertical="center"/>
    </xf>
    <xf numFmtId="169" fontId="21" fillId="0" borderId="29" xfId="1" applyNumberFormat="1" applyFont="1" applyFill="1" applyBorder="1" applyAlignment="1">
      <alignment horizontal="center" vertical="center"/>
    </xf>
    <xf numFmtId="10" fontId="33" fillId="0" borderId="29" xfId="1" applyNumberFormat="1" applyFont="1" applyFill="1" applyBorder="1" applyAlignment="1">
      <alignment horizontal="center" vertical="center"/>
    </xf>
    <xf numFmtId="169" fontId="25" fillId="0" borderId="29" xfId="1" applyNumberFormat="1" applyFont="1" applyFill="1" applyBorder="1" applyAlignment="1">
      <alignment horizontal="center" vertical="center"/>
    </xf>
    <xf numFmtId="9" fontId="21" fillId="0" borderId="29" xfId="1" applyFont="1" applyFill="1" applyBorder="1" applyAlignment="1">
      <alignment horizontal="center" vertical="center"/>
    </xf>
    <xf numFmtId="44" fontId="21" fillId="0" borderId="29" xfId="4" applyFont="1" applyFill="1" applyBorder="1" applyAlignment="1">
      <alignment horizontal="right" vertical="center"/>
    </xf>
    <xf numFmtId="44" fontId="22" fillId="0" borderId="29" xfId="4" applyFont="1" applyFill="1" applyBorder="1" applyAlignment="1">
      <alignment horizontal="right" vertical="center"/>
    </xf>
    <xf numFmtId="0" fontId="22" fillId="0" borderId="43" xfId="0" applyFont="1" applyBorder="1" applyAlignment="1">
      <alignment horizontal="center" vertical="center"/>
    </xf>
    <xf numFmtId="0" fontId="23" fillId="17" borderId="11" xfId="0" applyFont="1" applyFill="1" applyBorder="1" applyAlignment="1">
      <alignment horizontal="center" vertical="center" wrapText="1"/>
    </xf>
    <xf numFmtId="0" fontId="20" fillId="0" borderId="0" xfId="0" applyFont="1" applyAlignment="1">
      <alignment wrapText="1"/>
    </xf>
    <xf numFmtId="0" fontId="75" fillId="11" borderId="0" xfId="0" applyFont="1" applyFill="1"/>
    <xf numFmtId="0" fontId="20" fillId="11" borderId="0" xfId="0" applyFont="1" applyFill="1"/>
    <xf numFmtId="0" fontId="12" fillId="0" borderId="0" xfId="0" applyFont="1" applyAlignment="1">
      <alignment horizontal="center" vertical="center" wrapText="1"/>
    </xf>
    <xf numFmtId="0" fontId="8" fillId="18" borderId="0" xfId="0" applyFont="1" applyFill="1" applyAlignment="1">
      <alignment horizontal="center" vertical="center" wrapText="1"/>
    </xf>
    <xf numFmtId="0" fontId="76" fillId="0" borderId="0" xfId="0" pivotButton="1" applyFont="1"/>
    <xf numFmtId="0" fontId="76" fillId="0" borderId="0" xfId="0" applyFont="1" applyAlignment="1">
      <alignment horizontal="left"/>
    </xf>
    <xf numFmtId="0" fontId="76" fillId="0" borderId="0" xfId="0" applyFont="1" applyAlignment="1">
      <alignment horizontal="left" indent="1"/>
    </xf>
    <xf numFmtId="0" fontId="76" fillId="0" borderId="0" xfId="0" applyFont="1" applyAlignment="1">
      <alignment horizontal="left" indent="2"/>
    </xf>
    <xf numFmtId="0" fontId="76" fillId="0" borderId="0" xfId="0" applyFont="1"/>
    <xf numFmtId="0" fontId="75" fillId="18" borderId="0" xfId="0" applyFont="1" applyFill="1" applyAlignment="1">
      <alignment wrapText="1"/>
    </xf>
    <xf numFmtId="0" fontId="23" fillId="19" borderId="40" xfId="0" applyFont="1" applyFill="1" applyBorder="1" applyAlignment="1">
      <alignment horizontal="center" vertical="center" wrapText="1"/>
    </xf>
    <xf numFmtId="169" fontId="23" fillId="19" borderId="40" xfId="1" applyNumberFormat="1" applyFont="1" applyFill="1" applyBorder="1" applyAlignment="1">
      <alignment horizontal="center" vertical="center" wrapText="1"/>
    </xf>
    <xf numFmtId="44" fontId="23" fillId="19" borderId="40" xfId="4" applyFont="1" applyFill="1" applyBorder="1" applyAlignment="1">
      <alignment horizontal="center" vertical="center" wrapText="1"/>
    </xf>
    <xf numFmtId="14" fontId="0" fillId="14" borderId="0" xfId="0" applyNumberFormat="1" applyFill="1" applyAlignment="1">
      <alignment horizontal="center" vertical="center"/>
    </xf>
    <xf numFmtId="14" fontId="0" fillId="0" borderId="0" xfId="0" applyNumberFormat="1" applyAlignment="1">
      <alignment horizontal="center" vertical="center"/>
    </xf>
    <xf numFmtId="0" fontId="74" fillId="0" borderId="0" xfId="10" applyAlignment="1">
      <alignment horizontal="center" vertical="center"/>
    </xf>
    <xf numFmtId="0" fontId="23" fillId="17" borderId="1" xfId="0" applyFont="1" applyFill="1" applyBorder="1" applyAlignment="1">
      <alignment horizontal="center" vertical="center" wrapText="1"/>
    </xf>
    <xf numFmtId="44" fontId="6" fillId="0" borderId="0" xfId="4" applyFont="1"/>
    <xf numFmtId="0" fontId="79" fillId="0" borderId="0" xfId="0" applyFont="1"/>
    <xf numFmtId="172" fontId="79" fillId="0" borderId="0" xfId="0" applyNumberFormat="1" applyFont="1"/>
    <xf numFmtId="0" fontId="81" fillId="0" borderId="0" xfId="0" applyFont="1"/>
    <xf numFmtId="14" fontId="79" fillId="0" borderId="0" xfId="0" applyNumberFormat="1" applyFont="1" applyAlignment="1">
      <alignment horizontal="center" vertical="center"/>
    </xf>
    <xf numFmtId="0" fontId="83" fillId="0" borderId="0" xfId="0" applyFont="1"/>
    <xf numFmtId="0" fontId="79" fillId="0" borderId="0" xfId="0" applyFont="1" applyAlignment="1">
      <alignment horizontal="left" wrapText="1"/>
    </xf>
    <xf numFmtId="0" fontId="79" fillId="0" borderId="0" xfId="0" applyFont="1" applyAlignment="1">
      <alignment horizontal="left" vertical="center"/>
    </xf>
    <xf numFmtId="0" fontId="23" fillId="2" borderId="44" xfId="0" applyFont="1" applyFill="1" applyBorder="1" applyAlignment="1">
      <alignment horizontal="center" vertical="center" wrapText="1"/>
    </xf>
    <xf numFmtId="0" fontId="80" fillId="2" borderId="44" xfId="0" applyFont="1" applyFill="1" applyBorder="1" applyAlignment="1">
      <alignment horizontal="center" vertical="center" wrapText="1"/>
    </xf>
    <xf numFmtId="14" fontId="23" fillId="2" borderId="44" xfId="1" applyNumberFormat="1" applyFont="1" applyFill="1" applyBorder="1" applyAlignment="1">
      <alignment horizontal="center" vertical="center" wrapText="1"/>
    </xf>
    <xf numFmtId="0" fontId="83" fillId="0" borderId="44" xfId="0" applyFont="1" applyBorder="1" applyAlignment="1">
      <alignment horizontal="center" vertical="center"/>
    </xf>
    <xf numFmtId="0" fontId="83" fillId="0" borderId="44" xfId="0" applyFont="1" applyBorder="1" applyAlignment="1">
      <alignment horizontal="left" vertical="center"/>
    </xf>
    <xf numFmtId="14" fontId="83" fillId="0" borderId="44" xfId="0" applyNumberFormat="1" applyFont="1" applyBorder="1" applyAlignment="1">
      <alignment horizontal="center" vertical="center"/>
    </xf>
    <xf numFmtId="14" fontId="83" fillId="0" borderId="44" xfId="0" applyNumberFormat="1" applyFont="1" applyBorder="1" applyAlignment="1">
      <alignment horizontal="left" vertical="center" wrapText="1"/>
    </xf>
    <xf numFmtId="14" fontId="84" fillId="0" borderId="44" xfId="0" applyNumberFormat="1" applyFont="1" applyBorder="1" applyAlignment="1">
      <alignment horizontal="center" vertical="center"/>
    </xf>
    <xf numFmtId="14" fontId="85" fillId="20" borderId="44" xfId="0" applyNumberFormat="1" applyFont="1" applyFill="1" applyBorder="1" applyAlignment="1">
      <alignment horizontal="center" vertical="center"/>
    </xf>
    <xf numFmtId="14" fontId="86" fillId="18" borderId="44" xfId="0" applyNumberFormat="1" applyFont="1" applyFill="1" applyBorder="1" applyAlignment="1">
      <alignment horizontal="center" vertical="center"/>
    </xf>
    <xf numFmtId="14" fontId="84" fillId="0" borderId="44" xfId="0" applyNumberFormat="1" applyFont="1" applyBorder="1" applyAlignment="1">
      <alignment horizontal="center" vertical="center" wrapText="1"/>
    </xf>
    <xf numFmtId="169" fontId="21" fillId="14" borderId="29" xfId="1" applyNumberFormat="1" applyFont="1" applyFill="1" applyBorder="1" applyAlignment="1">
      <alignment horizontal="center" vertical="center"/>
    </xf>
    <xf numFmtId="10" fontId="22" fillId="14" borderId="29" xfId="1" applyNumberFormat="1" applyFont="1" applyFill="1" applyBorder="1" applyAlignment="1">
      <alignment horizontal="center" vertical="center"/>
    </xf>
    <xf numFmtId="0" fontId="23" fillId="2" borderId="40" xfId="0" applyFont="1" applyFill="1" applyBorder="1" applyAlignment="1">
      <alignment horizontal="center" vertical="center"/>
    </xf>
    <xf numFmtId="0" fontId="21" fillId="21" borderId="0" xfId="0" applyFont="1" applyFill="1" applyAlignment="1">
      <alignment horizontal="center" vertical="center"/>
    </xf>
    <xf numFmtId="0" fontId="22" fillId="21" borderId="0" xfId="0" applyFont="1" applyFill="1" applyAlignment="1">
      <alignment horizontal="center" vertical="center"/>
    </xf>
    <xf numFmtId="0" fontId="22" fillId="0" borderId="1" xfId="0" applyFont="1" applyBorder="1" applyAlignment="1" applyProtection="1">
      <alignment horizontal="center" vertical="center"/>
      <protection locked="0"/>
    </xf>
    <xf numFmtId="0" fontId="21" fillId="0" borderId="1" xfId="0" applyFont="1" applyBorder="1" applyAlignment="1">
      <alignment horizontal="center" vertical="center"/>
    </xf>
    <xf numFmtId="0" fontId="22" fillId="0" borderId="1" xfId="0" applyFont="1" applyBorder="1" applyAlignment="1" applyProtection="1">
      <alignment vertical="center"/>
      <protection locked="0"/>
    </xf>
    <xf numFmtId="171" fontId="22" fillId="0" borderId="1" xfId="0" applyNumberFormat="1" applyFont="1" applyBorder="1" applyAlignment="1">
      <alignment horizontal="center" vertical="center"/>
    </xf>
    <xf numFmtId="9" fontId="22" fillId="14" borderId="1" xfId="1" applyFont="1" applyFill="1" applyBorder="1" applyAlignment="1">
      <alignment horizontal="center" vertical="center"/>
    </xf>
    <xf numFmtId="9" fontId="22" fillId="0" borderId="1" xfId="1" applyFont="1" applyFill="1" applyBorder="1" applyAlignment="1" applyProtection="1">
      <alignment horizontal="center" vertical="center"/>
      <protection locked="0"/>
    </xf>
    <xf numFmtId="169" fontId="22" fillId="0" borderId="1" xfId="1" applyNumberFormat="1" applyFont="1" applyFill="1" applyBorder="1" applyAlignment="1" applyProtection="1">
      <alignment horizontal="center" vertical="center"/>
      <protection locked="0"/>
    </xf>
    <xf numFmtId="165" fontId="22" fillId="0" borderId="1" xfId="1" applyNumberFormat="1" applyFont="1" applyFill="1" applyBorder="1" applyAlignment="1" applyProtection="1">
      <alignment horizontal="center" vertical="center"/>
      <protection locked="0"/>
    </xf>
    <xf numFmtId="9" fontId="21" fillId="0" borderId="1" xfId="1" applyFont="1" applyFill="1" applyBorder="1" applyAlignment="1" applyProtection="1">
      <alignment horizontal="center" vertical="center"/>
      <protection locked="0"/>
    </xf>
    <xf numFmtId="44" fontId="21" fillId="0" borderId="1" xfId="4" applyFont="1" applyFill="1" applyBorder="1" applyAlignment="1" applyProtection="1">
      <alignment horizontal="center" vertical="center"/>
      <protection locked="0"/>
    </xf>
    <xf numFmtId="44" fontId="21" fillId="0" borderId="45" xfId="4" applyFont="1" applyFill="1" applyBorder="1" applyAlignment="1" applyProtection="1">
      <alignment horizontal="center" vertical="center"/>
      <protection locked="0"/>
    </xf>
    <xf numFmtId="44" fontId="21" fillId="0" borderId="46" xfId="4"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22" fillId="0" borderId="47" xfId="0" applyFont="1" applyBorder="1" applyAlignment="1">
      <alignment horizontal="center" vertical="center"/>
    </xf>
    <xf numFmtId="0" fontId="22" fillId="0" borderId="45" xfId="0" applyFont="1" applyBorder="1" applyAlignment="1" applyProtection="1">
      <alignment horizontal="center" vertical="center"/>
      <protection locked="0"/>
    </xf>
    <xf numFmtId="0" fontId="21" fillId="0" borderId="45" xfId="0" applyFont="1" applyBorder="1" applyAlignment="1">
      <alignment horizontal="center" vertical="center"/>
    </xf>
    <xf numFmtId="0" fontId="22" fillId="0" borderId="45" xfId="0" applyFont="1" applyBorder="1" applyAlignment="1">
      <alignment horizontal="center" vertical="center"/>
    </xf>
    <xf numFmtId="0" fontId="22" fillId="0" borderId="45" xfId="0" applyFont="1" applyBorder="1" applyAlignment="1" applyProtection="1">
      <alignment vertical="center"/>
      <protection locked="0"/>
    </xf>
    <xf numFmtId="171" fontId="22" fillId="0" borderId="45" xfId="0" applyNumberFormat="1" applyFont="1" applyBorder="1" applyAlignment="1">
      <alignment horizontal="center" vertical="center"/>
    </xf>
    <xf numFmtId="9" fontId="22" fillId="14" borderId="45" xfId="1" applyFont="1" applyFill="1" applyBorder="1" applyAlignment="1">
      <alignment horizontal="center" vertical="center"/>
    </xf>
    <xf numFmtId="44" fontId="22" fillId="0" borderId="45" xfId="4" applyFont="1" applyFill="1" applyBorder="1" applyAlignment="1">
      <alignment horizontal="right" vertical="center"/>
    </xf>
    <xf numFmtId="9" fontId="22" fillId="0" borderId="45" xfId="1" applyFont="1" applyFill="1" applyBorder="1" applyAlignment="1" applyProtection="1">
      <alignment horizontal="center" vertical="center"/>
      <protection locked="0"/>
    </xf>
    <xf numFmtId="10" fontId="22" fillId="0" borderId="45" xfId="1" applyNumberFormat="1" applyFont="1" applyFill="1" applyBorder="1" applyAlignment="1">
      <alignment horizontal="center" vertical="center"/>
    </xf>
    <xf numFmtId="9" fontId="22" fillId="0" borderId="45" xfId="1" applyFont="1" applyFill="1" applyBorder="1" applyAlignment="1">
      <alignment horizontal="center" vertical="center"/>
    </xf>
    <xf numFmtId="169" fontId="22" fillId="0" borderId="45" xfId="1" applyNumberFormat="1" applyFont="1" applyFill="1" applyBorder="1" applyAlignment="1" applyProtection="1">
      <alignment horizontal="center" vertical="center"/>
      <protection locked="0"/>
    </xf>
    <xf numFmtId="165" fontId="22" fillId="0" borderId="45" xfId="1" applyNumberFormat="1" applyFont="1" applyFill="1" applyBorder="1" applyAlignment="1" applyProtection="1">
      <alignment horizontal="center" vertical="center"/>
      <protection locked="0"/>
    </xf>
    <xf numFmtId="9" fontId="21" fillId="0" borderId="45" xfId="1" applyFont="1" applyFill="1" applyBorder="1" applyAlignment="1" applyProtection="1">
      <alignment horizontal="center" vertical="center"/>
      <protection locked="0"/>
    </xf>
    <xf numFmtId="0" fontId="22" fillId="0" borderId="29" xfId="0" applyFont="1" applyBorder="1" applyAlignment="1" applyProtection="1">
      <alignment horizontal="center" vertical="center"/>
      <protection locked="0"/>
    </xf>
    <xf numFmtId="0" fontId="33" fillId="0" borderId="0" xfId="0" applyFont="1" applyAlignment="1">
      <alignment horizontal="center" vertical="center"/>
    </xf>
    <xf numFmtId="9" fontId="33" fillId="0" borderId="45" xfId="1" applyFont="1" applyBorder="1" applyAlignment="1" applyProtection="1">
      <alignment horizontal="center" vertical="center"/>
      <protection locked="0"/>
    </xf>
    <xf numFmtId="3" fontId="22" fillId="0" borderId="29" xfId="0" applyNumberFormat="1" applyFont="1" applyBorder="1" applyAlignment="1">
      <alignment horizontal="center" vertical="center"/>
    </xf>
    <xf numFmtId="44" fontId="22" fillId="0" borderId="29" xfId="4" quotePrefix="1" applyFont="1" applyFill="1" applyBorder="1" applyAlignment="1">
      <alignment horizontal="right" vertical="center"/>
    </xf>
    <xf numFmtId="13" fontId="22" fillId="0" borderId="29" xfId="4" quotePrefix="1" applyNumberFormat="1" applyFont="1" applyFill="1" applyBorder="1" applyAlignment="1">
      <alignment horizontal="right" vertical="center"/>
    </xf>
    <xf numFmtId="0" fontId="21" fillId="0" borderId="29" xfId="0" applyFont="1" applyBorder="1" applyAlignment="1">
      <alignment horizontal="center" vertical="center"/>
    </xf>
    <xf numFmtId="10" fontId="22" fillId="0" borderId="29" xfId="0" applyNumberFormat="1" applyFont="1" applyBorder="1" applyAlignment="1" applyProtection="1">
      <alignment horizontal="center" vertical="center"/>
      <protection locked="0"/>
    </xf>
    <xf numFmtId="0" fontId="21" fillId="0" borderId="43" xfId="0" applyFont="1" applyBorder="1" applyAlignment="1">
      <alignment horizontal="center" vertical="center"/>
    </xf>
    <xf numFmtId="169" fontId="21" fillId="13" borderId="29" xfId="1" applyNumberFormat="1" applyFont="1" applyFill="1" applyBorder="1" applyAlignment="1">
      <alignment horizontal="center" vertical="center"/>
    </xf>
    <xf numFmtId="169" fontId="21" fillId="17" borderId="29" xfId="1" applyNumberFormat="1" applyFont="1" applyFill="1" applyBorder="1" applyAlignment="1">
      <alignment horizontal="center" vertical="center"/>
    </xf>
    <xf numFmtId="0" fontId="21" fillId="0" borderId="29" xfId="0" applyFont="1" applyBorder="1" applyAlignment="1">
      <alignment horizontal="left" vertical="center"/>
    </xf>
    <xf numFmtId="10" fontId="21" fillId="0" borderId="29" xfId="0" applyNumberFormat="1" applyFont="1" applyBorder="1" applyAlignment="1" applyProtection="1">
      <alignment horizontal="center" vertical="center"/>
      <protection locked="0"/>
    </xf>
    <xf numFmtId="10" fontId="22" fillId="22" borderId="29" xfId="1" applyNumberFormat="1" applyFont="1" applyFill="1" applyBorder="1" applyAlignment="1">
      <alignment horizontal="center" vertical="center"/>
    </xf>
    <xf numFmtId="9" fontId="22" fillId="22" borderId="29" xfId="1" applyFont="1" applyFill="1" applyBorder="1" applyAlignment="1">
      <alignment horizontal="center" vertical="center"/>
    </xf>
    <xf numFmtId="0" fontId="21" fillId="21" borderId="29" xfId="0" applyFont="1" applyFill="1" applyBorder="1" applyAlignment="1">
      <alignment horizontal="center" vertical="center"/>
    </xf>
    <xf numFmtId="169" fontId="33" fillId="0" borderId="29" xfId="1" applyNumberFormat="1" applyFont="1" applyFill="1" applyBorder="1" applyAlignment="1">
      <alignment horizontal="center" vertical="center"/>
    </xf>
    <xf numFmtId="169" fontId="87" fillId="0" borderId="29" xfId="1" applyNumberFormat="1" applyFont="1" applyFill="1" applyBorder="1" applyAlignment="1">
      <alignment horizontal="center" vertical="center"/>
    </xf>
    <xf numFmtId="169" fontId="88" fillId="0" borderId="29" xfId="1" applyNumberFormat="1" applyFont="1" applyFill="1" applyBorder="1" applyAlignment="1">
      <alignment horizontal="center" vertical="center"/>
    </xf>
    <xf numFmtId="0" fontId="76" fillId="0" borderId="29" xfId="0" applyFont="1" applyBorder="1" applyAlignment="1">
      <alignment horizontal="center" vertical="center"/>
    </xf>
    <xf numFmtId="173" fontId="21" fillId="0" borderId="29" xfId="0" applyNumberFormat="1" applyFont="1" applyBorder="1" applyAlignment="1">
      <alignment horizontal="center" vertical="center"/>
    </xf>
    <xf numFmtId="44" fontId="21" fillId="0" borderId="29" xfId="4" applyFont="1" applyFill="1" applyBorder="1" applyAlignment="1">
      <alignment horizontal="center" vertical="center"/>
    </xf>
    <xf numFmtId="174" fontId="21" fillId="0" borderId="29" xfId="0" applyNumberFormat="1" applyFont="1" applyBorder="1" applyAlignment="1">
      <alignment horizontal="center" vertical="center"/>
    </xf>
    <xf numFmtId="174" fontId="22" fillId="0" borderId="29" xfId="0" applyNumberFormat="1" applyFont="1" applyBorder="1" applyAlignment="1">
      <alignment horizontal="center" vertical="center"/>
    </xf>
    <xf numFmtId="44" fontId="25" fillId="0" borderId="29" xfId="4" applyFont="1" applyFill="1" applyBorder="1" applyAlignment="1">
      <alignment horizontal="center" vertical="center"/>
    </xf>
    <xf numFmtId="165" fontId="22" fillId="0" borderId="29" xfId="1" applyNumberFormat="1" applyFont="1" applyFill="1" applyBorder="1" applyAlignment="1">
      <alignment horizontal="center" vertical="center"/>
    </xf>
    <xf numFmtId="14" fontId="21" fillId="0" borderId="29" xfId="0" applyNumberFormat="1" applyFont="1" applyBorder="1" applyAlignment="1">
      <alignment horizontal="center" vertical="center"/>
    </xf>
    <xf numFmtId="14" fontId="22" fillId="0" borderId="29" xfId="1" applyNumberFormat="1" applyFont="1" applyFill="1" applyBorder="1" applyAlignment="1">
      <alignment horizontal="center" vertical="center"/>
    </xf>
    <xf numFmtId="10" fontId="22" fillId="0" borderId="29" xfId="0" applyNumberFormat="1" applyFont="1" applyBorder="1" applyAlignment="1">
      <alignment horizontal="center" vertical="center"/>
    </xf>
    <xf numFmtId="165" fontId="21" fillId="0" borderId="29" xfId="1" applyNumberFormat="1" applyFont="1" applyFill="1" applyBorder="1" applyAlignment="1">
      <alignment horizontal="center" vertical="center"/>
    </xf>
    <xf numFmtId="44" fontId="22" fillId="0" borderId="29" xfId="4" applyFont="1" applyFill="1" applyBorder="1" applyAlignment="1">
      <alignment horizontal="center" vertical="center"/>
    </xf>
    <xf numFmtId="0" fontId="22" fillId="0" borderId="7" xfId="0" applyFont="1" applyBorder="1" applyAlignment="1">
      <alignment vertical="center"/>
    </xf>
    <xf numFmtId="165" fontId="22" fillId="0" borderId="7" xfId="1" applyNumberFormat="1" applyFont="1" applyFill="1" applyBorder="1" applyAlignment="1">
      <alignment horizontal="center" vertical="center"/>
    </xf>
    <xf numFmtId="169" fontId="21" fillId="23" borderId="29" xfId="1" applyNumberFormat="1" applyFont="1" applyFill="1" applyBorder="1" applyAlignment="1">
      <alignment horizontal="center" vertical="center"/>
    </xf>
    <xf numFmtId="10" fontId="22" fillId="0" borderId="29" xfId="1" applyNumberFormat="1" applyFont="1" applyBorder="1" applyAlignment="1">
      <alignment horizontal="center" vertical="center"/>
    </xf>
    <xf numFmtId="44" fontId="33" fillId="0" borderId="29" xfId="4" applyFont="1" applyBorder="1" applyAlignment="1">
      <alignment horizontal="right" vertical="center"/>
    </xf>
    <xf numFmtId="44" fontId="89" fillId="0" borderId="29" xfId="4" applyFont="1" applyBorder="1" applyAlignment="1">
      <alignment horizontal="center" vertical="center"/>
    </xf>
    <xf numFmtId="44" fontId="87" fillId="0" borderId="29" xfId="4" applyFont="1" applyBorder="1" applyAlignment="1">
      <alignment horizontal="center" vertical="center"/>
    </xf>
    <xf numFmtId="9" fontId="10" fillId="5" borderId="1" xfId="1" applyFont="1" applyFill="1" applyBorder="1" applyAlignment="1">
      <alignment horizontal="center" vertical="center"/>
    </xf>
    <xf numFmtId="0" fontId="44" fillId="0" borderId="26" xfId="0" applyFont="1" applyBorder="1" applyAlignment="1">
      <alignment vertical="top" wrapText="1"/>
    </xf>
    <xf numFmtId="0" fontId="44" fillId="0" borderId="17" xfId="0" applyFont="1" applyBorder="1" applyAlignment="1">
      <alignment vertical="top" wrapText="1"/>
    </xf>
    <xf numFmtId="0" fontId="44" fillId="0" borderId="18" xfId="0" applyFont="1" applyBorder="1" applyAlignment="1">
      <alignment vertical="top" wrapText="1"/>
    </xf>
    <xf numFmtId="0" fontId="44" fillId="0" borderId="13" xfId="0" applyFont="1" applyBorder="1" applyAlignment="1">
      <alignment vertical="top" wrapText="1"/>
    </xf>
    <xf numFmtId="0" fontId="44" fillId="0" borderId="24" xfId="0" applyFont="1" applyBorder="1" applyAlignment="1">
      <alignment vertical="top" wrapText="1"/>
    </xf>
    <xf numFmtId="0" fontId="44" fillId="0" borderId="25" xfId="0" applyFont="1" applyBorder="1" applyAlignment="1">
      <alignment vertical="top" wrapText="1"/>
    </xf>
    <xf numFmtId="0" fontId="53" fillId="0" borderId="13" xfId="0" applyFont="1" applyBorder="1" applyAlignment="1">
      <alignment horizontal="left" vertical="center" wrapText="1" readingOrder="1"/>
    </xf>
    <xf numFmtId="0" fontId="64" fillId="0" borderId="13" xfId="0" applyFont="1" applyBorder="1" applyAlignment="1">
      <alignment horizontal="center" vertical="center"/>
    </xf>
    <xf numFmtId="0" fontId="43" fillId="0" borderId="13" xfId="0" applyFont="1" applyBorder="1" applyAlignment="1">
      <alignment horizontal="center" vertical="center"/>
    </xf>
    <xf numFmtId="0" fontId="70" fillId="0" borderId="13" xfId="0" applyFont="1" applyBorder="1" applyAlignment="1">
      <alignment horizontal="center" vertical="center" wrapText="1" readingOrder="1"/>
    </xf>
    <xf numFmtId="0" fontId="69" fillId="0" borderId="15" xfId="0" applyFont="1" applyBorder="1" applyAlignment="1">
      <alignment horizontal="center" vertical="center"/>
    </xf>
    <xf numFmtId="0" fontId="69" fillId="0" borderId="18" xfId="0" applyFont="1" applyBorder="1" applyAlignment="1">
      <alignment horizontal="center" vertical="center"/>
    </xf>
    <xf numFmtId="0" fontId="73" fillId="0" borderId="13" xfId="0" applyFont="1" applyBorder="1" applyAlignment="1">
      <alignment horizontal="center" vertical="center" wrapText="1" readingOrder="1"/>
    </xf>
    <xf numFmtId="0" fontId="69" fillId="0" borderId="16" xfId="0" applyFont="1" applyBorder="1" applyAlignment="1">
      <alignment horizontal="center" vertical="center"/>
    </xf>
    <xf numFmtId="0" fontId="82" fillId="2" borderId="44" xfId="0" applyFont="1" applyFill="1" applyBorder="1" applyAlignment="1">
      <alignment horizontal="center"/>
    </xf>
  </cellXfs>
  <cellStyles count="11">
    <cellStyle name="Hipervínculo" xfId="9" builtinId="8"/>
    <cellStyle name="Hyperlink" xfId="10" xr:uid="{00000000-000B-0000-0000-000008000000}"/>
    <cellStyle name="Millares 2" xfId="8" xr:uid="{48D70C69-44A8-554E-926E-3A61BA87CAE2}"/>
    <cellStyle name="Moneda" xfId="4" builtinId="4"/>
    <cellStyle name="Moneda [0]" xfId="7" builtinId="7"/>
    <cellStyle name="Moneda 2" xfId="3" xr:uid="{00000000-0005-0000-0000-000002000000}"/>
    <cellStyle name="Normal" xfId="0" builtinId="0"/>
    <cellStyle name="Normal 2" xfId="2" xr:uid="{00000000-0005-0000-0000-000004000000}"/>
    <cellStyle name="Normal 2 2" xfId="6" xr:uid="{00000000-0005-0000-0000-000005000000}"/>
    <cellStyle name="Normal 3" xfId="5" xr:uid="{00000000-0005-0000-0000-000006000000}"/>
    <cellStyle name="Porcentaje" xfId="1" builtinId="5"/>
  </cellStyles>
  <dxfs count="315">
    <dxf>
      <font>
        <color theme="0"/>
      </font>
      <fill>
        <patternFill>
          <bgColor rgb="FFC00000"/>
        </patternFill>
      </fill>
    </dxf>
    <dxf>
      <font>
        <color rgb="FF006100"/>
      </font>
      <fill>
        <patternFill>
          <bgColor rgb="FFC6EFCE"/>
        </patternFill>
      </fill>
    </dxf>
    <dxf>
      <font>
        <color theme="0"/>
      </font>
      <fill>
        <patternFill>
          <bgColor theme="1"/>
        </patternFill>
      </fill>
    </dxf>
    <dxf>
      <font>
        <color theme="0"/>
      </font>
      <fill>
        <patternFill>
          <bgColor theme="9" tint="-0.499984740745262"/>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theme="0"/>
      </font>
      <fill>
        <patternFill>
          <bgColor theme="1"/>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theme="0"/>
      </font>
      <fill>
        <patternFill>
          <bgColor rgb="FFC00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1"/>
        </patternFill>
      </fill>
    </dxf>
    <dxf>
      <font>
        <color theme="0"/>
      </font>
      <fill>
        <patternFill>
          <bgColor theme="9" tint="-0.499984740745262"/>
        </patternFill>
      </fill>
    </dxf>
    <dxf>
      <fill>
        <patternFill>
          <bgColor theme="0" tint="-0.1499679555650502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fill>
        <patternFill>
          <bgColor theme="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ont>
        <color rgb="FF9C0006"/>
      </font>
      <fill>
        <patternFill>
          <bgColor rgb="FFFFC7CE"/>
        </patternFill>
      </fill>
    </dxf>
    <dxf>
      <alignment vertical="center"/>
    </dxf>
    <dxf>
      <alignment horizontal="center"/>
    </dxf>
    <dxf>
      <alignment horizontal="center"/>
    </dxf>
    <dxf>
      <font>
        <color theme="0"/>
      </font>
      <fill>
        <patternFill patternType="solid">
          <fgColor indexed="64"/>
          <bgColor rgb="FF002060"/>
        </patternFill>
      </fill>
    </dxf>
    <dxf>
      <font>
        <color theme="0"/>
      </font>
      <fill>
        <patternFill patternType="solid">
          <fgColor indexed="64"/>
          <bgColor rgb="FF002060"/>
        </patternFill>
      </fill>
    </dxf>
    <dxf>
      <font>
        <sz val="9"/>
      </font>
    </dxf>
    <dxf>
      <font>
        <sz val="9"/>
      </font>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ill>
        <patternFill patternType="solid">
          <bgColor theme="7" tint="0.79998168889431442"/>
        </patternFill>
      </fill>
    </dxf>
    <dxf>
      <fill>
        <patternFill patternType="solid">
          <bgColor theme="5" tint="0.79998168889431442"/>
        </patternFill>
      </fill>
    </dxf>
    <dxf>
      <fill>
        <patternFill patternType="solid">
          <bgColor theme="9" tint="0.59999389629810485"/>
        </patternFill>
      </fill>
    </dxf>
    <dxf>
      <fill>
        <patternFill patternType="solid">
          <bgColor theme="9" tint="0.59999389629810485"/>
        </patternFill>
      </fill>
    </dxf>
    <dxf>
      <alignment horizontal="center"/>
    </dxf>
    <dxf>
      <alignment horizontal="center"/>
    </dxf>
    <dxf>
      <alignment vertical="center"/>
    </dxf>
    <dxf>
      <alignment vertical="center"/>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color theme="0"/>
      </font>
    </dxf>
    <dxf>
      <font>
        <color theme="0"/>
      </font>
    </dxf>
    <dxf>
      <fill>
        <patternFill>
          <bgColor rgb="FF002060"/>
        </patternFill>
      </fill>
    </dxf>
    <dxf>
      <fill>
        <patternFill>
          <bgColor rgb="FF002060"/>
        </patternFill>
      </fill>
    </dxf>
    <dxf>
      <fill>
        <patternFill patternType="solid">
          <bgColor rgb="FF00B0F0"/>
        </patternFill>
      </fill>
    </dxf>
    <dxf>
      <fill>
        <patternFill patternType="solid">
          <bgColor rgb="FF00B0F0"/>
        </patternFill>
      </fill>
    </dxf>
    <dxf>
      <fill>
        <patternFill>
          <bgColor theme="9" tint="0.59999389629810485"/>
        </patternFill>
      </fill>
    </dxf>
    <dxf>
      <fill>
        <patternFill>
          <bgColor theme="9" tint="0.59999389629810485"/>
        </patternFill>
      </fill>
    </dxf>
    <dxf>
      <fill>
        <patternFill patternType="solid">
          <bgColor theme="9" tint="0.79998168889431442"/>
        </patternFill>
      </fill>
    </dxf>
    <dxf>
      <fill>
        <patternFill patternType="solid">
          <bgColor theme="5" tint="0.79998168889431442"/>
        </patternFill>
      </fill>
    </dxf>
    <dxf>
      <fill>
        <patternFill patternType="solid">
          <bgColor theme="7" tint="0.79998168889431442"/>
        </patternFill>
      </fill>
    </dxf>
    <dxf>
      <font>
        <sz val="9"/>
      </font>
    </dxf>
    <dxf>
      <font>
        <sz val="9"/>
      </font>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ill>
        <patternFill patternType="solid">
          <fgColor indexed="64"/>
          <bgColor theme="9" tint="0.59999389629810485"/>
        </patternFill>
      </fill>
    </dxf>
    <dxf>
      <fill>
        <patternFill patternType="solid">
          <fgColor indexed="64"/>
          <bgColor theme="5" tint="0.79998168889431442"/>
        </patternFill>
      </fill>
    </dxf>
    <dxf>
      <fill>
        <patternFill patternType="solid">
          <fgColor indexed="64"/>
          <bgColor theme="7" tint="0.79998168889431442"/>
        </patternFill>
      </fill>
    </dxf>
    <dxf>
      <alignment horizontal="center"/>
    </dxf>
    <dxf>
      <alignment horizontal="center"/>
    </dxf>
    <dxf>
      <alignment vertical="center"/>
    </dxf>
    <dxf>
      <alignment vertical="center"/>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color theme="0"/>
      </font>
      <fill>
        <patternFill patternType="solid">
          <fgColor indexed="64"/>
          <bgColor rgb="FF002060"/>
        </patternFill>
      </fill>
    </dxf>
    <dxf>
      <font>
        <color theme="0"/>
      </font>
      <fill>
        <patternFill patternType="solid">
          <fgColor indexed="64"/>
          <bgColor rgb="FF002060"/>
        </patternFill>
      </fill>
    </dxf>
    <dxf>
      <font>
        <sz val="9"/>
      </font>
    </dxf>
    <dxf>
      <font>
        <sz val="9"/>
      </font>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ill>
        <patternFill patternType="solid">
          <bgColor theme="7" tint="0.79998168889431442"/>
        </patternFill>
      </fill>
    </dxf>
    <dxf>
      <fill>
        <patternFill patternType="solid">
          <bgColor theme="7" tint="0.79998168889431442"/>
        </patternFill>
      </fill>
    </dxf>
    <dxf>
      <alignment horizontal="center"/>
    </dxf>
    <dxf>
      <alignment horizontal="center"/>
    </dxf>
    <dxf>
      <alignment vertical="center"/>
    </dxf>
    <dxf>
      <alignment vertical="center"/>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alignment vertical="center"/>
    </dxf>
    <dxf>
      <alignment vertical="center"/>
    </dxf>
    <dxf>
      <alignment horizontal="center"/>
    </dxf>
    <dxf>
      <alignment horizontal="center"/>
    </dxf>
    <dxf>
      <font>
        <sz val="9"/>
      </font>
    </dxf>
    <dxf>
      <font>
        <sz val="9"/>
      </font>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alignment horizontal="center"/>
    </dxf>
    <dxf>
      <alignment horizontal="left"/>
    </dxf>
    <dxf>
      <alignment vertical="center"/>
    </dxf>
    <dxf>
      <alignment vertical="center"/>
    </dxf>
    <dxf>
      <alignment wrapText="1"/>
    </dxf>
    <dxf>
      <alignment wrapText="1"/>
    </dxf>
    <dxf>
      <alignment vertical="center"/>
    </dxf>
    <dxf>
      <font>
        <sz val="10"/>
      </font>
    </dxf>
    <dxf>
      <font>
        <sz val="10"/>
      </font>
    </dxf>
    <dxf>
      <font>
        <sz val="10"/>
      </font>
    </dxf>
    <dxf>
      <font>
        <sz val="10"/>
      </font>
    </dxf>
    <dxf>
      <alignment vertical="center"/>
    </dxf>
    <dxf>
      <alignment vertical="center"/>
    </dxf>
    <dxf>
      <alignment horizontal="center"/>
    </dxf>
    <dxf>
      <alignment horizontal="center"/>
    </dxf>
    <dxf>
      <font>
        <sz val="9"/>
      </font>
    </dxf>
    <dxf>
      <font>
        <sz val="9"/>
      </font>
    </dxf>
    <dxf>
      <font>
        <sz val="9"/>
      </font>
    </dxf>
    <dxf>
      <font>
        <sz val="9"/>
      </font>
    </dxf>
    <dxf>
      <font>
        <name val="Volkswagen Serial"/>
        <family val="3"/>
        <scheme val="none"/>
      </font>
    </dxf>
    <dxf>
      <font>
        <name val="Volkswagen Serial"/>
        <family val="3"/>
        <scheme val="none"/>
      </font>
    </dxf>
    <dxf>
      <font>
        <name val="Volkswagen Serial"/>
        <family val="3"/>
        <scheme val="none"/>
      </font>
    </dxf>
    <dxf>
      <font>
        <name val="Volkswagen Serial"/>
        <family val="3"/>
        <scheme val="none"/>
      </font>
    </dxf>
    <dxf>
      <font>
        <b val="0"/>
        <i val="0"/>
        <strike val="0"/>
        <condense val="0"/>
        <extend val="0"/>
        <outline val="0"/>
        <shadow val="0"/>
        <u val="none"/>
        <vertAlign val="baseline"/>
        <sz val="11"/>
        <color theme="1"/>
        <name val="Volkswagen Serial"/>
        <family val="3"/>
        <scheme val="none"/>
      </font>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top style="thin">
          <color theme="4" tint="0.39997558519241921"/>
        </top>
      </border>
    </dxf>
    <dxf>
      <font>
        <b val="0"/>
        <i val="0"/>
        <strike val="0"/>
        <condense val="0"/>
        <extend val="0"/>
        <outline val="0"/>
        <shadow val="0"/>
        <u val="none"/>
        <vertAlign val="baseline"/>
        <sz val="11"/>
        <color theme="1"/>
        <name val="Volkswagen Serial"/>
        <family val="3"/>
        <scheme val="none"/>
      </font>
      <alignment horizontal="general"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horizontal="center" vertical="center" textRotation="0" wrapText="0" indent="0" justifyLastLine="0" shrinkToFit="0" readingOrder="0"/>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textRotation="0" wrapText="0" indent="0" justifyLastLine="0" shrinkToFit="0" readingOrder="0"/>
    </dxf>
    <dxf>
      <font>
        <b val="0"/>
        <i val="0"/>
        <strike val="0"/>
        <condense val="0"/>
        <extend val="0"/>
        <outline val="0"/>
        <shadow val="0"/>
        <u val="none"/>
        <vertAlign val="baseline"/>
        <sz val="11"/>
        <color theme="1"/>
        <name val="Volkswagen Serial"/>
        <family val="3"/>
        <scheme val="none"/>
      </font>
    </dxf>
    <dxf>
      <font>
        <b val="0"/>
        <i val="0"/>
        <strike val="0"/>
        <condense val="0"/>
        <extend val="0"/>
        <outline val="0"/>
        <shadow val="0"/>
        <u val="none"/>
        <vertAlign val="baseline"/>
        <sz val="11"/>
        <color theme="1"/>
        <name val="Volkswagen Serial"/>
        <family val="3"/>
        <scheme val="none"/>
      </font>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textRotation="0" wrapText="0" indent="0" justifyLastLine="0" shrinkToFit="0" readingOrder="0"/>
    </dxf>
    <dxf>
      <font>
        <b val="0"/>
        <i val="0"/>
        <strike val="0"/>
        <condense val="0"/>
        <extend val="0"/>
        <outline val="0"/>
        <shadow val="0"/>
        <u val="none"/>
        <vertAlign val="baseline"/>
        <sz val="11"/>
        <color theme="1"/>
        <name val="Volkswagen Serial"/>
        <family val="3"/>
        <scheme val="none"/>
      </font>
    </dxf>
    <dxf>
      <font>
        <b val="0"/>
        <i val="0"/>
        <strike val="0"/>
        <condense val="0"/>
        <extend val="0"/>
        <outline val="0"/>
        <shadow val="0"/>
        <u val="none"/>
        <vertAlign val="baseline"/>
        <sz val="11"/>
        <color theme="1"/>
        <name val="Volkswagen Serial"/>
        <family val="3"/>
        <scheme val="none"/>
      </font>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textRotation="0" wrapText="0" indent="0" justifyLastLine="0" shrinkToFit="0" readingOrder="0"/>
    </dxf>
    <dxf>
      <font>
        <b val="0"/>
        <i val="0"/>
        <strike val="0"/>
        <condense val="0"/>
        <extend val="0"/>
        <outline val="0"/>
        <shadow val="0"/>
        <u val="none"/>
        <vertAlign val="baseline"/>
        <sz val="11"/>
        <color theme="1"/>
        <name val="Volkswagen Serial"/>
        <family val="3"/>
        <scheme val="none"/>
      </font>
    </dxf>
    <dxf>
      <font>
        <b val="0"/>
        <i val="0"/>
        <strike val="0"/>
        <condense val="0"/>
        <extend val="0"/>
        <outline val="0"/>
        <shadow val="0"/>
        <u val="none"/>
        <vertAlign val="baseline"/>
        <sz val="11"/>
        <color theme="1"/>
        <name val="Volkswagen Serial"/>
        <family val="3"/>
        <scheme val="none"/>
      </font>
    </dxf>
    <dxf>
      <font>
        <b/>
        <i val="0"/>
        <strike val="0"/>
        <condense val="0"/>
        <extend val="0"/>
        <outline val="0"/>
        <shadow val="0"/>
        <u val="none"/>
        <vertAlign val="baseline"/>
        <sz val="12"/>
        <color auto="1"/>
        <name val="Volkswagen Serial"/>
        <family val="3"/>
        <scheme val="none"/>
      </font>
      <fill>
        <patternFill patternType="solid">
          <fgColor indexed="64"/>
          <bgColor theme="2"/>
        </patternFill>
      </fill>
      <alignment textRotation="0" wrapText="0" indent="0" justifyLastLine="0" shrinkToFit="0" readingOrder="0"/>
    </dxf>
    <dxf>
      <font>
        <strike val="0"/>
        <outline val="0"/>
        <shadow val="0"/>
        <u val="none"/>
        <vertAlign val="baseline"/>
        <sz val="10"/>
        <color theme="1"/>
        <name val="Century Gothic"/>
        <family val="2"/>
        <scheme val="none"/>
      </font>
      <alignment horizontal="center" vertical="center" textRotation="0" wrapText="0" indent="0" justifyLastLine="0" shrinkToFit="0" readingOrder="0"/>
    </dxf>
    <dxf>
      <font>
        <strike val="0"/>
        <outline val="0"/>
        <shadow val="0"/>
        <u val="none"/>
        <vertAlign val="baseline"/>
        <sz val="10"/>
        <color theme="1"/>
        <name val="Century Gothic"/>
        <family val="2"/>
        <scheme val="none"/>
      </font>
      <alignment horizontal="center" vertical="center" textRotation="0" wrapText="0" indent="0" justifyLastLine="0" shrinkToFit="0" readingOrder="0"/>
    </dxf>
    <dxf>
      <font>
        <strike val="0"/>
        <outline val="0"/>
        <shadow val="0"/>
        <u val="none"/>
        <vertAlign val="baseline"/>
        <sz val="12"/>
        <color theme="1"/>
        <name val="Century Gothic"/>
        <family val="2"/>
        <scheme val="none"/>
      </font>
    </dxf>
    <dxf>
      <font>
        <strike val="0"/>
        <outline val="0"/>
        <shadow val="0"/>
        <u val="none"/>
        <vertAlign val="baseline"/>
        <sz val="12"/>
        <color theme="1"/>
        <name val="Century Gothic"/>
        <family val="2"/>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outline="0">
        <left style="thin">
          <color theme="0" tint="-0.499984740745262"/>
        </left>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left style="thin">
          <color theme="0" tint="-0.499984740745262"/>
        </left>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theme="0" tint="-0.499984740745262"/>
        </left>
        <right style="thin">
          <color theme="0" tint="-0.499984740745262"/>
        </right>
        <top style="thin">
          <color theme="0" tint="-0.499984740745262"/>
        </top>
        <bottom/>
      </border>
      <protection locked="0" hidden="0"/>
    </dxf>
    <dxf>
      <font>
        <b val="0"/>
        <i val="0"/>
        <strike val="0"/>
        <condense val="0"/>
        <extend val="0"/>
        <outline val="0"/>
        <shadow val="0"/>
        <u val="none"/>
        <vertAlign val="baseline"/>
        <sz val="10"/>
        <color rgb="FF000000"/>
        <name val="Century Gothic"/>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theme="0" tint="-0.499984740745262"/>
        </left>
        <right style="thin">
          <color theme="0" tint="-0.499984740745262"/>
        </right>
        <top style="thin">
          <color theme="0" tint="-0.499984740745262"/>
        </top>
        <bottom style="thin">
          <color theme="0" tint="-0.499984740745262"/>
        </bottom>
        <vertical/>
        <horizontal/>
      </border>
      <protection locked="0" hidden="0"/>
    </dxf>
    <dxf>
      <border outline="0">
        <left style="thin">
          <color theme="0" tint="-0.499984740745262"/>
        </left>
        <right style="thin">
          <color theme="0" tint="-0.499984740745262"/>
        </right>
        <top style="thin">
          <color theme="0" tint="-0.499984740745262"/>
        </top>
        <bottom style="thin">
          <color theme="0" tint="-0.499984740745262"/>
        </bottom>
      </border>
    </dxf>
    <dxf>
      <font>
        <b val="0"/>
        <i val="0"/>
        <strike val="0"/>
        <condense val="0"/>
        <extend val="0"/>
        <outline val="0"/>
        <shadow val="0"/>
        <u val="none"/>
        <vertAlign val="baseline"/>
        <sz val="10"/>
        <color theme="1"/>
        <name val="Century Gothic"/>
        <family val="2"/>
        <scheme val="none"/>
      </font>
      <fill>
        <patternFill patternType="none">
          <fgColor indexed="64"/>
          <bgColor indexed="65"/>
        </patternFill>
      </fill>
      <alignment horizontal="center" vertical="center" textRotation="0" wrapText="0" indent="0" justifyLastLine="0" shrinkToFit="0" readingOrder="0"/>
      <protection locked="0" hidden="0"/>
    </dxf>
    <dxf>
      <border outline="0">
        <bottom style="thin">
          <color theme="0" tint="-0.499984740745262"/>
        </bottom>
      </border>
    </dxf>
    <dxf>
      <font>
        <b/>
        <i val="0"/>
        <strike val="0"/>
        <condense val="0"/>
        <extend val="0"/>
        <outline val="0"/>
        <shadow val="0"/>
        <u val="none"/>
        <vertAlign val="baseline"/>
        <sz val="10"/>
        <color theme="0"/>
        <name val="Century Gothic"/>
        <family val="2"/>
        <scheme val="none"/>
      </font>
      <fill>
        <patternFill patternType="solid">
          <fgColor indexed="64"/>
          <bgColor rgb="FF002060"/>
        </patternFill>
      </fill>
      <alignment horizontal="center" vertical="center" textRotation="0" wrapText="1" indent="0" justifyLastLine="0" shrinkToFit="0" readingOrder="0"/>
      <border diagonalUp="0" diagonalDown="0" outline="0">
        <left style="thin">
          <color theme="0" tint="-0.499984740745262"/>
        </left>
        <right style="thin">
          <color theme="0" tint="-0.499984740745262"/>
        </right>
        <top/>
        <bottom/>
      </border>
    </dxf>
  </dxfs>
  <tableStyles count="0" defaultTableStyle="TableStyleMedium2" defaultPivotStyle="PivotStyleLight16"/>
  <colors>
    <mruColors>
      <color rgb="FF0A9A49"/>
      <color rgb="FFFA8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openxmlformats.org/officeDocument/2006/relationships/image" Target="../media/image24.sv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svg"/><Relationship Id="rId19" Type="http://schemas.openxmlformats.org/officeDocument/2006/relationships/image" Target="../media/image19.pn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image" Target="../media/image22.svg"/></Relationships>
</file>

<file path=xl/drawings/drawing1.xml><?xml version="1.0" encoding="utf-8"?>
<xdr:wsDr xmlns:xdr="http://schemas.openxmlformats.org/drawingml/2006/spreadsheetDrawing" xmlns:a="http://schemas.openxmlformats.org/drawingml/2006/main">
  <xdr:twoCellAnchor>
    <xdr:from>
      <xdr:col>13</xdr:col>
      <xdr:colOff>195942</xdr:colOff>
      <xdr:row>27</xdr:row>
      <xdr:rowOff>120618</xdr:rowOff>
    </xdr:from>
    <xdr:to>
      <xdr:col>14</xdr:col>
      <xdr:colOff>76199</xdr:colOff>
      <xdr:row>37</xdr:row>
      <xdr:rowOff>605527</xdr:rowOff>
    </xdr:to>
    <xdr:grpSp>
      <xdr:nvGrpSpPr>
        <xdr:cNvPr id="71" name="Grupo 34">
          <a:extLst>
            <a:ext uri="{FF2B5EF4-FFF2-40B4-BE49-F238E27FC236}">
              <a16:creationId xmlns:a16="http://schemas.microsoft.com/office/drawing/2014/main" id="{95C5D43B-78C3-4D55-A805-E180D7CCEDE4}"/>
            </a:ext>
          </a:extLst>
        </xdr:cNvPr>
        <xdr:cNvGrpSpPr/>
      </xdr:nvGrpSpPr>
      <xdr:grpSpPr>
        <a:xfrm>
          <a:off x="11689442" y="10455243"/>
          <a:ext cx="721632" cy="7549284"/>
          <a:chOff x="8329508" y="2667752"/>
          <a:chExt cx="407962" cy="3995937"/>
        </a:xfrm>
      </xdr:grpSpPr>
      <xdr:pic>
        <xdr:nvPicPr>
          <xdr:cNvPr id="72" name="Gráfico 38" descr="Hogar con relleno sólido">
            <a:extLst>
              <a:ext uri="{FF2B5EF4-FFF2-40B4-BE49-F238E27FC236}">
                <a16:creationId xmlns:a16="http://schemas.microsoft.com/office/drawing/2014/main" id="{A7DCE676-BFF3-FB0D-1951-A5C398DDA7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378489" y="6364361"/>
            <a:ext cx="294565" cy="299328"/>
          </a:xfrm>
          <a:prstGeom prst="rect">
            <a:avLst/>
          </a:prstGeom>
        </xdr:spPr>
      </xdr:pic>
      <xdr:pic>
        <xdr:nvPicPr>
          <xdr:cNvPr id="73" name="Gráfico 40" descr="División en la carretera con relleno sólido">
            <a:extLst>
              <a:ext uri="{FF2B5EF4-FFF2-40B4-BE49-F238E27FC236}">
                <a16:creationId xmlns:a16="http://schemas.microsoft.com/office/drawing/2014/main" id="{A610FF5C-2524-B7B5-9D77-45945B55FF3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378489" y="6053552"/>
            <a:ext cx="294565" cy="299328"/>
          </a:xfrm>
          <a:prstGeom prst="rect">
            <a:avLst/>
          </a:prstGeom>
        </xdr:spPr>
      </xdr:pic>
      <xdr:pic>
        <xdr:nvPicPr>
          <xdr:cNvPr id="74" name="Gráfico 44" descr="Martillo de juez con relleno sólido">
            <a:extLst>
              <a:ext uri="{FF2B5EF4-FFF2-40B4-BE49-F238E27FC236}">
                <a16:creationId xmlns:a16="http://schemas.microsoft.com/office/drawing/2014/main" id="{2AF4BA02-50B8-EBC9-DB4A-0FEE0B25D54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378489" y="5670251"/>
            <a:ext cx="294565" cy="299328"/>
          </a:xfrm>
          <a:prstGeom prst="rect">
            <a:avLst/>
          </a:prstGeom>
        </xdr:spPr>
      </xdr:pic>
      <xdr:pic>
        <xdr:nvPicPr>
          <xdr:cNvPr id="75" name="Gráfico 46" descr="Corazón con pulso con relleno sólido">
            <a:extLst>
              <a:ext uri="{FF2B5EF4-FFF2-40B4-BE49-F238E27FC236}">
                <a16:creationId xmlns:a16="http://schemas.microsoft.com/office/drawing/2014/main" id="{B7BCC260-6855-843A-D89A-DBD9C1EA89B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378489" y="5334771"/>
            <a:ext cx="294565" cy="299328"/>
          </a:xfrm>
          <a:prstGeom prst="rect">
            <a:avLst/>
          </a:prstGeom>
        </xdr:spPr>
      </xdr:pic>
      <xdr:pic>
        <xdr:nvPicPr>
          <xdr:cNvPr id="76" name="Gráfico 48" descr="Pelotas de deporte con relleno sólido">
            <a:extLst>
              <a:ext uri="{FF2B5EF4-FFF2-40B4-BE49-F238E27FC236}">
                <a16:creationId xmlns:a16="http://schemas.microsoft.com/office/drawing/2014/main" id="{FF351692-F9EF-9974-810F-8BD2BAF28C98}"/>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369085" y="4993472"/>
            <a:ext cx="294565" cy="297423"/>
          </a:xfrm>
          <a:prstGeom prst="rect">
            <a:avLst/>
          </a:prstGeom>
        </xdr:spPr>
      </xdr:pic>
      <xdr:pic>
        <xdr:nvPicPr>
          <xdr:cNvPr id="77" name="Gráfico 50" descr="Libros con relleno sólido">
            <a:extLst>
              <a:ext uri="{FF2B5EF4-FFF2-40B4-BE49-F238E27FC236}">
                <a16:creationId xmlns:a16="http://schemas.microsoft.com/office/drawing/2014/main" id="{CE553B09-BF95-AC59-B6F7-D4A2C9DBCB4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371953" y="4674957"/>
            <a:ext cx="294565" cy="297423"/>
          </a:xfrm>
          <a:prstGeom prst="rect">
            <a:avLst/>
          </a:prstGeom>
        </xdr:spPr>
      </xdr:pic>
      <xdr:grpSp>
        <xdr:nvGrpSpPr>
          <xdr:cNvPr id="78" name="Grupo 41">
            <a:extLst>
              <a:ext uri="{FF2B5EF4-FFF2-40B4-BE49-F238E27FC236}">
                <a16:creationId xmlns:a16="http://schemas.microsoft.com/office/drawing/2014/main" id="{61B04F09-8FAE-206E-2B44-B7CC7D368501}"/>
              </a:ext>
            </a:extLst>
          </xdr:cNvPr>
          <xdr:cNvGrpSpPr/>
        </xdr:nvGrpSpPr>
        <xdr:grpSpPr>
          <a:xfrm>
            <a:off x="8355567" y="4246506"/>
            <a:ext cx="302966" cy="330538"/>
            <a:chOff x="10082252" y="2283696"/>
            <a:chExt cx="367742" cy="395340"/>
          </a:xfrm>
          <a:solidFill>
            <a:srgbClr val="122133"/>
          </a:solidFill>
        </xdr:grpSpPr>
        <xdr:pic>
          <xdr:nvPicPr>
            <xdr:cNvPr id="79" name="Gráfico 52" descr="Escena de colina con relleno sólido">
              <a:extLst>
                <a:ext uri="{FF2B5EF4-FFF2-40B4-BE49-F238E27FC236}">
                  <a16:creationId xmlns:a16="http://schemas.microsoft.com/office/drawing/2014/main" id="{C9759FED-05FE-9591-F5FA-5D8AE384DFC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0165257" y="2394299"/>
              <a:ext cx="284737" cy="284737"/>
            </a:xfrm>
            <a:prstGeom prst="rect">
              <a:avLst/>
            </a:prstGeom>
          </xdr:spPr>
        </xdr:pic>
        <xdr:sp macro="" textlink="">
          <xdr:nvSpPr>
            <xdr:cNvPr id="80" name="Forma libre: forma 53">
              <a:extLst>
                <a:ext uri="{FF2B5EF4-FFF2-40B4-BE49-F238E27FC236}">
                  <a16:creationId xmlns:a16="http://schemas.microsoft.com/office/drawing/2014/main" id="{89F44B5D-BD73-D371-5807-D7EEC287416E}"/>
                </a:ext>
              </a:extLst>
            </xdr:cNvPr>
            <xdr:cNvSpPr/>
          </xdr:nvSpPr>
          <xdr:spPr>
            <a:xfrm>
              <a:off x="10082252" y="2283696"/>
              <a:ext cx="166009" cy="252971"/>
            </a:xfrm>
            <a:custGeom>
              <a:avLst/>
              <a:gdLst>
                <a:gd name="connsiteX0" fmla="*/ 47349 w 94672"/>
                <a:gd name="connsiteY0" fmla="*/ 66295 h 144265"/>
                <a:gd name="connsiteX1" fmla="*/ 27969 w 94672"/>
                <a:gd name="connsiteY1" fmla="*/ 46014 h 144265"/>
                <a:gd name="connsiteX2" fmla="*/ 47800 w 94672"/>
                <a:gd name="connsiteY2" fmla="*/ 26183 h 144265"/>
                <a:gd name="connsiteX3" fmla="*/ 67631 w 94672"/>
                <a:gd name="connsiteY3" fmla="*/ 46014 h 144265"/>
                <a:gd name="connsiteX4" fmla="*/ 61772 w 94672"/>
                <a:gd name="connsiteY4" fmla="*/ 59986 h 144265"/>
                <a:gd name="connsiteX5" fmla="*/ 47349 w 94672"/>
                <a:gd name="connsiteY5" fmla="*/ 66295 h 144265"/>
                <a:gd name="connsiteX6" fmla="*/ 27969 w 94672"/>
                <a:gd name="connsiteY6" fmla="*/ 3649 h 144265"/>
                <a:gd name="connsiteX7" fmla="*/ 5435 w 94672"/>
                <a:gd name="connsiteY7" fmla="*/ 23930 h 144265"/>
                <a:gd name="connsiteX8" fmla="*/ 3181 w 94672"/>
                <a:gd name="connsiteY8" fmla="*/ 62690 h 144265"/>
                <a:gd name="connsiteX9" fmla="*/ 24815 w 94672"/>
                <a:gd name="connsiteY9" fmla="*/ 109562 h 144265"/>
                <a:gd name="connsiteX10" fmla="*/ 39237 w 94672"/>
                <a:gd name="connsiteY10" fmla="*/ 139308 h 144265"/>
                <a:gd name="connsiteX11" fmla="*/ 47349 w 94672"/>
                <a:gd name="connsiteY11" fmla="*/ 144266 h 144265"/>
                <a:gd name="connsiteX12" fmla="*/ 55462 w 94672"/>
                <a:gd name="connsiteY12" fmla="*/ 139308 h 144265"/>
                <a:gd name="connsiteX13" fmla="*/ 69884 w 94672"/>
                <a:gd name="connsiteY13" fmla="*/ 109562 h 144265"/>
                <a:gd name="connsiteX14" fmla="*/ 91518 w 94672"/>
                <a:gd name="connsiteY14" fmla="*/ 63141 h 144265"/>
                <a:gd name="connsiteX15" fmla="*/ 94672 w 94672"/>
                <a:gd name="connsiteY15" fmla="*/ 46014 h 144265"/>
                <a:gd name="connsiteX16" fmla="*/ 27969 w 94672"/>
                <a:gd name="connsiteY16" fmla="*/ 3649 h 14426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94672" h="144265">
                  <a:moveTo>
                    <a:pt x="47349" y="66295"/>
                  </a:moveTo>
                  <a:cubicBezTo>
                    <a:pt x="36533" y="66295"/>
                    <a:pt x="27519" y="57281"/>
                    <a:pt x="27969" y="46014"/>
                  </a:cubicBezTo>
                  <a:cubicBezTo>
                    <a:pt x="27969" y="35197"/>
                    <a:pt x="36983" y="26183"/>
                    <a:pt x="47800" y="26183"/>
                  </a:cubicBezTo>
                  <a:cubicBezTo>
                    <a:pt x="58617" y="26183"/>
                    <a:pt x="67631" y="35197"/>
                    <a:pt x="67631" y="46014"/>
                  </a:cubicBezTo>
                  <a:cubicBezTo>
                    <a:pt x="67631" y="51422"/>
                    <a:pt x="65377" y="56380"/>
                    <a:pt x="61772" y="59986"/>
                  </a:cubicBezTo>
                  <a:cubicBezTo>
                    <a:pt x="57715" y="64042"/>
                    <a:pt x="52758" y="66295"/>
                    <a:pt x="47349" y="66295"/>
                  </a:cubicBezTo>
                  <a:close/>
                  <a:moveTo>
                    <a:pt x="27969" y="3649"/>
                  </a:moveTo>
                  <a:cubicBezTo>
                    <a:pt x="18054" y="7254"/>
                    <a:pt x="10392" y="14916"/>
                    <a:pt x="5435" y="23930"/>
                  </a:cubicBezTo>
                  <a:cubicBezTo>
                    <a:pt x="-875" y="36099"/>
                    <a:pt x="-1776" y="50070"/>
                    <a:pt x="3181" y="62690"/>
                  </a:cubicBezTo>
                  <a:lnTo>
                    <a:pt x="24815" y="109562"/>
                  </a:lnTo>
                  <a:lnTo>
                    <a:pt x="39237" y="139308"/>
                  </a:lnTo>
                  <a:cubicBezTo>
                    <a:pt x="40589" y="142463"/>
                    <a:pt x="43744" y="144266"/>
                    <a:pt x="47349" y="144266"/>
                  </a:cubicBezTo>
                  <a:cubicBezTo>
                    <a:pt x="50955" y="144266"/>
                    <a:pt x="54110" y="142463"/>
                    <a:pt x="55462" y="139308"/>
                  </a:cubicBezTo>
                  <a:lnTo>
                    <a:pt x="69884" y="109562"/>
                  </a:lnTo>
                  <a:lnTo>
                    <a:pt x="91518" y="63141"/>
                  </a:lnTo>
                  <a:cubicBezTo>
                    <a:pt x="93771" y="57732"/>
                    <a:pt x="94672" y="51873"/>
                    <a:pt x="94672" y="46014"/>
                  </a:cubicBezTo>
                  <a:cubicBezTo>
                    <a:pt x="94672" y="14465"/>
                    <a:pt x="62222" y="-9422"/>
                    <a:pt x="27969" y="3649"/>
                  </a:cubicBezTo>
                  <a:close/>
                </a:path>
              </a:pathLst>
            </a:custGeom>
            <a:grpFill/>
            <a:ln w="4465" cap="flat">
              <a:noFill/>
              <a:prstDash val="solid"/>
              <a:miter/>
            </a:ln>
          </xdr:spPr>
          <xdr:txBody>
            <a:bodyPr wrap="square" rtlCol="0" anchor="ct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s-CO"/>
            </a:p>
          </xdr:txBody>
        </xdr:sp>
      </xdr:grpSp>
      <xdr:pic>
        <xdr:nvPicPr>
          <xdr:cNvPr id="81" name="Gráfico 56" descr="Mapa del tesoro con relleno sólido">
            <a:extLst>
              <a:ext uri="{FF2B5EF4-FFF2-40B4-BE49-F238E27FC236}">
                <a16:creationId xmlns:a16="http://schemas.microsoft.com/office/drawing/2014/main" id="{B164A962-D9D5-91F8-2883-44E5688352F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371953" y="3830155"/>
            <a:ext cx="294565" cy="299328"/>
          </a:xfrm>
          <a:prstGeom prst="rect">
            <a:avLst/>
          </a:prstGeom>
        </xdr:spPr>
      </xdr:pic>
      <xdr:pic>
        <xdr:nvPicPr>
          <xdr:cNvPr id="82" name="Gráfico 64" descr="Grifo con fugas con relleno sólido">
            <a:extLst>
              <a:ext uri="{FF2B5EF4-FFF2-40B4-BE49-F238E27FC236}">
                <a16:creationId xmlns:a16="http://schemas.microsoft.com/office/drawing/2014/main" id="{1B60E44F-411E-08E2-35C8-803B74455243}"/>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380846" y="2667752"/>
            <a:ext cx="356624" cy="359482"/>
          </a:xfrm>
          <a:prstGeom prst="rect">
            <a:avLst/>
          </a:prstGeom>
        </xdr:spPr>
      </xdr:pic>
      <xdr:grpSp>
        <xdr:nvGrpSpPr>
          <xdr:cNvPr id="83" name="Grupo 44">
            <a:extLst>
              <a:ext uri="{FF2B5EF4-FFF2-40B4-BE49-F238E27FC236}">
                <a16:creationId xmlns:a16="http://schemas.microsoft.com/office/drawing/2014/main" id="{EE1388E6-273A-7D56-5BC3-E653AE4CF1F4}"/>
              </a:ext>
            </a:extLst>
          </xdr:cNvPr>
          <xdr:cNvGrpSpPr/>
        </xdr:nvGrpSpPr>
        <xdr:grpSpPr>
          <a:xfrm>
            <a:off x="8355578" y="3119727"/>
            <a:ext cx="362129" cy="145442"/>
            <a:chOff x="5149091" y="4001310"/>
            <a:chExt cx="360556" cy="126096"/>
          </a:xfrm>
          <a:solidFill>
            <a:srgbClr val="122133"/>
          </a:solidFill>
        </xdr:grpSpPr>
        <xdr:sp macro="" textlink="">
          <xdr:nvSpPr>
            <xdr:cNvPr id="84" name="Forma libre: forma 49">
              <a:extLst>
                <a:ext uri="{FF2B5EF4-FFF2-40B4-BE49-F238E27FC236}">
                  <a16:creationId xmlns:a16="http://schemas.microsoft.com/office/drawing/2014/main" id="{6965619B-F3DF-93B5-3BB7-AEA0784D1163}"/>
                </a:ext>
              </a:extLst>
            </xdr:cNvPr>
            <xdr:cNvSpPr/>
          </xdr:nvSpPr>
          <xdr:spPr>
            <a:xfrm>
              <a:off x="5149091" y="4001310"/>
              <a:ext cx="360556" cy="37002"/>
            </a:xfrm>
            <a:custGeom>
              <a:avLst/>
              <a:gdLst>
                <a:gd name="connsiteX0" fmla="*/ 315487 w 360556"/>
                <a:gd name="connsiteY0" fmla="*/ 0 h 37002"/>
                <a:gd name="connsiteX1" fmla="*/ 288445 w 360556"/>
                <a:gd name="connsiteY1" fmla="*/ 5724 h 37002"/>
                <a:gd name="connsiteX2" fmla="*/ 270418 w 360556"/>
                <a:gd name="connsiteY2" fmla="*/ 9960 h 37002"/>
                <a:gd name="connsiteX3" fmla="*/ 252390 w 360556"/>
                <a:gd name="connsiteY3" fmla="*/ 5724 h 37002"/>
                <a:gd name="connsiteX4" fmla="*/ 225348 w 360556"/>
                <a:gd name="connsiteY4" fmla="*/ 0 h 37002"/>
                <a:gd name="connsiteX5" fmla="*/ 198306 w 360556"/>
                <a:gd name="connsiteY5" fmla="*/ 5724 h 37002"/>
                <a:gd name="connsiteX6" fmla="*/ 180278 w 360556"/>
                <a:gd name="connsiteY6" fmla="*/ 9960 h 37002"/>
                <a:gd name="connsiteX7" fmla="*/ 162251 w 360556"/>
                <a:gd name="connsiteY7" fmla="*/ 5724 h 37002"/>
                <a:gd name="connsiteX8" fmla="*/ 135209 w 360556"/>
                <a:gd name="connsiteY8" fmla="*/ 0 h 37002"/>
                <a:gd name="connsiteX9" fmla="*/ 108167 w 360556"/>
                <a:gd name="connsiteY9" fmla="*/ 5724 h 37002"/>
                <a:gd name="connsiteX10" fmla="*/ 90139 w 360556"/>
                <a:gd name="connsiteY10" fmla="*/ 9960 h 37002"/>
                <a:gd name="connsiteX11" fmla="*/ 72111 w 360556"/>
                <a:gd name="connsiteY11" fmla="*/ 5724 h 37002"/>
                <a:gd name="connsiteX12" fmla="*/ 45070 w 360556"/>
                <a:gd name="connsiteY12" fmla="*/ 0 h 37002"/>
                <a:gd name="connsiteX13" fmla="*/ 18028 w 360556"/>
                <a:gd name="connsiteY13" fmla="*/ 5724 h 37002"/>
                <a:gd name="connsiteX14" fmla="*/ 0 w 360556"/>
                <a:gd name="connsiteY14" fmla="*/ 9960 h 37002"/>
                <a:gd name="connsiteX15" fmla="*/ 0 w 360556"/>
                <a:gd name="connsiteY15" fmla="*/ 37002 h 37002"/>
                <a:gd name="connsiteX16" fmla="*/ 27042 w 360556"/>
                <a:gd name="connsiteY16" fmla="*/ 31278 h 37002"/>
                <a:gd name="connsiteX17" fmla="*/ 45070 w 360556"/>
                <a:gd name="connsiteY17" fmla="*/ 26771 h 37002"/>
                <a:gd name="connsiteX18" fmla="*/ 63097 w 360556"/>
                <a:gd name="connsiteY18" fmla="*/ 31278 h 37002"/>
                <a:gd name="connsiteX19" fmla="*/ 90139 w 360556"/>
                <a:gd name="connsiteY19" fmla="*/ 37002 h 37002"/>
                <a:gd name="connsiteX20" fmla="*/ 117181 w 360556"/>
                <a:gd name="connsiteY20" fmla="*/ 31278 h 37002"/>
                <a:gd name="connsiteX21" fmla="*/ 135209 w 360556"/>
                <a:gd name="connsiteY21" fmla="*/ 26771 h 37002"/>
                <a:gd name="connsiteX22" fmla="*/ 153237 w 360556"/>
                <a:gd name="connsiteY22" fmla="*/ 31008 h 37002"/>
                <a:gd name="connsiteX23" fmla="*/ 180278 w 360556"/>
                <a:gd name="connsiteY23" fmla="*/ 37002 h 37002"/>
                <a:gd name="connsiteX24" fmla="*/ 207320 w 360556"/>
                <a:gd name="connsiteY24" fmla="*/ 31278 h 37002"/>
                <a:gd name="connsiteX25" fmla="*/ 225348 w 360556"/>
                <a:gd name="connsiteY25" fmla="*/ 26771 h 37002"/>
                <a:gd name="connsiteX26" fmla="*/ 243376 w 360556"/>
                <a:gd name="connsiteY26" fmla="*/ 31278 h 37002"/>
                <a:gd name="connsiteX27" fmla="*/ 270418 w 360556"/>
                <a:gd name="connsiteY27" fmla="*/ 37002 h 37002"/>
                <a:gd name="connsiteX28" fmla="*/ 297459 w 360556"/>
                <a:gd name="connsiteY28" fmla="*/ 31278 h 37002"/>
                <a:gd name="connsiteX29" fmla="*/ 315487 w 360556"/>
                <a:gd name="connsiteY29" fmla="*/ 26771 h 37002"/>
                <a:gd name="connsiteX30" fmla="*/ 333515 w 360556"/>
                <a:gd name="connsiteY30" fmla="*/ 31008 h 37002"/>
                <a:gd name="connsiteX31" fmla="*/ 360557 w 360556"/>
                <a:gd name="connsiteY31" fmla="*/ 37002 h 37002"/>
                <a:gd name="connsiteX32" fmla="*/ 360557 w 360556"/>
                <a:gd name="connsiteY32" fmla="*/ 9960 h 37002"/>
                <a:gd name="connsiteX33" fmla="*/ 342529 w 360556"/>
                <a:gd name="connsiteY33" fmla="*/ 5724 h 37002"/>
                <a:gd name="connsiteX34" fmla="*/ 315487 w 360556"/>
                <a:gd name="connsiteY34" fmla="*/ 0 h 37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360556" h="37002">
                  <a:moveTo>
                    <a:pt x="315487" y="0"/>
                  </a:moveTo>
                  <a:cubicBezTo>
                    <a:pt x="306214" y="359"/>
                    <a:pt x="297069" y="2295"/>
                    <a:pt x="288445" y="5724"/>
                  </a:cubicBezTo>
                  <a:cubicBezTo>
                    <a:pt x="282704" y="8100"/>
                    <a:pt x="276616" y="9530"/>
                    <a:pt x="270418" y="9960"/>
                  </a:cubicBezTo>
                  <a:cubicBezTo>
                    <a:pt x="264219" y="9530"/>
                    <a:pt x="258131" y="8100"/>
                    <a:pt x="252390" y="5724"/>
                  </a:cubicBezTo>
                  <a:cubicBezTo>
                    <a:pt x="243766" y="2295"/>
                    <a:pt x="234621" y="359"/>
                    <a:pt x="225348" y="0"/>
                  </a:cubicBezTo>
                  <a:cubicBezTo>
                    <a:pt x="216074" y="359"/>
                    <a:pt x="206930" y="2295"/>
                    <a:pt x="198306" y="5724"/>
                  </a:cubicBezTo>
                  <a:cubicBezTo>
                    <a:pt x="192565" y="8100"/>
                    <a:pt x="186477" y="9530"/>
                    <a:pt x="180278" y="9960"/>
                  </a:cubicBezTo>
                  <a:cubicBezTo>
                    <a:pt x="174080" y="9530"/>
                    <a:pt x="167991" y="8100"/>
                    <a:pt x="162251" y="5724"/>
                  </a:cubicBezTo>
                  <a:cubicBezTo>
                    <a:pt x="153627" y="2295"/>
                    <a:pt x="144482" y="359"/>
                    <a:pt x="135209" y="0"/>
                  </a:cubicBezTo>
                  <a:cubicBezTo>
                    <a:pt x="125935" y="359"/>
                    <a:pt x="116791" y="2295"/>
                    <a:pt x="108167" y="5724"/>
                  </a:cubicBezTo>
                  <a:cubicBezTo>
                    <a:pt x="102426" y="8100"/>
                    <a:pt x="96338" y="9530"/>
                    <a:pt x="90139" y="9960"/>
                  </a:cubicBezTo>
                  <a:cubicBezTo>
                    <a:pt x="83941" y="9530"/>
                    <a:pt x="77853" y="8100"/>
                    <a:pt x="72111" y="5724"/>
                  </a:cubicBezTo>
                  <a:cubicBezTo>
                    <a:pt x="63488" y="2295"/>
                    <a:pt x="54343" y="359"/>
                    <a:pt x="45070" y="0"/>
                  </a:cubicBezTo>
                  <a:cubicBezTo>
                    <a:pt x="35796" y="359"/>
                    <a:pt x="26651" y="2295"/>
                    <a:pt x="18028" y="5724"/>
                  </a:cubicBezTo>
                  <a:cubicBezTo>
                    <a:pt x="12286" y="8100"/>
                    <a:pt x="6199" y="9530"/>
                    <a:pt x="0" y="9960"/>
                  </a:cubicBezTo>
                  <a:lnTo>
                    <a:pt x="0" y="37002"/>
                  </a:lnTo>
                  <a:cubicBezTo>
                    <a:pt x="9274" y="36643"/>
                    <a:pt x="18418" y="34707"/>
                    <a:pt x="27042" y="31278"/>
                  </a:cubicBezTo>
                  <a:cubicBezTo>
                    <a:pt x="32767" y="28810"/>
                    <a:pt x="38856" y="27288"/>
                    <a:pt x="45070" y="26771"/>
                  </a:cubicBezTo>
                  <a:cubicBezTo>
                    <a:pt x="51283" y="27288"/>
                    <a:pt x="57372" y="28810"/>
                    <a:pt x="63097" y="31278"/>
                  </a:cubicBezTo>
                  <a:cubicBezTo>
                    <a:pt x="71721" y="34707"/>
                    <a:pt x="80866" y="36643"/>
                    <a:pt x="90139" y="37002"/>
                  </a:cubicBezTo>
                  <a:cubicBezTo>
                    <a:pt x="99413" y="36643"/>
                    <a:pt x="108557" y="34707"/>
                    <a:pt x="117181" y="31278"/>
                  </a:cubicBezTo>
                  <a:cubicBezTo>
                    <a:pt x="122907" y="28810"/>
                    <a:pt x="128995" y="27288"/>
                    <a:pt x="135209" y="26771"/>
                  </a:cubicBezTo>
                  <a:cubicBezTo>
                    <a:pt x="141407" y="27201"/>
                    <a:pt x="147496" y="28632"/>
                    <a:pt x="153237" y="31008"/>
                  </a:cubicBezTo>
                  <a:cubicBezTo>
                    <a:pt x="161838" y="34550"/>
                    <a:pt x="170986" y="36578"/>
                    <a:pt x="180278" y="37002"/>
                  </a:cubicBezTo>
                  <a:cubicBezTo>
                    <a:pt x="189552" y="36643"/>
                    <a:pt x="198696" y="34707"/>
                    <a:pt x="207320" y="31278"/>
                  </a:cubicBezTo>
                  <a:cubicBezTo>
                    <a:pt x="213046" y="28810"/>
                    <a:pt x="219134" y="27288"/>
                    <a:pt x="225348" y="26771"/>
                  </a:cubicBezTo>
                  <a:cubicBezTo>
                    <a:pt x="231562" y="27288"/>
                    <a:pt x="237650" y="28810"/>
                    <a:pt x="243376" y="31278"/>
                  </a:cubicBezTo>
                  <a:cubicBezTo>
                    <a:pt x="251999" y="34707"/>
                    <a:pt x="261144" y="36643"/>
                    <a:pt x="270418" y="37002"/>
                  </a:cubicBezTo>
                  <a:cubicBezTo>
                    <a:pt x="279691" y="36643"/>
                    <a:pt x="288836" y="34707"/>
                    <a:pt x="297459" y="31278"/>
                  </a:cubicBezTo>
                  <a:cubicBezTo>
                    <a:pt x="303185" y="28810"/>
                    <a:pt x="309273" y="27288"/>
                    <a:pt x="315487" y="26771"/>
                  </a:cubicBezTo>
                  <a:cubicBezTo>
                    <a:pt x="321686" y="27201"/>
                    <a:pt x="327774" y="28632"/>
                    <a:pt x="333515" y="31008"/>
                  </a:cubicBezTo>
                  <a:cubicBezTo>
                    <a:pt x="342116" y="34550"/>
                    <a:pt x="351265" y="36578"/>
                    <a:pt x="360557" y="37002"/>
                  </a:cubicBezTo>
                  <a:lnTo>
                    <a:pt x="360557" y="9960"/>
                  </a:lnTo>
                  <a:cubicBezTo>
                    <a:pt x="354358" y="9530"/>
                    <a:pt x="348270" y="8100"/>
                    <a:pt x="342529" y="5724"/>
                  </a:cubicBezTo>
                  <a:cubicBezTo>
                    <a:pt x="333905" y="2295"/>
                    <a:pt x="324761" y="359"/>
                    <a:pt x="315487" y="0"/>
                  </a:cubicBezTo>
                  <a:close/>
                </a:path>
              </a:pathLst>
            </a:custGeom>
            <a:grpFill/>
            <a:ln w="4465" cap="flat">
              <a:noFill/>
              <a:prstDash val="solid"/>
              <a:miter/>
            </a:ln>
          </xdr:spPr>
          <xdr:txBody>
            <a:bodyPr wrap="square" rtlCol="0" anchor="ct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s-CO"/>
            </a:p>
          </xdr:txBody>
        </xdr:sp>
        <xdr:sp macro="" textlink="">
          <xdr:nvSpPr>
            <xdr:cNvPr id="85" name="Forma libre: forma 50">
              <a:extLst>
                <a:ext uri="{FF2B5EF4-FFF2-40B4-BE49-F238E27FC236}">
                  <a16:creationId xmlns:a16="http://schemas.microsoft.com/office/drawing/2014/main" id="{C395E58D-62E4-0DD4-3FEC-D71CC6582F8A}"/>
                </a:ext>
              </a:extLst>
            </xdr:cNvPr>
            <xdr:cNvSpPr/>
          </xdr:nvSpPr>
          <xdr:spPr>
            <a:xfrm>
              <a:off x="5149091" y="4047582"/>
              <a:ext cx="360556" cy="37002"/>
            </a:xfrm>
            <a:custGeom>
              <a:avLst/>
              <a:gdLst>
                <a:gd name="connsiteX0" fmla="*/ 315487 w 360556"/>
                <a:gd name="connsiteY0" fmla="*/ 0 h 37002"/>
                <a:gd name="connsiteX1" fmla="*/ 288445 w 360556"/>
                <a:gd name="connsiteY1" fmla="*/ 5724 h 37002"/>
                <a:gd name="connsiteX2" fmla="*/ 270418 w 360556"/>
                <a:gd name="connsiteY2" fmla="*/ 9960 h 37002"/>
                <a:gd name="connsiteX3" fmla="*/ 252390 w 360556"/>
                <a:gd name="connsiteY3" fmla="*/ 5724 h 37002"/>
                <a:gd name="connsiteX4" fmla="*/ 225348 w 360556"/>
                <a:gd name="connsiteY4" fmla="*/ 0 h 37002"/>
                <a:gd name="connsiteX5" fmla="*/ 198306 w 360556"/>
                <a:gd name="connsiteY5" fmla="*/ 5724 h 37002"/>
                <a:gd name="connsiteX6" fmla="*/ 180278 w 360556"/>
                <a:gd name="connsiteY6" fmla="*/ 9960 h 37002"/>
                <a:gd name="connsiteX7" fmla="*/ 162251 w 360556"/>
                <a:gd name="connsiteY7" fmla="*/ 5724 h 37002"/>
                <a:gd name="connsiteX8" fmla="*/ 135209 w 360556"/>
                <a:gd name="connsiteY8" fmla="*/ 0 h 37002"/>
                <a:gd name="connsiteX9" fmla="*/ 108167 w 360556"/>
                <a:gd name="connsiteY9" fmla="*/ 5724 h 37002"/>
                <a:gd name="connsiteX10" fmla="*/ 90139 w 360556"/>
                <a:gd name="connsiteY10" fmla="*/ 9960 h 37002"/>
                <a:gd name="connsiteX11" fmla="*/ 72111 w 360556"/>
                <a:gd name="connsiteY11" fmla="*/ 5724 h 37002"/>
                <a:gd name="connsiteX12" fmla="*/ 45070 w 360556"/>
                <a:gd name="connsiteY12" fmla="*/ 0 h 37002"/>
                <a:gd name="connsiteX13" fmla="*/ 18028 w 360556"/>
                <a:gd name="connsiteY13" fmla="*/ 5724 h 37002"/>
                <a:gd name="connsiteX14" fmla="*/ 0 w 360556"/>
                <a:gd name="connsiteY14" fmla="*/ 9960 h 37002"/>
                <a:gd name="connsiteX15" fmla="*/ 0 w 360556"/>
                <a:gd name="connsiteY15" fmla="*/ 37002 h 37002"/>
                <a:gd name="connsiteX16" fmla="*/ 27042 w 360556"/>
                <a:gd name="connsiteY16" fmla="*/ 31278 h 37002"/>
                <a:gd name="connsiteX17" fmla="*/ 45070 w 360556"/>
                <a:gd name="connsiteY17" fmla="*/ 26771 h 37002"/>
                <a:gd name="connsiteX18" fmla="*/ 63097 w 360556"/>
                <a:gd name="connsiteY18" fmla="*/ 31278 h 37002"/>
                <a:gd name="connsiteX19" fmla="*/ 90139 w 360556"/>
                <a:gd name="connsiteY19" fmla="*/ 37002 h 37002"/>
                <a:gd name="connsiteX20" fmla="*/ 117181 w 360556"/>
                <a:gd name="connsiteY20" fmla="*/ 31278 h 37002"/>
                <a:gd name="connsiteX21" fmla="*/ 135209 w 360556"/>
                <a:gd name="connsiteY21" fmla="*/ 26771 h 37002"/>
                <a:gd name="connsiteX22" fmla="*/ 153237 w 360556"/>
                <a:gd name="connsiteY22" fmla="*/ 31008 h 37002"/>
                <a:gd name="connsiteX23" fmla="*/ 180278 w 360556"/>
                <a:gd name="connsiteY23" fmla="*/ 37002 h 37002"/>
                <a:gd name="connsiteX24" fmla="*/ 207320 w 360556"/>
                <a:gd name="connsiteY24" fmla="*/ 31278 h 37002"/>
                <a:gd name="connsiteX25" fmla="*/ 225348 w 360556"/>
                <a:gd name="connsiteY25" fmla="*/ 26771 h 37002"/>
                <a:gd name="connsiteX26" fmla="*/ 243376 w 360556"/>
                <a:gd name="connsiteY26" fmla="*/ 31278 h 37002"/>
                <a:gd name="connsiteX27" fmla="*/ 270418 w 360556"/>
                <a:gd name="connsiteY27" fmla="*/ 37002 h 37002"/>
                <a:gd name="connsiteX28" fmla="*/ 297459 w 360556"/>
                <a:gd name="connsiteY28" fmla="*/ 31278 h 37002"/>
                <a:gd name="connsiteX29" fmla="*/ 315487 w 360556"/>
                <a:gd name="connsiteY29" fmla="*/ 26771 h 37002"/>
                <a:gd name="connsiteX30" fmla="*/ 333515 w 360556"/>
                <a:gd name="connsiteY30" fmla="*/ 31008 h 37002"/>
                <a:gd name="connsiteX31" fmla="*/ 360557 w 360556"/>
                <a:gd name="connsiteY31" fmla="*/ 37002 h 37002"/>
                <a:gd name="connsiteX32" fmla="*/ 360557 w 360556"/>
                <a:gd name="connsiteY32" fmla="*/ 9960 h 37002"/>
                <a:gd name="connsiteX33" fmla="*/ 342529 w 360556"/>
                <a:gd name="connsiteY33" fmla="*/ 5724 h 37002"/>
                <a:gd name="connsiteX34" fmla="*/ 315487 w 360556"/>
                <a:gd name="connsiteY34" fmla="*/ 0 h 37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360556" h="37002">
                  <a:moveTo>
                    <a:pt x="315487" y="0"/>
                  </a:moveTo>
                  <a:cubicBezTo>
                    <a:pt x="306214" y="359"/>
                    <a:pt x="297069" y="2295"/>
                    <a:pt x="288445" y="5724"/>
                  </a:cubicBezTo>
                  <a:cubicBezTo>
                    <a:pt x="282704" y="8100"/>
                    <a:pt x="276616" y="9530"/>
                    <a:pt x="270418" y="9960"/>
                  </a:cubicBezTo>
                  <a:cubicBezTo>
                    <a:pt x="264219" y="9530"/>
                    <a:pt x="258131" y="8100"/>
                    <a:pt x="252390" y="5724"/>
                  </a:cubicBezTo>
                  <a:cubicBezTo>
                    <a:pt x="243766" y="2295"/>
                    <a:pt x="234621" y="359"/>
                    <a:pt x="225348" y="0"/>
                  </a:cubicBezTo>
                  <a:cubicBezTo>
                    <a:pt x="216074" y="359"/>
                    <a:pt x="206930" y="2295"/>
                    <a:pt x="198306" y="5724"/>
                  </a:cubicBezTo>
                  <a:cubicBezTo>
                    <a:pt x="192565" y="8100"/>
                    <a:pt x="186477" y="9530"/>
                    <a:pt x="180278" y="9960"/>
                  </a:cubicBezTo>
                  <a:cubicBezTo>
                    <a:pt x="174080" y="9530"/>
                    <a:pt x="167991" y="8100"/>
                    <a:pt x="162251" y="5724"/>
                  </a:cubicBezTo>
                  <a:cubicBezTo>
                    <a:pt x="153627" y="2295"/>
                    <a:pt x="144482" y="359"/>
                    <a:pt x="135209" y="0"/>
                  </a:cubicBezTo>
                  <a:cubicBezTo>
                    <a:pt x="125935" y="359"/>
                    <a:pt x="116791" y="2295"/>
                    <a:pt x="108167" y="5724"/>
                  </a:cubicBezTo>
                  <a:cubicBezTo>
                    <a:pt x="102426" y="8100"/>
                    <a:pt x="96338" y="9530"/>
                    <a:pt x="90139" y="9960"/>
                  </a:cubicBezTo>
                  <a:cubicBezTo>
                    <a:pt x="83941" y="9530"/>
                    <a:pt x="77853" y="8100"/>
                    <a:pt x="72111" y="5724"/>
                  </a:cubicBezTo>
                  <a:cubicBezTo>
                    <a:pt x="63488" y="2295"/>
                    <a:pt x="54343" y="359"/>
                    <a:pt x="45070" y="0"/>
                  </a:cubicBezTo>
                  <a:cubicBezTo>
                    <a:pt x="35796" y="359"/>
                    <a:pt x="26651" y="2295"/>
                    <a:pt x="18028" y="5724"/>
                  </a:cubicBezTo>
                  <a:cubicBezTo>
                    <a:pt x="12286" y="8100"/>
                    <a:pt x="6199" y="9530"/>
                    <a:pt x="0" y="9960"/>
                  </a:cubicBezTo>
                  <a:lnTo>
                    <a:pt x="0" y="37002"/>
                  </a:lnTo>
                  <a:cubicBezTo>
                    <a:pt x="9274" y="36643"/>
                    <a:pt x="18418" y="34707"/>
                    <a:pt x="27042" y="31278"/>
                  </a:cubicBezTo>
                  <a:cubicBezTo>
                    <a:pt x="32767" y="28810"/>
                    <a:pt x="38856" y="27288"/>
                    <a:pt x="45070" y="26771"/>
                  </a:cubicBezTo>
                  <a:cubicBezTo>
                    <a:pt x="51283" y="27288"/>
                    <a:pt x="57372" y="28810"/>
                    <a:pt x="63097" y="31278"/>
                  </a:cubicBezTo>
                  <a:cubicBezTo>
                    <a:pt x="71721" y="34707"/>
                    <a:pt x="80866" y="36643"/>
                    <a:pt x="90139" y="37002"/>
                  </a:cubicBezTo>
                  <a:cubicBezTo>
                    <a:pt x="99413" y="36643"/>
                    <a:pt x="108557" y="34707"/>
                    <a:pt x="117181" y="31278"/>
                  </a:cubicBezTo>
                  <a:cubicBezTo>
                    <a:pt x="122907" y="28810"/>
                    <a:pt x="128995" y="27288"/>
                    <a:pt x="135209" y="26771"/>
                  </a:cubicBezTo>
                  <a:cubicBezTo>
                    <a:pt x="141407" y="27201"/>
                    <a:pt x="147496" y="28632"/>
                    <a:pt x="153237" y="31008"/>
                  </a:cubicBezTo>
                  <a:cubicBezTo>
                    <a:pt x="161838" y="34550"/>
                    <a:pt x="170986" y="36578"/>
                    <a:pt x="180278" y="37002"/>
                  </a:cubicBezTo>
                  <a:cubicBezTo>
                    <a:pt x="189552" y="36643"/>
                    <a:pt x="198696" y="34707"/>
                    <a:pt x="207320" y="31278"/>
                  </a:cubicBezTo>
                  <a:cubicBezTo>
                    <a:pt x="213046" y="28810"/>
                    <a:pt x="219134" y="27288"/>
                    <a:pt x="225348" y="26771"/>
                  </a:cubicBezTo>
                  <a:cubicBezTo>
                    <a:pt x="231562" y="27288"/>
                    <a:pt x="237650" y="28810"/>
                    <a:pt x="243376" y="31278"/>
                  </a:cubicBezTo>
                  <a:cubicBezTo>
                    <a:pt x="251999" y="34707"/>
                    <a:pt x="261144" y="36643"/>
                    <a:pt x="270418" y="37002"/>
                  </a:cubicBezTo>
                  <a:cubicBezTo>
                    <a:pt x="279691" y="36643"/>
                    <a:pt x="288836" y="34707"/>
                    <a:pt x="297459" y="31278"/>
                  </a:cubicBezTo>
                  <a:cubicBezTo>
                    <a:pt x="303185" y="28810"/>
                    <a:pt x="309273" y="27288"/>
                    <a:pt x="315487" y="26771"/>
                  </a:cubicBezTo>
                  <a:cubicBezTo>
                    <a:pt x="321686" y="27201"/>
                    <a:pt x="327774" y="28632"/>
                    <a:pt x="333515" y="31008"/>
                  </a:cubicBezTo>
                  <a:cubicBezTo>
                    <a:pt x="342116" y="34550"/>
                    <a:pt x="351265" y="36578"/>
                    <a:pt x="360557" y="37002"/>
                  </a:cubicBezTo>
                  <a:lnTo>
                    <a:pt x="360557" y="9960"/>
                  </a:lnTo>
                  <a:cubicBezTo>
                    <a:pt x="354358" y="9530"/>
                    <a:pt x="348270" y="8100"/>
                    <a:pt x="342529" y="5724"/>
                  </a:cubicBezTo>
                  <a:cubicBezTo>
                    <a:pt x="333905" y="2295"/>
                    <a:pt x="324761" y="359"/>
                    <a:pt x="315487" y="0"/>
                  </a:cubicBezTo>
                  <a:close/>
                </a:path>
              </a:pathLst>
            </a:custGeom>
            <a:grpFill/>
            <a:ln w="4465" cap="flat">
              <a:noFill/>
              <a:prstDash val="solid"/>
              <a:miter/>
            </a:ln>
          </xdr:spPr>
          <xdr:txBody>
            <a:bodyPr wrap="square" rtlCol="0" anchor="ct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s-CO"/>
            </a:p>
          </xdr:txBody>
        </xdr:sp>
        <xdr:sp macro="" textlink="">
          <xdr:nvSpPr>
            <xdr:cNvPr id="86" name="Forma libre: forma 51">
              <a:extLst>
                <a:ext uri="{FF2B5EF4-FFF2-40B4-BE49-F238E27FC236}">
                  <a16:creationId xmlns:a16="http://schemas.microsoft.com/office/drawing/2014/main" id="{EB396B09-081E-0EBE-B68E-8760C04E3038}"/>
                </a:ext>
              </a:extLst>
            </xdr:cNvPr>
            <xdr:cNvSpPr/>
          </xdr:nvSpPr>
          <xdr:spPr>
            <a:xfrm>
              <a:off x="5149091" y="4090404"/>
              <a:ext cx="360556" cy="37002"/>
            </a:xfrm>
            <a:custGeom>
              <a:avLst/>
              <a:gdLst>
                <a:gd name="connsiteX0" fmla="*/ 315487 w 360556"/>
                <a:gd name="connsiteY0" fmla="*/ 0 h 37002"/>
                <a:gd name="connsiteX1" fmla="*/ 288445 w 360556"/>
                <a:gd name="connsiteY1" fmla="*/ 5724 h 37002"/>
                <a:gd name="connsiteX2" fmla="*/ 270418 w 360556"/>
                <a:gd name="connsiteY2" fmla="*/ 9960 h 37002"/>
                <a:gd name="connsiteX3" fmla="*/ 252390 w 360556"/>
                <a:gd name="connsiteY3" fmla="*/ 5724 h 37002"/>
                <a:gd name="connsiteX4" fmla="*/ 225348 w 360556"/>
                <a:gd name="connsiteY4" fmla="*/ 0 h 37002"/>
                <a:gd name="connsiteX5" fmla="*/ 198306 w 360556"/>
                <a:gd name="connsiteY5" fmla="*/ 5724 h 37002"/>
                <a:gd name="connsiteX6" fmla="*/ 180278 w 360556"/>
                <a:gd name="connsiteY6" fmla="*/ 9960 h 37002"/>
                <a:gd name="connsiteX7" fmla="*/ 162251 w 360556"/>
                <a:gd name="connsiteY7" fmla="*/ 5724 h 37002"/>
                <a:gd name="connsiteX8" fmla="*/ 135209 w 360556"/>
                <a:gd name="connsiteY8" fmla="*/ 0 h 37002"/>
                <a:gd name="connsiteX9" fmla="*/ 108167 w 360556"/>
                <a:gd name="connsiteY9" fmla="*/ 5724 h 37002"/>
                <a:gd name="connsiteX10" fmla="*/ 90139 w 360556"/>
                <a:gd name="connsiteY10" fmla="*/ 9960 h 37002"/>
                <a:gd name="connsiteX11" fmla="*/ 72111 w 360556"/>
                <a:gd name="connsiteY11" fmla="*/ 5724 h 37002"/>
                <a:gd name="connsiteX12" fmla="*/ 45070 w 360556"/>
                <a:gd name="connsiteY12" fmla="*/ 0 h 37002"/>
                <a:gd name="connsiteX13" fmla="*/ 18028 w 360556"/>
                <a:gd name="connsiteY13" fmla="*/ 5724 h 37002"/>
                <a:gd name="connsiteX14" fmla="*/ 0 w 360556"/>
                <a:gd name="connsiteY14" fmla="*/ 9960 h 37002"/>
                <a:gd name="connsiteX15" fmla="*/ 0 w 360556"/>
                <a:gd name="connsiteY15" fmla="*/ 37002 h 37002"/>
                <a:gd name="connsiteX16" fmla="*/ 27042 w 360556"/>
                <a:gd name="connsiteY16" fmla="*/ 31278 h 37002"/>
                <a:gd name="connsiteX17" fmla="*/ 45070 w 360556"/>
                <a:gd name="connsiteY17" fmla="*/ 26771 h 37002"/>
                <a:gd name="connsiteX18" fmla="*/ 63097 w 360556"/>
                <a:gd name="connsiteY18" fmla="*/ 31278 h 37002"/>
                <a:gd name="connsiteX19" fmla="*/ 90139 w 360556"/>
                <a:gd name="connsiteY19" fmla="*/ 37002 h 37002"/>
                <a:gd name="connsiteX20" fmla="*/ 117181 w 360556"/>
                <a:gd name="connsiteY20" fmla="*/ 31278 h 37002"/>
                <a:gd name="connsiteX21" fmla="*/ 135209 w 360556"/>
                <a:gd name="connsiteY21" fmla="*/ 26771 h 37002"/>
                <a:gd name="connsiteX22" fmla="*/ 153237 w 360556"/>
                <a:gd name="connsiteY22" fmla="*/ 31008 h 37002"/>
                <a:gd name="connsiteX23" fmla="*/ 180278 w 360556"/>
                <a:gd name="connsiteY23" fmla="*/ 37002 h 37002"/>
                <a:gd name="connsiteX24" fmla="*/ 207320 w 360556"/>
                <a:gd name="connsiteY24" fmla="*/ 31278 h 37002"/>
                <a:gd name="connsiteX25" fmla="*/ 225348 w 360556"/>
                <a:gd name="connsiteY25" fmla="*/ 26771 h 37002"/>
                <a:gd name="connsiteX26" fmla="*/ 243376 w 360556"/>
                <a:gd name="connsiteY26" fmla="*/ 31278 h 37002"/>
                <a:gd name="connsiteX27" fmla="*/ 270418 w 360556"/>
                <a:gd name="connsiteY27" fmla="*/ 37002 h 37002"/>
                <a:gd name="connsiteX28" fmla="*/ 297459 w 360556"/>
                <a:gd name="connsiteY28" fmla="*/ 31278 h 37002"/>
                <a:gd name="connsiteX29" fmla="*/ 315487 w 360556"/>
                <a:gd name="connsiteY29" fmla="*/ 26771 h 37002"/>
                <a:gd name="connsiteX30" fmla="*/ 333515 w 360556"/>
                <a:gd name="connsiteY30" fmla="*/ 31008 h 37002"/>
                <a:gd name="connsiteX31" fmla="*/ 360557 w 360556"/>
                <a:gd name="connsiteY31" fmla="*/ 37002 h 37002"/>
                <a:gd name="connsiteX32" fmla="*/ 360557 w 360556"/>
                <a:gd name="connsiteY32" fmla="*/ 9960 h 37002"/>
                <a:gd name="connsiteX33" fmla="*/ 342529 w 360556"/>
                <a:gd name="connsiteY33" fmla="*/ 5724 h 37002"/>
                <a:gd name="connsiteX34" fmla="*/ 315487 w 360556"/>
                <a:gd name="connsiteY34" fmla="*/ 0 h 370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360556" h="37002">
                  <a:moveTo>
                    <a:pt x="315487" y="0"/>
                  </a:moveTo>
                  <a:cubicBezTo>
                    <a:pt x="306214" y="359"/>
                    <a:pt x="297069" y="2295"/>
                    <a:pt x="288445" y="5724"/>
                  </a:cubicBezTo>
                  <a:cubicBezTo>
                    <a:pt x="282704" y="8100"/>
                    <a:pt x="276616" y="9530"/>
                    <a:pt x="270418" y="9960"/>
                  </a:cubicBezTo>
                  <a:cubicBezTo>
                    <a:pt x="264219" y="9530"/>
                    <a:pt x="258131" y="8100"/>
                    <a:pt x="252390" y="5724"/>
                  </a:cubicBezTo>
                  <a:cubicBezTo>
                    <a:pt x="243766" y="2295"/>
                    <a:pt x="234621" y="359"/>
                    <a:pt x="225348" y="0"/>
                  </a:cubicBezTo>
                  <a:cubicBezTo>
                    <a:pt x="216074" y="359"/>
                    <a:pt x="206930" y="2295"/>
                    <a:pt x="198306" y="5724"/>
                  </a:cubicBezTo>
                  <a:cubicBezTo>
                    <a:pt x="192565" y="8100"/>
                    <a:pt x="186477" y="9530"/>
                    <a:pt x="180278" y="9960"/>
                  </a:cubicBezTo>
                  <a:cubicBezTo>
                    <a:pt x="174080" y="9530"/>
                    <a:pt x="167991" y="8100"/>
                    <a:pt x="162251" y="5724"/>
                  </a:cubicBezTo>
                  <a:cubicBezTo>
                    <a:pt x="153627" y="2295"/>
                    <a:pt x="144482" y="359"/>
                    <a:pt x="135209" y="0"/>
                  </a:cubicBezTo>
                  <a:cubicBezTo>
                    <a:pt x="125935" y="359"/>
                    <a:pt x="116791" y="2295"/>
                    <a:pt x="108167" y="5724"/>
                  </a:cubicBezTo>
                  <a:cubicBezTo>
                    <a:pt x="102426" y="8100"/>
                    <a:pt x="96338" y="9530"/>
                    <a:pt x="90139" y="9960"/>
                  </a:cubicBezTo>
                  <a:cubicBezTo>
                    <a:pt x="83941" y="9530"/>
                    <a:pt x="77853" y="8100"/>
                    <a:pt x="72111" y="5724"/>
                  </a:cubicBezTo>
                  <a:cubicBezTo>
                    <a:pt x="63488" y="2295"/>
                    <a:pt x="54343" y="359"/>
                    <a:pt x="45070" y="0"/>
                  </a:cubicBezTo>
                  <a:cubicBezTo>
                    <a:pt x="35796" y="359"/>
                    <a:pt x="26651" y="2295"/>
                    <a:pt x="18028" y="5724"/>
                  </a:cubicBezTo>
                  <a:cubicBezTo>
                    <a:pt x="12286" y="8100"/>
                    <a:pt x="6199" y="9530"/>
                    <a:pt x="0" y="9960"/>
                  </a:cubicBezTo>
                  <a:lnTo>
                    <a:pt x="0" y="37002"/>
                  </a:lnTo>
                  <a:cubicBezTo>
                    <a:pt x="9274" y="36643"/>
                    <a:pt x="18418" y="34707"/>
                    <a:pt x="27042" y="31278"/>
                  </a:cubicBezTo>
                  <a:cubicBezTo>
                    <a:pt x="32767" y="28810"/>
                    <a:pt x="38856" y="27288"/>
                    <a:pt x="45070" y="26771"/>
                  </a:cubicBezTo>
                  <a:cubicBezTo>
                    <a:pt x="51283" y="27288"/>
                    <a:pt x="57372" y="28810"/>
                    <a:pt x="63097" y="31278"/>
                  </a:cubicBezTo>
                  <a:cubicBezTo>
                    <a:pt x="71721" y="34707"/>
                    <a:pt x="80866" y="36643"/>
                    <a:pt x="90139" y="37002"/>
                  </a:cubicBezTo>
                  <a:cubicBezTo>
                    <a:pt x="99413" y="36643"/>
                    <a:pt x="108557" y="34707"/>
                    <a:pt x="117181" y="31278"/>
                  </a:cubicBezTo>
                  <a:cubicBezTo>
                    <a:pt x="122907" y="28810"/>
                    <a:pt x="128995" y="27288"/>
                    <a:pt x="135209" y="26771"/>
                  </a:cubicBezTo>
                  <a:cubicBezTo>
                    <a:pt x="141407" y="27201"/>
                    <a:pt x="147496" y="28632"/>
                    <a:pt x="153237" y="31008"/>
                  </a:cubicBezTo>
                  <a:cubicBezTo>
                    <a:pt x="161838" y="34550"/>
                    <a:pt x="170986" y="36578"/>
                    <a:pt x="180278" y="37002"/>
                  </a:cubicBezTo>
                  <a:cubicBezTo>
                    <a:pt x="189552" y="36643"/>
                    <a:pt x="198696" y="34707"/>
                    <a:pt x="207320" y="31278"/>
                  </a:cubicBezTo>
                  <a:cubicBezTo>
                    <a:pt x="213046" y="28810"/>
                    <a:pt x="219134" y="27288"/>
                    <a:pt x="225348" y="26771"/>
                  </a:cubicBezTo>
                  <a:cubicBezTo>
                    <a:pt x="231562" y="27288"/>
                    <a:pt x="237650" y="28810"/>
                    <a:pt x="243376" y="31278"/>
                  </a:cubicBezTo>
                  <a:cubicBezTo>
                    <a:pt x="251999" y="34707"/>
                    <a:pt x="261144" y="36643"/>
                    <a:pt x="270418" y="37002"/>
                  </a:cubicBezTo>
                  <a:cubicBezTo>
                    <a:pt x="279691" y="36643"/>
                    <a:pt x="288836" y="34707"/>
                    <a:pt x="297459" y="31278"/>
                  </a:cubicBezTo>
                  <a:cubicBezTo>
                    <a:pt x="303185" y="28810"/>
                    <a:pt x="309273" y="27288"/>
                    <a:pt x="315487" y="26771"/>
                  </a:cubicBezTo>
                  <a:cubicBezTo>
                    <a:pt x="321686" y="27201"/>
                    <a:pt x="327774" y="28632"/>
                    <a:pt x="333515" y="31008"/>
                  </a:cubicBezTo>
                  <a:cubicBezTo>
                    <a:pt x="342116" y="34550"/>
                    <a:pt x="351265" y="36578"/>
                    <a:pt x="360557" y="37002"/>
                  </a:cubicBezTo>
                  <a:lnTo>
                    <a:pt x="360557" y="9960"/>
                  </a:lnTo>
                  <a:cubicBezTo>
                    <a:pt x="354358" y="9530"/>
                    <a:pt x="348270" y="8100"/>
                    <a:pt x="342529" y="5724"/>
                  </a:cubicBezTo>
                  <a:cubicBezTo>
                    <a:pt x="333905" y="2295"/>
                    <a:pt x="324761" y="359"/>
                    <a:pt x="315487" y="0"/>
                  </a:cubicBezTo>
                  <a:close/>
                </a:path>
              </a:pathLst>
            </a:custGeom>
            <a:grpFill/>
            <a:ln w="4465" cap="flat">
              <a:noFill/>
              <a:prstDash val="solid"/>
              <a:miter/>
            </a:ln>
          </xdr:spPr>
          <xdr:txBody>
            <a:bodyPr wrap="square" rtlCol="0" anchor="ctr"/>
            <a:lstStyle>
              <a:defPPr>
                <a:defRPr lang="es-CO"/>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s-CO"/>
            </a:p>
          </xdr:txBody>
        </xdr:sp>
      </xdr:grpSp>
      <xdr:grpSp>
        <xdr:nvGrpSpPr>
          <xdr:cNvPr id="87" name="Grupo 45">
            <a:extLst>
              <a:ext uri="{FF2B5EF4-FFF2-40B4-BE49-F238E27FC236}">
                <a16:creationId xmlns:a16="http://schemas.microsoft.com/office/drawing/2014/main" id="{2A785B78-3ACA-09B1-0C03-7F748DED64BF}"/>
              </a:ext>
            </a:extLst>
          </xdr:cNvPr>
          <xdr:cNvGrpSpPr/>
        </xdr:nvGrpSpPr>
        <xdr:grpSpPr>
          <a:xfrm>
            <a:off x="8329508" y="3393580"/>
            <a:ext cx="372881" cy="366023"/>
            <a:chOff x="5043106" y="4147701"/>
            <a:chExt cx="452338" cy="438276"/>
          </a:xfrm>
          <a:solidFill>
            <a:srgbClr val="122133"/>
          </a:solidFill>
        </xdr:grpSpPr>
        <xdr:pic>
          <xdr:nvPicPr>
            <xdr:cNvPr id="88" name="Gráfico 60" descr="Bola de confeti con relleno sólido">
              <a:extLst>
                <a:ext uri="{FF2B5EF4-FFF2-40B4-BE49-F238E27FC236}">
                  <a16:creationId xmlns:a16="http://schemas.microsoft.com/office/drawing/2014/main" id="{A7A46D6F-6A35-D86D-6204-FA4686549C04}"/>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5259054" y="4153769"/>
              <a:ext cx="236390" cy="236390"/>
            </a:xfrm>
            <a:prstGeom prst="rect">
              <a:avLst/>
            </a:prstGeom>
          </xdr:spPr>
        </xdr:pic>
        <xdr:pic>
          <xdr:nvPicPr>
            <xdr:cNvPr id="89" name="Gráfico 75" descr="Mujer artista con relleno sólido">
              <a:extLst>
                <a:ext uri="{FF2B5EF4-FFF2-40B4-BE49-F238E27FC236}">
                  <a16:creationId xmlns:a16="http://schemas.microsoft.com/office/drawing/2014/main" id="{ABCA5446-6A1C-C000-9943-F86413A61C9E}"/>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5043106" y="4147701"/>
              <a:ext cx="260822" cy="260822"/>
            </a:xfrm>
            <a:prstGeom prst="rect">
              <a:avLst/>
            </a:prstGeom>
          </xdr:spPr>
        </xdr:pic>
        <xdr:pic>
          <xdr:nvPicPr>
            <xdr:cNvPr id="90" name="Gráfico 79" descr="Sombrero de bufón con relleno sólido">
              <a:extLst>
                <a:ext uri="{FF2B5EF4-FFF2-40B4-BE49-F238E27FC236}">
                  <a16:creationId xmlns:a16="http://schemas.microsoft.com/office/drawing/2014/main" id="{8DA5B827-5B76-AAC2-9425-FA5146F0F564}"/>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 uri="{96DAC541-7B7A-43D3-8B79-37D633B846F1}">
                  <asvg:svgBlip xmlns:asvg="http://schemas.microsoft.com/office/drawing/2016/SVG/main" r:embed="rId24"/>
                </a:ext>
              </a:extLst>
            </a:blip>
            <a:stretch>
              <a:fillRect/>
            </a:stretch>
          </xdr:blipFill>
          <xdr:spPr>
            <a:xfrm>
              <a:off x="5147758" y="4325155"/>
              <a:ext cx="260822" cy="260822"/>
            </a:xfrm>
            <a:prstGeom prst="rect">
              <a:avLst/>
            </a:prstGeom>
          </xdr:spPr>
        </xdr:pic>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barranquilla-my.sharepoint.com/Users/ramonquintero/Library/Containers/com.microsoft.Excel/Data/Documents/C:/Users/Isiaravi/Desktop/Files/GABI/giglesia@barranquilla.gov.co/2.%20INFORME%20_CXP%20Y%20RESERVASVV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GERENCIA%20BARRANQUILLA%20GYJ\BASE%20DE%20DATOS\Otros\Base%20Proyectos_Seguimiento_16-09-2025.xlsx" TargetMode="External"/><Relationship Id="rId1" Type="http://schemas.openxmlformats.org/officeDocument/2006/relationships/externalLinkPath" Target="file:///F:\GERENCIA%20BARRANQUILLA%20GYJ\BASE%20DE%20DATOS\Otros\Base%20Proyectos_Seguimiento_16-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entes de Financiación"/>
      <sheetName val="Presentación"/>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atos Marco"/>
      <sheetName val="Proyectos Base digitable"/>
      <sheetName val="Proyectos"/>
      <sheetName val="PD_2024_2027"/>
      <sheetName val="Registro Fotografico"/>
      <sheetName val="Diccionario de Conceptos"/>
      <sheetName val="Listas"/>
      <sheetName val="Dinámicas"/>
      <sheetName val="Reporte"/>
      <sheetName val="Hoja1"/>
    </sheetNames>
    <sheetDataSet>
      <sheetData sheetId="0"/>
      <sheetData sheetId="1"/>
      <sheetData sheetId="2"/>
      <sheetData sheetId="3"/>
      <sheetData sheetId="4"/>
      <sheetData sheetId="5"/>
      <sheetData sheetId="6">
        <row r="2">
          <cell r="B2" t="str">
            <v>METROPOLITANA</v>
          </cell>
          <cell r="C2" t="str">
            <v>20 DE JULIO</v>
          </cell>
        </row>
        <row r="3">
          <cell r="B3" t="str">
            <v>METROPOLITANA</v>
          </cell>
          <cell r="C3" t="str">
            <v>7 DE ABRIL</v>
          </cell>
        </row>
        <row r="4">
          <cell r="B4" t="str">
            <v>SUROCCIDENTE</v>
          </cell>
          <cell r="C4" t="str">
            <v>7 DE AGOSTO</v>
          </cell>
        </row>
        <row r="5">
          <cell r="B5" t="str">
            <v>RIOMAR</v>
          </cell>
          <cell r="C5" t="str">
            <v>ADELA DE CHAR</v>
          </cell>
        </row>
        <row r="6">
          <cell r="B6" t="str">
            <v>NORTE-CENTRO HISTORICO</v>
          </cell>
          <cell r="C6" t="str">
            <v>ALAMEDA DEL RIO</v>
          </cell>
        </row>
        <row r="7">
          <cell r="B7" t="str">
            <v>SURORIENTE</v>
          </cell>
          <cell r="C7" t="str">
            <v>ALFONSO LOPEZ</v>
          </cell>
        </row>
        <row r="8">
          <cell r="B8" t="str">
            <v>RIOMAR</v>
          </cell>
          <cell r="C8" t="str">
            <v>ALTAMIRA</v>
          </cell>
        </row>
        <row r="9">
          <cell r="B9" t="str">
            <v>RIOMAR</v>
          </cell>
          <cell r="C9" t="str">
            <v>ALTOS DE RIOMAR</v>
          </cell>
        </row>
        <row r="10">
          <cell r="B10" t="str">
            <v>RIOMAR</v>
          </cell>
          <cell r="C10" t="str">
            <v>ALTOS DEL LIMON</v>
          </cell>
        </row>
        <row r="11">
          <cell r="B11" t="str">
            <v>RIOMAR</v>
          </cell>
          <cell r="C11" t="str">
            <v>ALTO PRADO</v>
          </cell>
        </row>
        <row r="12">
          <cell r="B12" t="str">
            <v>NORTE-CENTRO HISTORICO</v>
          </cell>
          <cell r="C12" t="str">
            <v>AMERICA</v>
          </cell>
        </row>
        <row r="13">
          <cell r="B13" t="str">
            <v>RIOMAR</v>
          </cell>
          <cell r="C13" t="str">
            <v>ANDALUCIA</v>
          </cell>
        </row>
        <row r="14">
          <cell r="B14" t="str">
            <v>SURORIENTE</v>
          </cell>
          <cell r="C14" t="str">
            <v>ATLANTICO</v>
          </cell>
        </row>
        <row r="15">
          <cell r="B15" t="str">
            <v>NORTE-CENTRO HISTORICO</v>
          </cell>
          <cell r="C15" t="str">
            <v>BARLOVENTO</v>
          </cell>
        </row>
        <row r="16">
          <cell r="B16" t="str">
            <v>NORTE-CENTRO HISTORICO</v>
          </cell>
          <cell r="C16" t="str">
            <v>BARRANQUILLITA</v>
          </cell>
        </row>
        <row r="17">
          <cell r="B17" t="str">
            <v>NORTE-CENTRO HISTORICO</v>
          </cell>
          <cell r="C17" t="str">
            <v>BARRIO ABAJO</v>
          </cell>
        </row>
        <row r="18">
          <cell r="B18" t="str">
            <v>SURORIENTE</v>
          </cell>
          <cell r="C18" t="str">
            <v>BELLA ARENA</v>
          </cell>
        </row>
        <row r="19">
          <cell r="B19" t="str">
            <v>NORTE-CENTRO HISTORICO</v>
          </cell>
          <cell r="C19" t="str">
            <v>BELLAVISTA</v>
          </cell>
        </row>
        <row r="20">
          <cell r="B20" t="str">
            <v>SUROCCIDENTE</v>
          </cell>
          <cell r="C20" t="str">
            <v>BERNANDO HOYOS</v>
          </cell>
        </row>
        <row r="21">
          <cell r="B21" t="str">
            <v>NORTE-CENTRO HISTORICO</v>
          </cell>
          <cell r="C21" t="str">
            <v>BETANIA</v>
          </cell>
        </row>
        <row r="22">
          <cell r="B22" t="str">
            <v>NORTE-CENTRO HISTORICO</v>
          </cell>
          <cell r="C22" t="str">
            <v>BOSTON</v>
          </cell>
        </row>
        <row r="23">
          <cell r="B23" t="str">
            <v>SURORIENTE</v>
          </cell>
          <cell r="C23" t="str">
            <v>BOYACA</v>
          </cell>
        </row>
        <row r="24">
          <cell r="B24" t="str">
            <v>SUROCCIDENTE</v>
          </cell>
          <cell r="C24" t="str">
            <v>BUENA ESPERANZA</v>
          </cell>
        </row>
        <row r="25">
          <cell r="B25" t="str">
            <v>RIOMAR</v>
          </cell>
          <cell r="C25" t="str">
            <v>BUENAVISTA</v>
          </cell>
        </row>
        <row r="26">
          <cell r="B26" t="str">
            <v>METROPOLITANA</v>
          </cell>
          <cell r="C26" t="str">
            <v>BUENOS AIRES</v>
          </cell>
        </row>
        <row r="27">
          <cell r="B27" t="str">
            <v>SUROCCIDENTE</v>
          </cell>
          <cell r="C27" t="str">
            <v>CALIFORNIA</v>
          </cell>
        </row>
        <row r="28">
          <cell r="B28" t="str">
            <v>NORTE-CENTRO HISTORICO</v>
          </cell>
          <cell r="C28" t="str">
            <v>CAMPO ALEGRE</v>
          </cell>
        </row>
        <row r="29">
          <cell r="B29" t="str">
            <v>SUROCCIDENTE</v>
          </cell>
          <cell r="C29" t="str">
            <v>CARIBE VERDE</v>
          </cell>
        </row>
        <row r="30">
          <cell r="B30" t="str">
            <v>SUROCCIDENTE</v>
          </cell>
          <cell r="C30" t="str">
            <v>CARLOS MEISEL</v>
          </cell>
        </row>
        <row r="31">
          <cell r="B31" t="str">
            <v>METROPOLITANA</v>
          </cell>
          <cell r="C31" t="str">
            <v>CARRIZAL</v>
          </cell>
        </row>
        <row r="32">
          <cell r="B32" t="str">
            <v>NORTE-CENTRO HISTORICO</v>
          </cell>
          <cell r="C32" t="str">
            <v>CENTRO</v>
          </cell>
        </row>
        <row r="33">
          <cell r="B33" t="str">
            <v>METROPOLITANA</v>
          </cell>
          <cell r="C33" t="str">
            <v>CEVILLAR</v>
          </cell>
        </row>
        <row r="34">
          <cell r="B34" t="str">
            <v>SUROCCIDENTE</v>
          </cell>
          <cell r="C34" t="str">
            <v>CEVILLAR</v>
          </cell>
        </row>
        <row r="35">
          <cell r="B35" t="str">
            <v>SUROCCIDENTE</v>
          </cell>
          <cell r="C35" t="str">
            <v>CHIQUINQUIRA</v>
          </cell>
        </row>
        <row r="36">
          <cell r="B36" t="str">
            <v>SURORIENTE</v>
          </cell>
          <cell r="C36" t="str">
            <v>CHIQUINQUIRA</v>
          </cell>
        </row>
        <row r="37">
          <cell r="B37" t="str">
            <v>NORTE-CENTRO HISTORICO</v>
          </cell>
          <cell r="C37" t="str">
            <v>CIUDAD JARDIN</v>
          </cell>
        </row>
        <row r="38">
          <cell r="B38" t="str">
            <v>SUROCCIDENTE</v>
          </cell>
          <cell r="C38" t="str">
            <v>CIUDAD MODESTO</v>
          </cell>
        </row>
        <row r="39">
          <cell r="B39" t="str">
            <v>METROPOLITANA</v>
          </cell>
          <cell r="C39" t="str">
            <v>CIUDADELA 20 DE JULIO</v>
          </cell>
        </row>
        <row r="40">
          <cell r="B40" t="str">
            <v>SUROCCIDENTE</v>
          </cell>
          <cell r="C40" t="str">
            <v>COLINA CAMPESTRE</v>
          </cell>
        </row>
        <row r="41">
          <cell r="B41" t="str">
            <v>NORTE-CENTRO HISTORICO</v>
          </cell>
          <cell r="C41" t="str">
            <v>COLOMBIA</v>
          </cell>
        </row>
        <row r="42">
          <cell r="B42" t="str">
            <v>SUROCCIDENTE</v>
          </cell>
          <cell r="C42" t="str">
            <v>CORDIALIDAD</v>
          </cell>
        </row>
        <row r="43">
          <cell r="B43" t="str">
            <v>SUROCCIDENTE</v>
          </cell>
          <cell r="C43" t="str">
            <v>CUCHILLA DE VILLATE</v>
          </cell>
        </row>
        <row r="44">
          <cell r="B44" t="str">
            <v>NORTE-CENTRO HISTORICO</v>
          </cell>
          <cell r="C44" t="str">
            <v>EL BOLICHE</v>
          </cell>
        </row>
        <row r="45">
          <cell r="B45" t="str">
            <v>SUROCCIDENTE</v>
          </cell>
          <cell r="C45" t="str">
            <v>EL BOSQUE</v>
          </cell>
        </row>
        <row r="46">
          <cell r="B46" t="str">
            <v>SURORIENTE</v>
          </cell>
          <cell r="C46" t="str">
            <v>EL CAMPITO</v>
          </cell>
        </row>
        <row r="47">
          <cell r="B47" t="str">
            <v>SUROCCIDENTE</v>
          </cell>
          <cell r="C47" t="str">
            <v>EL CARMEN</v>
          </cell>
        </row>
        <row r="48">
          <cell r="B48" t="str">
            <v>NORTE-CENTRO HISTORICO</v>
          </cell>
          <cell r="C48" t="str">
            <v>EL CASTILLO</v>
          </cell>
        </row>
        <row r="49">
          <cell r="B49" t="str">
            <v>RIOMAR</v>
          </cell>
          <cell r="C49" t="str">
            <v>EL CASTILLO I</v>
          </cell>
        </row>
        <row r="50">
          <cell r="B50" t="str">
            <v>SUROCCIDENTE</v>
          </cell>
          <cell r="C50" t="str">
            <v>EL EDEN 2000</v>
          </cell>
        </row>
        <row r="51">
          <cell r="B51" t="str">
            <v>SURORIENTE</v>
          </cell>
          <cell r="C51" t="str">
            <v>EL FERRY</v>
          </cell>
        </row>
        <row r="52">
          <cell r="B52" t="str">
            <v>RIOMAR</v>
          </cell>
          <cell r="C52" t="str">
            <v>EL GOLF</v>
          </cell>
        </row>
        <row r="53">
          <cell r="B53" t="str">
            <v>SUROCCIDENTE</v>
          </cell>
          <cell r="C53" t="str">
            <v>EL GOLFO</v>
          </cell>
        </row>
        <row r="54">
          <cell r="B54" t="str">
            <v>SURORIENTE</v>
          </cell>
          <cell r="C54" t="str">
            <v>EL LIMON</v>
          </cell>
        </row>
        <row r="55">
          <cell r="B55" t="str">
            <v>RIOMAR</v>
          </cell>
          <cell r="C55" t="str">
            <v>EL LIMONCITO</v>
          </cell>
        </row>
        <row r="56">
          <cell r="B56" t="str">
            <v>SURORIENTE</v>
          </cell>
          <cell r="C56" t="str">
            <v>EL MILAGRO</v>
          </cell>
        </row>
        <row r="57">
          <cell r="B57" t="str">
            <v>RIOMAR</v>
          </cell>
          <cell r="C57" t="str">
            <v>EL POBLADO</v>
          </cell>
        </row>
        <row r="58">
          <cell r="B58" t="str">
            <v>SUROCCIDENTE</v>
          </cell>
          <cell r="C58" t="str">
            <v>EL POR FIN</v>
          </cell>
        </row>
        <row r="59">
          <cell r="B59" t="str">
            <v>NORTE-CENTRO HISTORICO</v>
          </cell>
          <cell r="C59" t="str">
            <v>EL PORVENIR</v>
          </cell>
        </row>
        <row r="60">
          <cell r="B60" t="str">
            <v>NORTE-CENTRO HISTORICO</v>
          </cell>
          <cell r="C60" t="str">
            <v>EL PRADO</v>
          </cell>
        </row>
        <row r="61">
          <cell r="B61" t="str">
            <v>SUROCCIDENTE</v>
          </cell>
          <cell r="C61" t="str">
            <v>EL PUEBLO</v>
          </cell>
        </row>
        <row r="62">
          <cell r="B62" t="str">
            <v>NORTE-CENTRO HISTORICO</v>
          </cell>
          <cell r="C62" t="str">
            <v>EL RECREO</v>
          </cell>
        </row>
        <row r="63">
          <cell r="B63" t="str">
            <v>SUROCCIDENTE</v>
          </cell>
          <cell r="C63" t="str">
            <v>EL RECREO</v>
          </cell>
        </row>
        <row r="64">
          <cell r="B64" t="str">
            <v>SUROCCIDENTE</v>
          </cell>
          <cell r="C64" t="str">
            <v>EL ROMANCE</v>
          </cell>
        </row>
        <row r="65">
          <cell r="B65" t="str">
            <v>NORTE-CENTRO HISTORICO</v>
          </cell>
          <cell r="C65" t="str">
            <v>EL ROSARIO</v>
          </cell>
        </row>
        <row r="66">
          <cell r="B66" t="str">
            <v>SUROCCIDENTE</v>
          </cell>
          <cell r="C66" t="str">
            <v>EL RUBI</v>
          </cell>
        </row>
        <row r="67">
          <cell r="B67" t="str">
            <v>METROPOLITANA</v>
          </cell>
          <cell r="C67" t="str">
            <v>EL SANTUARIO</v>
          </cell>
        </row>
        <row r="68">
          <cell r="B68" t="str">
            <v>SUROCCIDENTE</v>
          </cell>
          <cell r="C68" t="str">
            <v>EL SILENCIO</v>
          </cell>
        </row>
        <row r="69">
          <cell r="B69" t="str">
            <v>NORTE-CENTRO HISTORICO</v>
          </cell>
          <cell r="C69" t="str">
            <v>EL TABOR</v>
          </cell>
        </row>
        <row r="70">
          <cell r="B70" t="str">
            <v>SUROCCIDENTE</v>
          </cell>
          <cell r="C70" t="str">
            <v>EL VALLE</v>
          </cell>
        </row>
        <row r="71">
          <cell r="B71" t="str">
            <v>SUROCCIDENTE</v>
          </cell>
          <cell r="C71" t="str">
            <v>EVARISTO SOURDIS</v>
          </cell>
        </row>
        <row r="72">
          <cell r="B72" t="str">
            <v>NORTE-CENTRO HISTORICO</v>
          </cell>
          <cell r="C72" t="str">
            <v>GRANADILLO</v>
          </cell>
        </row>
        <row r="73">
          <cell r="B73" t="str">
            <v>SURORIENTE</v>
          </cell>
          <cell r="C73" t="str">
            <v>JOSE ANTONIO GALAN</v>
          </cell>
        </row>
        <row r="74">
          <cell r="B74" t="str">
            <v>SUROCCIDENTE</v>
          </cell>
          <cell r="C74" t="str">
            <v>JUAN MINA</v>
          </cell>
        </row>
        <row r="75">
          <cell r="B75" t="str">
            <v>SUROCCIDENTE</v>
          </cell>
          <cell r="C75" t="str">
            <v>KALAMARY</v>
          </cell>
        </row>
        <row r="76">
          <cell r="B76" t="str">
            <v>METROPOLITANA</v>
          </cell>
          <cell r="C76" t="str">
            <v>KENNEDY</v>
          </cell>
        </row>
        <row r="77">
          <cell r="B77" t="str">
            <v>SURORIENTE</v>
          </cell>
          <cell r="C77" t="str">
            <v>LA ALBORAYA</v>
          </cell>
        </row>
        <row r="78">
          <cell r="B78" t="str">
            <v>NORTE-CENTRO HISTORICO</v>
          </cell>
          <cell r="C78" t="str">
            <v>LA BENDICION DE DIOS</v>
          </cell>
        </row>
        <row r="79">
          <cell r="B79" t="str">
            <v>NORTE-CENTRO HISTORICO</v>
          </cell>
          <cell r="C79" t="str">
            <v>LA CAMPIÑA</v>
          </cell>
        </row>
        <row r="80">
          <cell r="B80" t="str">
            <v>RIOMAR</v>
          </cell>
          <cell r="C80" t="str">
            <v>LA CASTELLANA</v>
          </cell>
        </row>
        <row r="81">
          <cell r="B81" t="str">
            <v>SUROCCIDENTE</v>
          </cell>
          <cell r="C81" t="str">
            <v>LA CEIBA</v>
          </cell>
        </row>
        <row r="82">
          <cell r="B82" t="str">
            <v>SURORIENTE</v>
          </cell>
          <cell r="C82" t="str">
            <v>LA CHINITA</v>
          </cell>
        </row>
        <row r="83">
          <cell r="B83" t="str">
            <v>NORTE-CENTRO HISTORICO</v>
          </cell>
          <cell r="C83" t="str">
            <v>LA CONCEPCION</v>
          </cell>
        </row>
        <row r="84">
          <cell r="B84" t="str">
            <v>NORTE-CENTRO HISTORICO</v>
          </cell>
          <cell r="C84" t="str">
            <v>LA CUMBRE</v>
          </cell>
        </row>
        <row r="85">
          <cell r="B85" t="str">
            <v>SUROCCIDENTE</v>
          </cell>
          <cell r="C85" t="str">
            <v>LA ESMERALDA</v>
          </cell>
        </row>
        <row r="86">
          <cell r="B86" t="str">
            <v>NORTE-CENTRO HISTORICO</v>
          </cell>
          <cell r="C86" t="str">
            <v>LA FELICIDAD</v>
          </cell>
        </row>
        <row r="87">
          <cell r="B87" t="str">
            <v>RIOMAR</v>
          </cell>
          <cell r="C87" t="str">
            <v>LA FLORESTA</v>
          </cell>
        </row>
        <row r="88">
          <cell r="B88" t="str">
            <v>SUROCCIDENTE</v>
          </cell>
          <cell r="C88" t="str">
            <v>LA FLORIDA</v>
          </cell>
        </row>
        <row r="89">
          <cell r="B89" t="str">
            <v>SUROCCIDENTE</v>
          </cell>
          <cell r="C89" t="str">
            <v>LA GLORIA</v>
          </cell>
        </row>
        <row r="90">
          <cell r="B90" t="str">
            <v>SUROCCIDENTE</v>
          </cell>
          <cell r="C90" t="str">
            <v>LA LIBERTAD</v>
          </cell>
        </row>
        <row r="91">
          <cell r="B91" t="str">
            <v>NORTE-CENTRO HISTORICO</v>
          </cell>
          <cell r="C91" t="str">
            <v>LA LOMA</v>
          </cell>
        </row>
        <row r="92">
          <cell r="B92" t="str">
            <v>SURORIENTE</v>
          </cell>
          <cell r="C92" t="str">
            <v>LA LUZ</v>
          </cell>
        </row>
        <row r="93">
          <cell r="B93" t="str">
            <v>SURORIENTE</v>
          </cell>
          <cell r="C93" t="str">
            <v>LA MAGDALENA</v>
          </cell>
        </row>
        <row r="94">
          <cell r="B94" t="str">
            <v>SUROCCIDENTE</v>
          </cell>
          <cell r="C94" t="str">
            <v>LA MANGA</v>
          </cell>
        </row>
        <row r="95">
          <cell r="B95" t="str">
            <v>SUROCCIDENTE</v>
          </cell>
          <cell r="C95" t="str">
            <v>LA PAZ</v>
          </cell>
        </row>
        <row r="96">
          <cell r="B96" t="str">
            <v>RIOMAR</v>
          </cell>
          <cell r="C96" t="str">
            <v>LA PLAYA</v>
          </cell>
        </row>
        <row r="97">
          <cell r="B97" t="str">
            <v>RIOMAR</v>
          </cell>
          <cell r="C97" t="str">
            <v>LA PLAYA (SECTOR LA CANGREJERA)</v>
          </cell>
        </row>
        <row r="98">
          <cell r="B98" t="str">
            <v>SUROCCIDENTE</v>
          </cell>
          <cell r="C98" t="str">
            <v>LA PRADERA</v>
          </cell>
        </row>
        <row r="99">
          <cell r="B99" t="str">
            <v>METROPOLITANA</v>
          </cell>
          <cell r="C99" t="str">
            <v>LA SIERRA</v>
          </cell>
        </row>
        <row r="100">
          <cell r="B100" t="str">
            <v>SUROCCIDENTE</v>
          </cell>
          <cell r="C100" t="str">
            <v>LA SIERRA</v>
          </cell>
        </row>
        <row r="101">
          <cell r="B101" t="str">
            <v>METROPOLITANA</v>
          </cell>
          <cell r="C101" t="str">
            <v>LA SIERRITA</v>
          </cell>
        </row>
        <row r="102">
          <cell r="B102" t="str">
            <v>SURORIENTE</v>
          </cell>
          <cell r="C102" t="str">
            <v>LA UNION</v>
          </cell>
        </row>
        <row r="103">
          <cell r="B103" t="str">
            <v>METROPOLITANA</v>
          </cell>
          <cell r="C103" t="str">
            <v>LA VICTORIA</v>
          </cell>
        </row>
        <row r="104">
          <cell r="B104" t="str">
            <v>SURORIENTE</v>
          </cell>
          <cell r="C104" t="str">
            <v>LA VICTORIA</v>
          </cell>
        </row>
        <row r="105">
          <cell r="B105" t="str">
            <v>METROPOLITANA</v>
          </cell>
          <cell r="C105" t="str">
            <v>LAS AMERICAS</v>
          </cell>
        </row>
        <row r="106">
          <cell r="B106" t="str">
            <v>METROPOLITANA</v>
          </cell>
          <cell r="C106" t="str">
            <v>LAS CAYENAS</v>
          </cell>
        </row>
        <row r="107">
          <cell r="B107" t="str">
            <v>NORTE-CENTRO HISTORICO</v>
          </cell>
          <cell r="C107" t="str">
            <v>LAS COLINAS</v>
          </cell>
        </row>
        <row r="108">
          <cell r="B108" t="str">
            <v>SUROCCIDENTE</v>
          </cell>
          <cell r="C108" t="str">
            <v>LAS COLINAS</v>
          </cell>
        </row>
        <row r="109">
          <cell r="B109" t="str">
            <v>NORTE-CENTRO HISTORICO</v>
          </cell>
          <cell r="C109" t="str">
            <v>LAS DELICIAS</v>
          </cell>
        </row>
        <row r="110">
          <cell r="B110" t="str">
            <v>SURORIENTE</v>
          </cell>
          <cell r="C110" t="str">
            <v>LAS DUNAS</v>
          </cell>
        </row>
        <row r="111">
          <cell r="B111" t="str">
            <v>SUROCCIDENTE</v>
          </cell>
          <cell r="C111" t="str">
            <v>LAS ESTRELLAS</v>
          </cell>
        </row>
        <row r="112">
          <cell r="B112" t="str">
            <v>RIOMAR</v>
          </cell>
          <cell r="C112" t="str">
            <v>LAS FLORES</v>
          </cell>
        </row>
        <row r="113">
          <cell r="B113" t="str">
            <v>METROPOLITANA</v>
          </cell>
          <cell r="C113" t="str">
            <v>LAS GARDENIAS</v>
          </cell>
        </row>
        <row r="114">
          <cell r="B114" t="str">
            <v>METROPOLITANA</v>
          </cell>
          <cell r="C114" t="str">
            <v>LAS GRANJAS</v>
          </cell>
        </row>
        <row r="115">
          <cell r="B115" t="str">
            <v>SUROCCIDENTE</v>
          </cell>
          <cell r="C115" t="str">
            <v>LAS MALVINAS</v>
          </cell>
        </row>
        <row r="116">
          <cell r="B116" t="str">
            <v>NORTE-CENTRO HISTORICO</v>
          </cell>
          <cell r="C116" t="str">
            <v>LAS MERCEDES</v>
          </cell>
        </row>
        <row r="117">
          <cell r="B117" t="str">
            <v>SUROCCIDENTE</v>
          </cell>
          <cell r="C117" t="str">
            <v>LAS MERCEDES SUR</v>
          </cell>
        </row>
        <row r="118">
          <cell r="B118" t="str">
            <v>SURORIENTE</v>
          </cell>
          <cell r="C118" t="str">
            <v>LAS NIEVES</v>
          </cell>
        </row>
        <row r="119">
          <cell r="B119" t="str">
            <v>SURORIENTE</v>
          </cell>
          <cell r="C119" t="str">
            <v>LAS PALMAS</v>
          </cell>
        </row>
        <row r="120">
          <cell r="B120" t="str">
            <v>SURORIENTE</v>
          </cell>
          <cell r="C120" t="str">
            <v>LAS PALMERAS</v>
          </cell>
        </row>
        <row r="121">
          <cell r="B121" t="str">
            <v>SUROCCIDENTE</v>
          </cell>
          <cell r="C121" t="str">
            <v>LAS TERRAZAS</v>
          </cell>
        </row>
        <row r="122">
          <cell r="B122" t="str">
            <v>RIOMAR</v>
          </cell>
          <cell r="C122" t="str">
            <v>LAS TRES AVEMARIAS</v>
          </cell>
        </row>
        <row r="123">
          <cell r="B123" t="str">
            <v>SUROCCIDENTE</v>
          </cell>
          <cell r="C123" t="str">
            <v>LIPAYA</v>
          </cell>
        </row>
        <row r="124">
          <cell r="B124" t="str">
            <v>SUROCCIDENTE</v>
          </cell>
          <cell r="C124" t="str">
            <v>LOMA FRESCA</v>
          </cell>
        </row>
        <row r="125">
          <cell r="B125" t="str">
            <v>NORTE-CENTRO HISTORICO</v>
          </cell>
          <cell r="C125" t="str">
            <v>LOS ALPES</v>
          </cell>
        </row>
        <row r="126">
          <cell r="B126" t="str">
            <v>SUROCCIDENTE</v>
          </cell>
          <cell r="C126" t="str">
            <v>LOS ANDES</v>
          </cell>
        </row>
        <row r="127">
          <cell r="B127" t="str">
            <v>SUROCCIDENTE</v>
          </cell>
          <cell r="C127" t="str">
            <v>LOS ANGELES II</v>
          </cell>
        </row>
        <row r="128">
          <cell r="B128" t="str">
            <v>SUROCCIDENTE</v>
          </cell>
          <cell r="C128" t="str">
            <v>LOS ANGELES III</v>
          </cell>
        </row>
        <row r="129">
          <cell r="B129" t="str">
            <v>METROPOLITANA</v>
          </cell>
          <cell r="C129" t="str">
            <v>LOS CONTINENTES</v>
          </cell>
        </row>
        <row r="130">
          <cell r="B130" t="str">
            <v>METROPOLITANA</v>
          </cell>
          <cell r="C130" t="str">
            <v>LOS GIRASOLES</v>
          </cell>
        </row>
        <row r="131">
          <cell r="B131" t="str">
            <v>NORTE-CENTRO HISTORICO</v>
          </cell>
          <cell r="C131" t="str">
            <v>LOS JOBOS</v>
          </cell>
        </row>
        <row r="132">
          <cell r="B132" t="str">
            <v>SURORIENTE</v>
          </cell>
          <cell r="C132" t="str">
            <v>LOS LAURELES</v>
          </cell>
        </row>
        <row r="133">
          <cell r="B133" t="str">
            <v>NORTE-CENTRO HISTORICO</v>
          </cell>
          <cell r="C133" t="str">
            <v>LOS NOGALES</v>
          </cell>
        </row>
        <row r="134">
          <cell r="B134" t="str">
            <v>SUROCCIDENTE</v>
          </cell>
          <cell r="C134" t="str">
            <v>LOS OLIVOS I</v>
          </cell>
        </row>
        <row r="135">
          <cell r="B135" t="str">
            <v>SUROCCIDENTE</v>
          </cell>
          <cell r="C135" t="str">
            <v>LOS OLIVOS II</v>
          </cell>
        </row>
        <row r="136">
          <cell r="B136" t="str">
            <v>SUROCCIDENTE</v>
          </cell>
          <cell r="C136" t="str">
            <v>LOS PINOS</v>
          </cell>
        </row>
        <row r="137">
          <cell r="B137" t="str">
            <v>SUROCCIDENTE</v>
          </cell>
          <cell r="C137" t="str">
            <v>LOS ROSALES</v>
          </cell>
        </row>
        <row r="138">
          <cell r="B138" t="str">
            <v>SURORIENTE</v>
          </cell>
          <cell r="C138" t="str">
            <v>LOS TRUPILLOS</v>
          </cell>
        </row>
        <row r="139">
          <cell r="B139" t="str">
            <v>SUROCCIDENTE</v>
          </cell>
          <cell r="C139" t="str">
            <v>LUCERO</v>
          </cell>
        </row>
        <row r="140">
          <cell r="B140" t="str">
            <v>SUROCCIDENTE</v>
          </cell>
          <cell r="C140" t="str">
            <v>MEQUEJO</v>
          </cell>
        </row>
        <row r="141">
          <cell r="B141" t="str">
            <v>NORTE-CENTRO HISTORICO</v>
          </cell>
          <cell r="C141" t="str">
            <v>MIRAMAR</v>
          </cell>
        </row>
        <row r="142">
          <cell r="B142" t="str">
            <v>RIOMAR</v>
          </cell>
          <cell r="C142" t="str">
            <v>MIRAMAR</v>
          </cell>
        </row>
        <row r="143">
          <cell r="B143" t="str">
            <v>NORTE-CENTRO HISTORICO</v>
          </cell>
          <cell r="C143" t="str">
            <v>MODELO</v>
          </cell>
        </row>
        <row r="144">
          <cell r="B144" t="str">
            <v>SURORIENTE</v>
          </cell>
          <cell r="C144" t="str">
            <v>MODERNO</v>
          </cell>
        </row>
        <row r="145">
          <cell r="B145" t="str">
            <v>NORTE-CENTRO HISTORICO</v>
          </cell>
          <cell r="C145" t="str">
            <v>MONTECRISTO</v>
          </cell>
        </row>
        <row r="146">
          <cell r="B146" t="str">
            <v>SURORIENTE</v>
          </cell>
          <cell r="C146" t="str">
            <v>MONTES</v>
          </cell>
        </row>
        <row r="147">
          <cell r="B147" t="str">
            <v>SUROCCIDENTE</v>
          </cell>
          <cell r="C147" t="str">
            <v>NUEVA COLOMBIA</v>
          </cell>
        </row>
        <row r="148">
          <cell r="B148" t="str">
            <v>SUROCCIDENTE</v>
          </cell>
          <cell r="C148" t="str">
            <v>NUEVA GRANADA</v>
          </cell>
        </row>
        <row r="149">
          <cell r="B149" t="str">
            <v>NORTE-CENTRO HISTORICO</v>
          </cell>
          <cell r="C149" t="str">
            <v>NUEVO HORIZONTE</v>
          </cell>
        </row>
        <row r="150">
          <cell r="B150" t="str">
            <v>SUROCCIDENTE</v>
          </cell>
          <cell r="C150" t="str">
            <v>OLAYA</v>
          </cell>
        </row>
        <row r="151">
          <cell r="B151" t="str">
            <v>NORTE-CENTRO HISTORICO</v>
          </cell>
          <cell r="C151" t="str">
            <v>PARAISO</v>
          </cell>
        </row>
        <row r="152">
          <cell r="B152" t="str">
            <v>RIOMAR</v>
          </cell>
          <cell r="C152" t="str">
            <v>PARAISO</v>
          </cell>
        </row>
        <row r="153">
          <cell r="B153" t="str">
            <v>NORTE-CENTRO HISTORICO</v>
          </cell>
          <cell r="C153" t="str">
            <v>PARQUE ROSADO</v>
          </cell>
        </row>
        <row r="154">
          <cell r="B154" t="str">
            <v>SURORIENTE</v>
          </cell>
          <cell r="C154" t="str">
            <v>PASADENA</v>
          </cell>
        </row>
        <row r="155">
          <cell r="B155" t="str">
            <v>SUROCCIDENTE</v>
          </cell>
          <cell r="C155" t="str">
            <v>PINAR DEL RIO</v>
          </cell>
        </row>
        <row r="156">
          <cell r="B156" t="str">
            <v>SURORIENTE</v>
          </cell>
          <cell r="C156" t="str">
            <v>PRIMERO DE MAYO</v>
          </cell>
        </row>
        <row r="157">
          <cell r="B157" t="str">
            <v>SURORIENTE</v>
          </cell>
          <cell r="C157" t="str">
            <v>REBOLO</v>
          </cell>
        </row>
        <row r="158">
          <cell r="B158" t="str">
            <v>RIOMAR</v>
          </cell>
          <cell r="C158" t="str">
            <v>RIOMAR</v>
          </cell>
        </row>
        <row r="159">
          <cell r="B159" t="str">
            <v>SUROCCIDENTE</v>
          </cell>
          <cell r="C159" t="str">
            <v>SAN FELIPE</v>
          </cell>
        </row>
        <row r="160">
          <cell r="B160" t="str">
            <v>NORTE-CENTRO HISTORICO</v>
          </cell>
          <cell r="C160" t="str">
            <v>SAN FRANCISCO</v>
          </cell>
        </row>
        <row r="161">
          <cell r="B161" t="str">
            <v>SUROCCIDENTE</v>
          </cell>
          <cell r="C161" t="str">
            <v>SAN ISIDRO</v>
          </cell>
        </row>
        <row r="162">
          <cell r="B162" t="str">
            <v>METROPOLITANA</v>
          </cell>
          <cell r="C162" t="str">
            <v>SAN JOSE</v>
          </cell>
        </row>
        <row r="163">
          <cell r="B163" t="str">
            <v>SURORIENTE</v>
          </cell>
          <cell r="C163" t="str">
            <v>SAN JOSE</v>
          </cell>
        </row>
        <row r="164">
          <cell r="B164" t="str">
            <v>METROPOLITANA</v>
          </cell>
          <cell r="C164" t="str">
            <v>SAN LUIS</v>
          </cell>
        </row>
        <row r="165">
          <cell r="B165" t="str">
            <v>RIOMAR</v>
          </cell>
          <cell r="C165" t="str">
            <v>SAN MARINO</v>
          </cell>
        </row>
        <row r="166">
          <cell r="B166" t="str">
            <v>SURORIENTE</v>
          </cell>
          <cell r="C166" t="str">
            <v>SAN NICOLAS</v>
          </cell>
        </row>
        <row r="167">
          <cell r="B167" t="str">
            <v>SURORIENTE</v>
          </cell>
          <cell r="C167" t="str">
            <v>SAN ROQUE</v>
          </cell>
        </row>
        <row r="168">
          <cell r="B168" t="str">
            <v>RIOMAR</v>
          </cell>
          <cell r="C168" t="str">
            <v>SAN SALVADOR</v>
          </cell>
        </row>
        <row r="169">
          <cell r="B169" t="str">
            <v>RIOMAR</v>
          </cell>
          <cell r="C169" t="str">
            <v>SAN VICENTE</v>
          </cell>
        </row>
        <row r="170">
          <cell r="B170" t="str">
            <v>NORTE-CENTRO HISTORICO</v>
          </cell>
          <cell r="C170" t="str">
            <v>SANTA ANA</v>
          </cell>
        </row>
        <row r="171">
          <cell r="B171" t="str">
            <v>SURORIENTE</v>
          </cell>
          <cell r="C171" t="str">
            <v>SANTA ELENA</v>
          </cell>
        </row>
        <row r="172">
          <cell r="B172" t="str">
            <v>METROPOLITANA</v>
          </cell>
          <cell r="C172" t="str">
            <v>SANTA MARIA</v>
          </cell>
        </row>
        <row r="173">
          <cell r="B173" t="str">
            <v>RIOMAR</v>
          </cell>
          <cell r="C173" t="str">
            <v>SANTA MONICA</v>
          </cell>
        </row>
        <row r="174">
          <cell r="B174" t="str">
            <v>METROPOLITANA</v>
          </cell>
          <cell r="C174" t="str">
            <v>SANTO DOMINGO DE GUZMAN</v>
          </cell>
        </row>
        <row r="175">
          <cell r="B175" t="str">
            <v>RIOMAR</v>
          </cell>
          <cell r="C175" t="str">
            <v>SIAPE</v>
          </cell>
        </row>
        <row r="176">
          <cell r="B176" t="str">
            <v>SURORIENTE</v>
          </cell>
          <cell r="C176" t="str">
            <v>SIMON BOLIVAR</v>
          </cell>
        </row>
        <row r="177">
          <cell r="B177" t="str">
            <v>RIOMAR</v>
          </cell>
          <cell r="C177" t="str">
            <v>SOLAIRE</v>
          </cell>
        </row>
        <row r="178">
          <cell r="B178" t="str">
            <v>SURORIENTE</v>
          </cell>
          <cell r="C178" t="str">
            <v>TAYRONA</v>
          </cell>
        </row>
        <row r="179">
          <cell r="B179" t="str">
            <v>SURORIENTE</v>
          </cell>
          <cell r="C179" t="str">
            <v>UNIVERSAL I Y II</v>
          </cell>
        </row>
        <row r="180">
          <cell r="B180" t="str">
            <v>SURORIENTE</v>
          </cell>
          <cell r="C180" t="str">
            <v>VILLA BLANCA</v>
          </cell>
        </row>
        <row r="181">
          <cell r="B181" t="str">
            <v>RIOMAR</v>
          </cell>
          <cell r="C181" t="str">
            <v>VILLA CAMPESTRE</v>
          </cell>
        </row>
        <row r="182">
          <cell r="B182" t="str">
            <v>RIOMAR</v>
          </cell>
          <cell r="C182" t="str">
            <v>VILLA CAROLINA</v>
          </cell>
        </row>
        <row r="183">
          <cell r="B183" t="str">
            <v>NORTE-CENTRO HISTORICO</v>
          </cell>
          <cell r="C183" t="str">
            <v>VILLA COUNTRY</v>
          </cell>
        </row>
        <row r="184">
          <cell r="B184" t="str">
            <v>SURORIENTE</v>
          </cell>
          <cell r="C184" t="str">
            <v>VILLA DEL CARMEN</v>
          </cell>
        </row>
        <row r="185">
          <cell r="B185" t="str">
            <v>RIOMAR</v>
          </cell>
          <cell r="C185" t="str">
            <v>VILLA DEL ESTE</v>
          </cell>
        </row>
        <row r="186">
          <cell r="B186" t="str">
            <v>SUROCCIDENTE</v>
          </cell>
          <cell r="C186" t="str">
            <v>VILLA FLOR</v>
          </cell>
        </row>
        <row r="187">
          <cell r="B187" t="str">
            <v>METROPOLITANA</v>
          </cell>
          <cell r="C187" t="str">
            <v>VILLA SAN CARLOS</v>
          </cell>
        </row>
        <row r="188">
          <cell r="B188" t="str">
            <v>METROPOLITANA</v>
          </cell>
          <cell r="C188" t="str">
            <v>VILLA SAN PEDRO ALEJANDRINO</v>
          </cell>
        </row>
        <row r="189">
          <cell r="B189" t="str">
            <v>METROPOLITANA</v>
          </cell>
          <cell r="C189" t="str">
            <v>VILLA SAN PEDRO I</v>
          </cell>
        </row>
        <row r="190">
          <cell r="B190" t="str">
            <v>METROPOLITANA</v>
          </cell>
          <cell r="C190" t="str">
            <v>VILLA SAN PEDRO II</v>
          </cell>
        </row>
        <row r="191">
          <cell r="B191" t="str">
            <v>RIOMAR</v>
          </cell>
          <cell r="C191" t="str">
            <v>VILLA SANTOS</v>
          </cell>
        </row>
        <row r="192">
          <cell r="B192" t="str">
            <v>METROPOLITANA</v>
          </cell>
          <cell r="C192" t="str">
            <v>VILLA SEVILLA</v>
          </cell>
        </row>
        <row r="193">
          <cell r="B193" t="str">
            <v>NORTE-CENTRO HISTORICO</v>
          </cell>
          <cell r="C193" t="str">
            <v>VILLA TAREL</v>
          </cell>
        </row>
        <row r="194">
          <cell r="B194" t="str">
            <v>RIOMAR</v>
          </cell>
          <cell r="C194" t="str">
            <v>VILLAMAR</v>
          </cell>
        </row>
        <row r="195">
          <cell r="B195" t="str">
            <v>NORTE-CENTRO HISTORICO</v>
          </cell>
          <cell r="C195" t="str">
            <v>VILLANUEVA</v>
          </cell>
        </row>
        <row r="196">
          <cell r="B196" t="str">
            <v>SUROCCIDENTE</v>
          </cell>
          <cell r="C196" t="str">
            <v>VILLAS DE SAN PABLO</v>
          </cell>
        </row>
        <row r="197">
          <cell r="B197" t="str">
            <v>RIOMAR</v>
          </cell>
          <cell r="C197" t="str">
            <v>VILLAS DEL PUERTO</v>
          </cell>
        </row>
        <row r="198">
          <cell r="B198" t="str">
            <v>SUROCCIDENTE</v>
          </cell>
          <cell r="C198" t="str">
            <v>VILLATE</v>
          </cell>
        </row>
        <row r="199">
          <cell r="B199" t="str">
            <v>SURORIENTE</v>
          </cell>
          <cell r="C199" t="str">
            <v>ZONA FRANCA</v>
          </cell>
        </row>
        <row r="200">
          <cell r="B200" t="str">
            <v>NORTE-CENTRO HISTORICO</v>
          </cell>
          <cell r="C200" t="str">
            <v>ZONA INDUSTRIAL VIA 40</v>
          </cell>
        </row>
        <row r="201">
          <cell r="B201" t="str">
            <v>-</v>
          </cell>
          <cell r="C201" t="str">
            <v>-</v>
          </cell>
        </row>
        <row r="202">
          <cell r="B202" t="str">
            <v>VARIAS</v>
          </cell>
          <cell r="C202" t="str">
            <v>VARIOS</v>
          </cell>
        </row>
      </sheetData>
      <sheetData sheetId="7"/>
      <sheetData sheetId="8"/>
      <sheetData sheetId="9"/>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47E2D79F-4BD2-4EE5-AB00-37DE20EF295B}">
    <nsvFilter filterId="{E321F533-D3B9-4D4D-AF4A-F1DAB5993972}" ref="AE1:BA344" tableId="13"/>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406.70891898148" createdVersion="8" refreshedVersion="8" minRefreshableVersion="3" recordCount="147" xr:uid="{38EA0992-9778-4EC6-BB62-A4D87B1BA35F}">
  <cacheSource type="worksheet">
    <worksheetSource ref="E1:AB295" sheet="Proyectos"/>
  </cacheSource>
  <cacheFields count="20">
    <cacheField name="Sectores " numFmtId="0">
      <sharedItems containsBlank="1"/>
    </cacheField>
    <cacheField name="Programas " numFmtId="0">
      <sharedItems containsBlank="1"/>
    </cacheField>
    <cacheField name="Nombre Proyecto_x000a_[Nombre corto indicativo]" numFmtId="0">
      <sharedItems count="160">
        <s v="MP - Mercado EPM"/>
        <s v="MP - Mercado de Granos"/>
        <s v="CAI Santa Maria"/>
        <s v="CAI La Paz"/>
        <s v="CAI Santo Domingo"/>
        <s v="Concha Acústica CONIDEC"/>
        <s v="Gran Malecón de Sur Oriente - Losa Canal"/>
        <s v="Ecoparque Mallorquin-2435 - UF-1"/>
        <s v="Ecoparque Mallorquin-0698 - UF-2"/>
        <s v="Ecoparque Mallorquin-2435 - Tren Tajamar"/>
        <s v="Playa de Puerto Mocho"/>
        <s v="MP-2989 - Mercado Tajamar"/>
        <s v="MP-2989 - Mercado Sredni"/>
        <s v="MP-2989 - Mercado Del Rio"/>
        <s v="MP-2989 - Mercado La Magola"/>
        <s v="MP-2989 - Parqueadero Multiproposito Barlovento"/>
        <s v="MP-2989 - Mercado Gran Bazar"/>
        <s v="TEU-2438 - Carrera 53"/>
        <s v="TEU-2438 - Malecon UF3"/>
        <s v="TEU-2438 - Centro Urbano Comunitario Barlovento"/>
        <s v="TEU-2438 - Plaza de Pescado"/>
        <s v="TEU-2438 - Callejon de Robertico "/>
        <s v="TEU-2438 - Callejon del Meao"/>
        <s v="TEU-2438 - Centro urbano comunitario las Americas"/>
        <s v="Recuperación Caños - Recuperación Integral Caño de la Ahuyama"/>
        <s v="Escenarios - Pista de Ciclomontañismo"/>
        <s v="BarriosAlaObra-VII-2429 - BAO_Módulo 1"/>
        <s v="BarriosAlaObra-VII-2429 - BAO_Módulo 2"/>
        <s v="BarriosAlaObra-VII-2429 - BAO_Módulo 3"/>
        <s v="BarriosAlaObra-VII-2429 - BAO_Módulo 4"/>
        <s v="BarriosAlaObra-VII-2429 - BAO_Módulo 5"/>
        <s v="BarriosAlaObra-VII-2429 - BAO_Módulo 6"/>
        <s v="BarriosAlaObra-VII-2429 - BAO_Módulo 7"/>
        <s v="BarriosAlaObra-VII-2429 - BAO_Módulo 8"/>
        <s v="BarriosAlaObra-VII-2429 - BAO_Módulo 9"/>
        <s v="BarriosAlaObra-VII-2429 - BAO_Módulo 10"/>
        <s v="BarriosAlaObra-VII-2429 - BAO_Módulo 11"/>
        <s v="BarriosAlaObra-VII-2429 - BAO_Módulo 12"/>
        <s v="InfraEducativa-3691 - IE Reuven"/>
        <s v="InfraEducativa-3691 - IE Jose Eusebio Caro"/>
        <s v="InfraEducativa-3691 - IE Juan Jose Rondon"/>
        <s v="InfraEducativa-3691 - IE Carrizal"/>
        <s v="InfraEducativa-3691 - IE Mayor de Barranquilla"/>
        <s v="InfraEducativa-3691 - IE Jorge Nicolas Abello sede 2"/>
        <s v="InfraSalud-1893 - CAMINO Hospital de Barranquilla"/>
        <s v="InfraSalud-1893 - PASO San Camilo"/>
        <s v="Mantenimiento Escenarios Deportivos"/>
        <s v="BarriosAlaObra-VIII-0002 - BAO_Módulo 1"/>
        <s v="BarriosAlaObra-VIII-0002 - BAO_Módulo 2"/>
        <s v="BarriosAlaObra-VIII-0002 - BAO_Módulo 3"/>
        <s v="BarriosAlaObra-VIII-0002 - BAO_Módulo 4"/>
        <s v="BarriosAlaObra-VIII-0002 - BAO_Módulo 5"/>
        <s v="BarriosAlaObra-VIII-0002 - BAO_Módulo 6"/>
        <s v="BarriosAlaObra-VIII-0002 - BAO_Módulo 7"/>
        <s v="BarriosAlaObra-VIII-0002 - BAO_Módulo 8"/>
        <s v="BarriosAlaObra-VIII-0002 - BAO_Módulo 9"/>
        <s v="MejoramientoViviendas-0003 - Módulo 1"/>
        <s v="MejoramientoViviendas-0003 - Módulo 2"/>
        <s v="MejoramientoViviendas-0003 - Módulo 3"/>
        <s v="MejoramientoViviendas-0003 - Módulo 4"/>
        <s v="MejoramientoViviendas-0003 - Módulo 5"/>
        <s v="MejoramientoViviendas-0003 - Módulo 6"/>
        <s v="MejoramientoViviendas-0003 - Módulo 7"/>
        <s v="MejoramientoViviendas-0003 - Módulo 8"/>
        <s v="MallaVial-017 - Calle 30 [cra 46 y circunvalar]"/>
        <s v="MallaVial-017 - Vía Circunvalar [cra 38 y cra 12A]"/>
        <s v="MallaVial-017 - Vía Cordialidad [Av.circunvalar y cra 23]"/>
        <s v="Arroyos-1622 - Arroyo Cra 21"/>
        <s v="Arroyos-1622 - Arroyo Cra 65"/>
        <s v="Arroyos-1622 - Arroyo Felicidad"/>
        <s v="Parques-VI - Parque las Estrellas "/>
        <s v="Parques-VI - Parque las Palmeras"/>
        <s v="Parques-VI - Parque Pequeños gigantes"/>
        <s v="Parques-VI - Parque El Limon 2"/>
        <s v="Parques-VI - Parque El Milagro "/>
        <s v="Parques-VI - Parque Concha Conidec"/>
        <s v="Parques-VI - Parque karla Gonzalez - Argos"/>
        <s v="Parques-VI - Parque la Castellana - Argos"/>
        <s v="Parques-VI - Parque Villas de San Pablo"/>
        <s v="Parques-VII - Grupo 1 Parque Malecon Sur Oriente"/>
        <s v="Parques-VII - Grupo 2 Parque Unidad Deportiva la Magdalena"/>
        <s v="Parques-VII - Grupo 3 Cancha De Minifutbol Ciudad Modesto"/>
        <s v="Parques-VII - Grupo 3 Parque Productivo - Huerta Urbana Villas de San Pablo"/>
        <s v="Parques-VII - Grupo 3 Parque La Union II"/>
        <s v="Parques-VII - Grupo 3 Parque El Parquecito"/>
        <s v="Parques-VII - Grupo 4 Parque Villa Cordialidad"/>
        <s v="Parques-VII - Grupo 4 Parque Villa San Pedro"/>
        <s v="Parques-VII - Grupo 4 Parque Jorge Robledo Ortiz"/>
        <s v="Parques-VII - Grupo 4 Parque El 5 y 6"/>
        <s v="Parques-VII - Grupo 4 Parque Los Muñecos"/>
        <s v="Parques-VII - Grupo 4 Parque Urbanización la Playa"/>
        <s v="Parques-VII - Grupo 4 Parque La Gloria"/>
        <s v="Parques-VII - Grupo 4 Parque Roble Morado"/>
        <s v="Parques-VII - Grupo 5 Cancha Villa del Carmen"/>
        <s v="Parques-VII - Grupo 5 Parque La Pradera"/>
        <s v="Parques-VII - Grupo 5 Parque Bulevar Caribe Verde Fase 1"/>
        <s v="Parques-VII - Grupo 5 Parque Juan Mina"/>
        <s v="Parques-VII - Grupo 5 Parque Virgencita de los Trupillos"/>
        <s v="Parques-VII - Grupo 5 Parque Residual las Americas"/>
        <s v="Parques-VII - Grupo 5 Parque El Gusanito"/>
        <s v="Parques-VII - Grupo 5 Parque Las 5 Estrellas"/>
        <s v="Parques-VII - Grupo 6 Parque Siete Bocas"/>
        <s v="Parques-VII - Grupo 6 Cancha Las Terrazas - Villa del Rosario"/>
        <s v="Parques-VII - Grupo 6 Cancha los Tubos"/>
        <s v="Parques-VII - Grupo 6 Cancha el Brasil"/>
        <s v="Parques-VII - Grupo 6 Parque La Solución"/>
        <s v="Parques-VII - Grupo 7 Parque La 16"/>
        <s v="Parques-VII - Grupo 7 Cancha La Monumental De Happy"/>
        <s v="Parques-VII - Grupo 7 Parque San Felipe"/>
        <s v="Parques-VII - Grupo 7 Cancha de Minifutbol 7 de Abril"/>
        <s v="Parques-VII - Grupo 7 Parque Los Trupillos 2"/>
        <s v="Parques-VII - Grupo 7 Parque Las Nieves II"/>
        <s v="Parques-VII - Grupo 7 Parque Villa Campito"/>
        <s v="Huertas Comunitarias - Juan Mina"/>
        <s v="Huertas Comunitarias - La Paz"/>
        <s v="Huertas Comunitarias - Las Gardenias"/>
        <s v="Huertas Comunitarias - Lipaya"/>
        <s v="Parque Tématico Mallorquín"/>
        <s v="Centro Comercial Estadio Metropolitano"/>
        <s v="Movistar Arena"/>
        <s v="Noria - Gran Malecón"/>
        <s v="Puerto de Aguas Profundas"/>
        <s v="Riesgos POT"/>
        <s v="Ecoparque Mallorquin-1252 - UF-4 Distrito Aventura"/>
        <s v="Recuperación Caños - Ahuyama y Mercado [Estudios y Diseños] (AECID)"/>
        <s v="Plan de Recuperación Ambiental Cienaga de Mallorquin"/>
        <s v="Ecoparque Mallorquin-1087 - UF 3 - Tierra (Antiguo Botadero)"/>
        <s v="Hyper Scale Data Center"/>
        <s v="INST. EDUC. DIST. TEC. COOPERATIVO JESUS MISERICORDIOSO #1"/>
        <s v="P.A.S.O. Santo Domingo"/>
        <s v="P.A.S.O. NUEVA ERA"/>
        <s v="P.A.S.O. Juan Mina"/>
        <s v="P.A.S.O. Las Malvinas"/>
        <s v="P.A.S.O. Rosour"/>
        <s v="P.A.S.O. La Villa"/>
        <s v="P.A.S.O. Julio Montes"/>
        <s v="IED DEL BARRIO SIMON BOLIVAR"/>
        <s v="IED DE FORMACIÓN INTEGRAL"/>
        <s v="IED INMACULADA CONCEPCIÓN (ANT. CEB #005)"/>
        <s v="IED DE LAS NIEVES 1"/>
        <s v="COLEGIO DISTRITAL JOSE EUSEBIO CARO NIC1 "/>
        <s v="COLEGIO DISTRITAL SANTO DOMINGO DE GUZMAN CEB # 027"/>
        <s v="BOMBEROS TECNOGLASS"/>
        <s v="BOMBEROS EL EDEN"/>
        <s v="CASA LUDICA LA PAZ"/>
        <s v="SUB PROYECTO EFICIENCIA : ESCUELA NORMAL SUPERIOR DES DISTRITO"/>
        <s v="PARQUE SOLAR FOTOVOLTAICO "/>
        <s v="P.A.S.O. Rosour " u="1"/>
        <s v="Parques-VII - Grupo 2" u="1"/>
        <s v="Parques-VII - Grupo 4" u="1"/>
        <s v="Parques-VII - Grupo 6" u="1"/>
        <s v="P.A.S.O. Las Palmas" u="1"/>
        <s v="P.A.S.O. La Sierrita" u="1"/>
        <s v="INST. EDUC. DIST. SIMON BOLIVAR" u="1"/>
        <s v="Colegio Distrital Jorge Isaacs" u="1"/>
        <s v="INST. EDUC. DIST. CONCENTRACION CEVILLAR" u="1"/>
        <s v="Parques-VII - Grupo 1" u="1"/>
        <s v="Parques-VII - Grupo 3" u="1"/>
        <s v="Parques-VII - Grupo 5" u="1"/>
        <s v="Parques-VII - Grupo 7" u="1"/>
      </sharedItems>
    </cacheField>
    <cacheField name="Localidad" numFmtId="0">
      <sharedItems containsBlank="1"/>
    </cacheField>
    <cacheField name="Barrios" numFmtId="0">
      <sharedItems containsBlank="1" longText="1"/>
    </cacheField>
    <cacheField name="Dirección" numFmtId="0">
      <sharedItems containsBlank="1"/>
    </cacheField>
    <cacheField name="Localización_x000a_[Latitud y Longitud | Para vías indicar Latitud y Longitud de Inicio y fin intervención | Para polígonos indicar Latitud y longitud de cada vértice]" numFmtId="0">
      <sharedItems containsBlank="1"/>
    </cacheField>
    <cacheField name="Estado Proyecto_x000a_[Formulación (aplica para proyectos de EyD) | Precontractual | Contratual | Postcontractual]" numFmtId="9">
      <sharedItems count="4">
        <s v="Contractual"/>
        <s v="Postcontractual"/>
        <s v="Precontractual"/>
        <s v="Formulación"/>
      </sharedItems>
    </cacheField>
    <cacheField name="Subestado Proyecto_x000a_[En ejecución | Suspendido | Entregado | En estructuración | En Convocatoria | etc.]" numFmtId="9">
      <sharedItems count="8">
        <s v="En_Ejecución"/>
        <s v="Terminado"/>
        <s v="Entregado"/>
        <s v="Suspendido"/>
        <s v="Perfeccionamiento_y_Legalización"/>
        <s v="En_Convocatoria"/>
        <s v="Proyecto_Fase_I_Prefactibilidad"/>
        <s v="Proyecto_Fase_III_Diseños_definitivos_y_detalles"/>
      </sharedItems>
    </cacheField>
    <cacheField name="Valor total de proyecto_x000a_[O+I]" numFmtId="164">
      <sharedItems containsSemiMixedTypes="0" containsString="0" containsNumber="1" minValue="0" maxValue="219557515247.45001"/>
    </cacheField>
    <cacheField name="% Programado físico" numFmtId="0">
      <sharedItems containsSemiMixedTypes="0" containsString="0" containsNumber="1" minValue="0" maxValue="1.0000000000000002"/>
    </cacheField>
    <cacheField name="% Ejecutado físico" numFmtId="0">
      <sharedItems containsSemiMixedTypes="0" containsString="0" containsNumber="1" minValue="0" maxValue="1"/>
    </cacheField>
    <cacheField name="Atraso" numFmtId="0">
      <sharedItems containsSemiMixedTypes="0" containsString="0" containsNumber="1" minValue="-0.82000000000000006" maxValue="0.25000000000000006"/>
    </cacheField>
    <cacheField name="Semáforo Cronograma" numFmtId="0">
      <sharedItems count="3">
        <s v="Verde"/>
        <s v="Amarillo"/>
        <s v="Rojo"/>
      </sharedItems>
    </cacheField>
    <cacheField name="Fecha de Inicio_x000a_[dd/mm/aaaa]" numFmtId="0">
      <sharedItems containsNonDate="0" containsDate="1" containsString="0" containsBlank="1" minDate="2016-06-03T00:00:00" maxDate="2024-07-16T00:00:00"/>
    </cacheField>
    <cacheField name="Fecha de Terminación Inicial_x000a_[dd/mm/aaaa]" numFmtId="0">
      <sharedItems containsNonDate="0" containsDate="1" containsString="0" containsBlank="1" minDate="2018-03-21T00:00:00" maxDate="2025-05-01T00:00:00"/>
    </cacheField>
    <cacheField name="Fecha de Terminación Final_x000a_[dd/mm/aaaa]" numFmtId="0">
      <sharedItems containsDate="1" containsBlank="1" containsMixedTypes="1" minDate="2021-05-10T00:00:00" maxDate="2025-05-01T00:00:00"/>
    </cacheField>
    <cacheField name="Semáforo Fecha Terminación" numFmtId="10">
      <sharedItems/>
    </cacheField>
    <cacheField name="Semáforo Críticos" numFmtId="10">
      <sharedItems count="2">
        <s v="-"/>
        <s v="En_Seguimiento"/>
      </sharedItems>
    </cacheField>
    <cacheField name="Fecha de Entrega_x000a_[Realizada o proyectada]" numFmtId="0">
      <sharedItems containsDate="1" containsBlank="1" containsMixedTypes="1" minDate="2023-07-25T00:00:00" maxDate="2025-05-01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15.53984085648" createdVersion="8" refreshedVersion="8" minRefreshableVersion="3" recordCount="149" xr:uid="{28358107-B8AF-4932-AA84-CBD75F783CD7}">
  <cacheSource type="worksheet">
    <worksheetSource ref="A1:AB295" sheet="Proyectos"/>
  </cacheSource>
  <cacheFields count="25">
    <cacheField name="ID" numFmtId="0">
      <sharedItems containsSemiMixedTypes="0" containsString="0" containsNumber="1" containsInteger="1" minValue="1" maxValue="149"/>
    </cacheField>
    <cacheField name="Reporte a cargo de:" numFmtId="0">
      <sharedItems containsNonDate="0"/>
    </cacheField>
    <cacheField name="Convenio o Contrato Interadministrativo" numFmtId="0">
      <sharedItems containsMixedTypes="1" containsNumber="1" containsInteger="1" minValue="12016001622" maxValue="12016001622"/>
    </cacheField>
    <cacheField name="Sectores " numFmtId="0">
      <sharedItems containsNonDate="0" containsBlank="1" count="13">
        <s v="Desarrollo_urbano"/>
        <s v="Seguridad"/>
        <s v="Cultura"/>
        <s v="EcoTurismo"/>
        <s v="Agua_potable_y_saneamiento_básico"/>
        <s v="Recreación_y_Deporte"/>
        <s v="Trasporte"/>
        <s v="Educación"/>
        <s v="Salud"/>
        <s v="Vivienda"/>
        <s v="Arroyos"/>
        <s v="Energia_Sostenible"/>
        <m u="1"/>
      </sharedItems>
    </cacheField>
    <cacheField name="Programas " numFmtId="0">
      <sharedItems containsNonDate="0" containsBlank="1" count="28">
        <s v="Plazas de Mercado"/>
        <s v="CAI"/>
        <s v="Conchas Acústicas"/>
        <s v="Malecón de Sur Oriente"/>
        <s v="Edificaciones culturales "/>
        <s v="EcoParque Mallonquín"/>
        <s v="Tren Turistico"/>
        <s v="Recuperación Playas de Puerto Mocho"/>
        <s v="Tranformación de Entornos Urbanos"/>
        <s v="Agua potable y saneamiento básico"/>
        <s v="Escenarios deportivos "/>
        <s v="Barrios a la obra "/>
        <s v="Colegios "/>
        <s v="Hospital"/>
        <s v="Pasos"/>
        <s v="Mejoramiento de viviendas"/>
        <s v="Malla Vial"/>
        <s v="Arroyos "/>
        <s v="Parques"/>
        <s v="Huertas"/>
        <s v="Malecón "/>
        <s v="Consultoría"/>
        <s v="Autogeneracion"/>
        <s v="Eficiencia"/>
        <s v="Parque Solar"/>
        <s v="Estaciones de Bomberos" u="1"/>
        <s v="Centros de Desarrollo Infantil" u="1"/>
        <m u="1"/>
      </sharedItems>
    </cacheField>
    <cacheField name="Nombre Proyecto" numFmtId="0">
      <sharedItems containsNonDate="0"/>
    </cacheField>
    <cacheField name="Localidad" numFmtId="0">
      <sharedItems containsNonDate="0" containsBlank="1"/>
    </cacheField>
    <cacheField name="Barrios" numFmtId="0">
      <sharedItems containsNonDate="0" containsBlank="1" longText="1"/>
    </cacheField>
    <cacheField name="Dirección" numFmtId="0">
      <sharedItems containsNonDate="0" containsBlank="1"/>
    </cacheField>
    <cacheField name="Localización" numFmtId="0">
      <sharedItems containsNonDate="0" containsBlank="1"/>
    </cacheField>
    <cacheField name="x" numFmtId="0">
      <sharedItems containsBlank="1" containsMixedTypes="1" containsNumber="1" minValue="-74.893364982431393" maxValue="-74.768027777777803"/>
    </cacheField>
    <cacheField name="y" numFmtId="0">
      <sharedItems containsString="0" containsBlank="1" containsNumber="1" minValue="10.9224861111111" maxValue="11.0602146381484"/>
    </cacheField>
    <cacheField name="Estado Proyecto" numFmtId="9">
      <sharedItems containsNonDate="0"/>
    </cacheField>
    <cacheField name="Subestado Proyecto" numFmtId="9">
      <sharedItems containsNonDate="0"/>
    </cacheField>
    <cacheField name="Valor total de proyecto" numFmtId="44">
      <sharedItems containsSemiMixedTypes="0" containsString="0" containsNumber="1" minValue="0" maxValue="201849730042"/>
    </cacheField>
    <cacheField name="% Programado físico" numFmtId="0">
      <sharedItems containsSemiMixedTypes="0" containsString="0" containsNumber="1" minValue="0" maxValue="1.0000000000000002"/>
    </cacheField>
    <cacheField name="% Ejecutado físico" numFmtId="0">
      <sharedItems containsSemiMixedTypes="0" containsString="0" containsNumber="1" minValue="0" maxValue="1"/>
    </cacheField>
    <cacheField name="Atraso" numFmtId="0">
      <sharedItems containsSemiMixedTypes="0" containsString="0" containsNumber="1" minValue="-0.82000000000000006" maxValue="0.35000000000000003"/>
    </cacheField>
    <cacheField name="Semáforo Cronograma" numFmtId="0">
      <sharedItems containsNonDate="0" count="3">
        <s v="Verde"/>
        <s v="Amarillo"/>
        <s v="Rojo"/>
      </sharedItems>
    </cacheField>
    <cacheField name="Fecha de Inicio" numFmtId="0">
      <sharedItems containsNonDate="0" containsDate="1" containsString="0" containsBlank="1" minDate="2016-11-21T00:00:00" maxDate="2024-07-16T00:00:00"/>
    </cacheField>
    <cacheField name="Fecha de Terminación Inicial" numFmtId="0">
      <sharedItems containsNonDate="0" containsDate="1" containsString="0" containsBlank="1" minDate="2018-03-21T00:00:00" maxDate="2025-05-01T00:00:00"/>
    </cacheField>
    <cacheField name="Fecha de Terminación Final" numFmtId="0">
      <sharedItems containsNonDate="0" containsDate="1" containsString="0" containsBlank="1" minDate="2021-05-10T00:00:00" maxDate="2025-05-01T00:00:00"/>
    </cacheField>
    <cacheField name="Semáforo Fecha Terminación" numFmtId="10">
      <sharedItems containsNonDate="0" containsBlank="1" count="12">
        <s v="En_Ejecución"/>
        <s v="Verde"/>
        <s v="Terminado"/>
        <m/>
        <s v="Entregado"/>
        <s v="Suspendido"/>
        <s v="Perfeccionamiento_y_Legalización"/>
        <s v="Amarillo"/>
        <s v="Proyecto_Fase_I_Prefactibilidad"/>
        <s v="Rojo"/>
        <s v="Proyecto_Fase_III_Diseños_definitivos_y_detalles"/>
        <s v="En_Convocatoria" u="1"/>
      </sharedItems>
    </cacheField>
    <cacheField name="Semáforo Críticos" numFmtId="10">
      <sharedItems containsNonDate="0" containsBlank="1" count="3">
        <s v="-"/>
        <m/>
        <s v="En_Seguimiento"/>
      </sharedItems>
    </cacheField>
    <cacheField name="Fecha de Entrega" numFmtId="0">
      <sharedItems containsNonDate="0" containsDate="1" containsBlank="1" containsMixedTypes="1" minDate="2023-07-25T00:00:00" maxDate="2025-05-01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5442.489411921299" createdVersion="8" refreshedVersion="8" minRefreshableVersion="3" recordCount="208" xr:uid="{0AE83630-6E38-4998-9491-D98E48AC38EA}">
  <cacheSource type="worksheet">
    <worksheetSource ref="B2:E210" sheet="PD_2024_2027"/>
  </cacheSource>
  <cacheFields count="4">
    <cacheField name="Línea Estratégica" numFmtId="0">
      <sharedItems count="4">
        <s v="Línea Social_Ciudad Segura y Solidaria"/>
        <s v="Línea Económica_Ciudad Dinámica"/>
        <s v="Línea Ambiental_Ciudad Ambiental y Sostenible"/>
        <s v="Línea Político-Administrativa_Gobierno Eficiente y Responsable"/>
      </sharedItems>
    </cacheField>
    <cacheField name="Componente" numFmtId="0">
      <sharedItems count="13">
        <s v="LS Más Seguridad y Convivencia Ciudadana"/>
        <s v="LS Educación Inclusiva, Innovadora y Sostenible"/>
        <s v="LS Ciudad Saludable, Ciudad Feliz"/>
        <s v="LS Vivienda, Ciudad y Territorio"/>
        <s v="LS Gestión Social con enfoque de Derechos"/>
        <s v="LS Recreación y Deportes"/>
        <s v="LE Ciudad Cultural"/>
        <s v="LE Ciudad Emprendedora y Competitiva"/>
        <s v="LE Espacio Público y Ambientes Urbanos"/>
        <s v="LE Movilidad Segura, Accesible y Sostenible"/>
        <s v="LA Medio Ambiente y Adaptación al Cambio Climático"/>
        <s v="LA Ordenamiento Ambiental Territorial"/>
        <s v="LPA Administración Pública Eficiente"/>
      </sharedItems>
    </cacheField>
    <cacheField name="Programa" numFmtId="0">
      <sharedItems count="47">
        <s v="Construyendo juntos una ciudad más segura para todos"/>
        <s v="Construyendo una ciudad cívica y participativa"/>
        <s v="Más educación para la Vida"/>
        <s v="Más educación Innovadora y de Calidad"/>
        <s v="Más educación Superior"/>
        <s v="Atención Integral en Salud"/>
        <s v="Gestión Integral para la Intervención del Riesgo en Salud"/>
        <s v="Más calidad en Salud"/>
        <s v="Vivienda y Hábitat "/>
        <s v="Ordenamiento Territorial "/>
        <s v="Servicios Públicos"/>
        <s v="Primera Infancia"/>
        <s v="Infancia y Adolescencia"/>
        <s v="Promoción de la Ciudadanía juvenil del Distrito de Barranquilla"/>
        <s v="Adulto Mayor"/>
        <s v="Habitantes de calle"/>
        <s v="Fortalecimiento a las familias y superación de la pobreza"/>
        <s v="Barranquilla avanza hacia la igualdad de género y diversidad"/>
        <s v="Más cuidado a las personas con discapacidad y sus cuidadores"/>
        <s v="Inclusión de comunidades Indígenas"/>
        <s v="Inclusión de comunidades Negras, Afrocolombianas, Raizales y Palenqueras"/>
        <s v="Atención a Migrantes"/>
        <s v="Construcción de paz, Atención a Víctimas, Reconciliación y Promoción de los derechos humanos"/>
        <s v="Reintegración y Reincorporación"/>
        <s v="Más recreación y actividad física"/>
        <s v="Más deporte para todos"/>
        <s v="Más deporte de clase mundial"/>
        <s v="Ciudadanía y Gobernanza Cultural"/>
        <s v="Más fomento de la Cultura y el Arte"/>
        <s v="Gestión, Protección y Salvaguardia del Patrimonio Cultural"/>
        <s v="Barranquilla Territorio Creativo y Sostenible"/>
        <s v="Más emprendedora y competitiva e Innovadora"/>
        <s v="Ciudad Global"/>
        <s v="Ciudad Digital"/>
        <s v="Espacios Públicos para todos"/>
        <s v="Infraestructura para la Competitividad"/>
        <s v="Conciencia y Seguridad Vial"/>
        <s v="Infraestructura Eficiente para el Transporte Público"/>
        <s v="Transformación Cultural para una mejor Movilidad"/>
        <s v="Gestión de la Información y el Conocimiento Ambiental"/>
        <s v="Conservación de la Biodiversidad y sus Servicios Ecosistémicos"/>
        <s v="Entorno Urbano Ambiental"/>
        <s v="Gestión Integral del Recurso Hídrico"/>
        <s v="Gestión del Riesgo de Desastres"/>
        <s v="Fortalecimiento del Desempeño y la Eficiencia"/>
        <s v="Mejoramiento de la Planeación Territorial"/>
        <s v="Mejor Inversión Pública"/>
      </sharedItems>
    </cacheField>
    <cacheField name="Proyecto"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
  <r>
    <s v="Desarrollo_urbano"/>
    <s v="Plazas de Mercado"/>
    <x v="0"/>
    <s v="Norte_Centro_Histórico"/>
    <s v="Villanueva"/>
    <m/>
    <s v=" 10°59'0.05&quot;N. 74°46'35.27&quot;W"/>
    <x v="0"/>
    <x v="0"/>
    <n v="10517152014.795"/>
    <n v="1"/>
    <n v="0.99"/>
    <n v="-1.0000000000000009E-2"/>
    <x v="0"/>
    <d v="2017-12-06T00:00:00"/>
    <d v="2020-05-06T00:00:00"/>
    <d v="2024-07-31T00:00:00"/>
    <s v="En_Ejecución"/>
    <x v="0"/>
    <d v="2024-04-01T00:00:00"/>
  </r>
  <r>
    <s v="Desarrollo_urbano"/>
    <s v="Plazas de Mercado"/>
    <x v="1"/>
    <s v="Norte_Centro_Histórico"/>
    <s v="Centro"/>
    <m/>
    <s v=" 10°58'40.07&quot;N  74°46'30.88&quot;W"/>
    <x v="0"/>
    <x v="0"/>
    <n v="16864171434.205"/>
    <n v="0.84"/>
    <n v="0.8"/>
    <n v="-3.9999999999999925E-2"/>
    <x v="1"/>
    <d v="2017-12-06T00:00:00"/>
    <d v="2020-05-06T00:00:00"/>
    <d v="2024-07-31T00:00:00"/>
    <s v="Verde"/>
    <x v="0"/>
    <d v="2024-04-01T00:00:00"/>
  </r>
  <r>
    <s v="Seguridad"/>
    <s v="CAI"/>
    <x v="2"/>
    <s v="Metropolitana"/>
    <s v="Santa Maria"/>
    <m/>
    <s v=" 10°56'3.44&quot;N  74°49'31.83&quot;W"/>
    <x v="0"/>
    <x v="0"/>
    <n v="428189069.94606078"/>
    <n v="0.753"/>
    <n v="0.72"/>
    <n v="-3.3000000000000029E-2"/>
    <x v="0"/>
    <d v="2021-11-25T00:00:00"/>
    <d v="2021-12-31T00:00:00"/>
    <d v="2024-06-18T00:00:00"/>
    <s v="En_Ejecución"/>
    <x v="0"/>
    <d v="2024-06-18T00:00:00"/>
  </r>
  <r>
    <s v="Seguridad"/>
    <s v="CAI"/>
    <x v="3"/>
    <s v="Suroccidente"/>
    <s v="La Paz"/>
    <m/>
    <s v=" 10°57'57.86&quot;N. 74°50'4.54&quot;W"/>
    <x v="0"/>
    <x v="0"/>
    <n v="457958618.45773149"/>
    <n v="0.753"/>
    <n v="0.72"/>
    <n v="-3.3000000000000029E-2"/>
    <x v="0"/>
    <d v="2021-11-25T00:00:00"/>
    <d v="2021-12-31T00:00:00"/>
    <d v="2024-06-18T00:00:00"/>
    <s v="En_Ejecución"/>
    <x v="0"/>
    <d v="2024-06-18T00:00:00"/>
  </r>
  <r>
    <s v="Seguridad"/>
    <s v="CAI"/>
    <x v="4"/>
    <s v="Metropolitana"/>
    <s v="Santo Domingo"/>
    <m/>
    <s v=" 10°56'10.02&quot;N. 74°48'57.74&quot;W"/>
    <x v="0"/>
    <x v="0"/>
    <n v="515175877.59620774"/>
    <n v="0.753"/>
    <n v="0.68"/>
    <n v="-7.2999999999999954E-2"/>
    <x v="1"/>
    <d v="2021-11-25T00:00:00"/>
    <d v="2021-12-31T00:00:00"/>
    <d v="2024-06-18T00:00:00"/>
    <s v="Verde"/>
    <x v="0"/>
    <d v="2024-06-18T00:00:00"/>
  </r>
  <r>
    <s v="Cultura"/>
    <s v="Conchas Acústicas"/>
    <x v="5"/>
    <s v="Metropolitana"/>
    <s v="Ciudadela 20 de Julio"/>
    <m/>
    <s v="10,927544 N. -74,810228W"/>
    <x v="1"/>
    <x v="1"/>
    <n v="1569896099"/>
    <n v="1"/>
    <n v="1"/>
    <n v="0"/>
    <x v="0"/>
    <d v="2022-11-03T00:00:00"/>
    <d v="2022-12-31T00:00:00"/>
    <d v="2024-03-20T00:00:00"/>
    <s v="Terminado"/>
    <x v="0"/>
    <d v="2024-03-20T00:00:00"/>
  </r>
  <r>
    <s v="Desarrollo_urbano"/>
    <s v="Malecón de Sur Oriente"/>
    <x v="6"/>
    <s v="Suroriente"/>
    <s v="Rebolo_x000a_La Luz_x000a_Los Trupillos_x000a_Boyacá_x000a_La Chinita_x000a_Las Nieves_x000a_Montes_x000a_San Roque"/>
    <m/>
    <s v="10°57'33.9&quot;N 74°47'04.3&quot;W"/>
    <x v="0"/>
    <x v="0"/>
    <n v="97297212431.699997"/>
    <n v="0"/>
    <n v="0"/>
    <n v="0"/>
    <x v="0"/>
    <d v="2024-04-09T00:00:00"/>
    <d v="2024-12-31T00:00:00"/>
    <d v="2024-12-31T00:00:00"/>
    <s v="En_Ejecución"/>
    <x v="0"/>
    <d v="2024-12-31T00:00:00"/>
  </r>
  <r>
    <s v="EcoTurismo"/>
    <s v="EcoParque Mallonquín"/>
    <x v="7"/>
    <s v="Riomar"/>
    <s v="La Playa"/>
    <m/>
    <s v="11°01'51&quot;N 74°50'35&quot;W"/>
    <x v="1"/>
    <x v="1"/>
    <n v="87873793990"/>
    <n v="1"/>
    <n v="1"/>
    <n v="0"/>
    <x v="0"/>
    <d v="2021-09-01T00:00:00"/>
    <d v="2021-12-31T00:00:00"/>
    <d v="2024-03-27T00:00:00"/>
    <s v="Terminado"/>
    <x v="0"/>
    <d v="2024-03-27T00:00:00"/>
  </r>
  <r>
    <s v="EcoTurismo"/>
    <s v="EcoParque Mallonquín"/>
    <x v="8"/>
    <s v="Riomar"/>
    <s v="La Playa"/>
    <m/>
    <s v="11°02'07.5&quot;N 74°50'18.8&quot;W"/>
    <x v="0"/>
    <x v="0"/>
    <n v="116179263051"/>
    <n v="0.98499999999999999"/>
    <n v="0.98"/>
    <n v="-5.0000000000000044E-3"/>
    <x v="0"/>
    <d v="2022-05-16T00:00:00"/>
    <d v="2023-03-16T00:00:00"/>
    <d v="2024-04-30T00:00:00"/>
    <s v="En_Ejecución"/>
    <x v="0"/>
    <d v="2024-04-30T00:00:00"/>
  </r>
  <r>
    <s v="EcoTurismo"/>
    <s v="Tren Turistico"/>
    <x v="9"/>
    <s v="Riomar"/>
    <s v="Las Flores"/>
    <m/>
    <s v="11°02'42&quot;N 74°49'37&quot;W"/>
    <x v="0"/>
    <x v="0"/>
    <n v="49342339819.130005"/>
    <n v="0.88"/>
    <n v="0.87"/>
    <n v="-1.0000000000000009E-2"/>
    <x v="0"/>
    <d v="2021-11-29T00:00:00"/>
    <d v="2021-12-31T00:00:00"/>
    <d v="2024-06-30T00:00:00"/>
    <s v="En_Ejecución"/>
    <x v="0"/>
    <d v="2024-06-30T00:00:00"/>
  </r>
  <r>
    <s v="EcoTurismo"/>
    <s v="Recuperación Playas de Puerto Mocho"/>
    <x v="10"/>
    <s v="Riomar"/>
    <s v="Las Flores"/>
    <m/>
    <s v="11°03'16&quot;N 74°50'26&quot;W"/>
    <x v="0"/>
    <x v="0"/>
    <n v="36545630730"/>
    <n v="0.98"/>
    <n v="0.83"/>
    <n v="-0.15000000000000002"/>
    <x v="2"/>
    <d v="2022-08-22T00:00:00"/>
    <d v="2022-12-31T00:00:00"/>
    <d v="2024-04-23T00:00:00"/>
    <s v="Rojo"/>
    <x v="1"/>
    <d v="2024-04-23T00:00:00"/>
  </r>
  <r>
    <s v="Desarrollo_urbano"/>
    <s v="Plazas de Mercado"/>
    <x v="11"/>
    <s v="Norte_Centro_Histórico"/>
    <s v="Las Flores"/>
    <s v="calle 106 con 111"/>
    <s v="11°02'42&quot;N 74°49'37&quot;W"/>
    <x v="0"/>
    <x v="0"/>
    <n v="11218117893"/>
    <n v="0.99"/>
    <n v="0.72"/>
    <n v="-0.27"/>
    <x v="2"/>
    <d v="2021-12-27T00:00:00"/>
    <d v="2022-12-31T00:00:00"/>
    <d v="2024-06-30T00:00:00"/>
    <s v="Verde"/>
    <x v="0"/>
    <d v="2024-06-30T00:00:00"/>
  </r>
  <r>
    <s v="Desarrollo_urbano"/>
    <s v="Plazas de Mercado"/>
    <x v="12"/>
    <s v="Norte_Centro_Histórico"/>
    <s v="Centro "/>
    <s v="calle 38 con 43"/>
    <s v="10°58'54&quot;N 74°46'48&quot;W"/>
    <x v="1"/>
    <x v="2"/>
    <n v="11685541488.34"/>
    <n v="1"/>
    <n v="1"/>
    <n v="0"/>
    <x v="0"/>
    <d v="2021-12-27T00:00:00"/>
    <d v="2022-12-31T00:00:00"/>
    <d v="2024-06-30T00:00:00"/>
    <s v="Entregado"/>
    <x v="0"/>
    <d v="2024-06-30T00:00:00"/>
  </r>
  <r>
    <s v="Desarrollo_urbano"/>
    <s v="Plazas de Mercado"/>
    <x v="13"/>
    <s v="Norte_Centro_Histórico"/>
    <s v="La Loma"/>
    <m/>
    <s v="10°59'35.0&quot;N 74°46'11.9&quot;W"/>
    <x v="0"/>
    <x v="0"/>
    <n v="36199262015.209999"/>
    <n v="0.99"/>
    <n v="0.82099999999999995"/>
    <n v="-0.16900000000000004"/>
    <x v="2"/>
    <d v="2021-12-27T00:00:00"/>
    <d v="2022-12-31T00:00:00"/>
    <d v="2024-06-30T00:00:00"/>
    <s v="Verde"/>
    <x v="0"/>
    <d v="2024-06-30T00:00:00"/>
  </r>
  <r>
    <s v="Desarrollo_urbano"/>
    <s v="Plazas de Mercado"/>
    <x v="14"/>
    <s v="Norte_Centro_Histórico"/>
    <s v="Centro"/>
    <s v="cra 42B entre calles 31 y 33"/>
    <s v="10°58'46&quot;N 74°46'32&quot;W"/>
    <x v="1"/>
    <x v="2"/>
    <n v="3709558748.6099997"/>
    <n v="1"/>
    <n v="1"/>
    <n v="0"/>
    <x v="0"/>
    <d v="2021-12-27T00:00:00"/>
    <d v="2022-12-31T00:00:00"/>
    <d v="2024-06-30T00:00:00"/>
    <s v="Entregado"/>
    <x v="0"/>
    <d v="2024-06-30T00:00:00"/>
  </r>
  <r>
    <s v="Desarrollo_urbano"/>
    <s v="Plazas de Mercado"/>
    <x v="15"/>
    <s v="Norte_Centro_Histórico"/>
    <s v="Barlovento"/>
    <s v="C 9A 46A 115"/>
    <s v="10°59'11&quot;N 74°46'32&quot;W"/>
    <x v="1"/>
    <x v="2"/>
    <n v="5062564619.8400002"/>
    <n v="1"/>
    <n v="1"/>
    <n v="0"/>
    <x v="0"/>
    <d v="2021-12-27T00:00:00"/>
    <d v="2022-12-31T00:00:00"/>
    <d v="2024-06-30T00:00:00"/>
    <s v="Entregado"/>
    <x v="0"/>
    <d v="2024-06-30T00:00:00"/>
  </r>
  <r>
    <s v="Desarrollo_urbano"/>
    <s v="Plazas de Mercado"/>
    <x v="16"/>
    <s v="Norte_Centro_Histórico"/>
    <s v="Barranquillita"/>
    <s v="C 9 41N 52"/>
    <s v="10°58'45&quot;N 74°46'20&quot;W"/>
    <x v="1"/>
    <x v="2"/>
    <n v="38253395124.07"/>
    <n v="1"/>
    <n v="1"/>
    <n v="0"/>
    <x v="0"/>
    <d v="2022-03-07T00:00:00"/>
    <d v="2022-12-31T00:00:00"/>
    <d v="2023-10-15T00:00:00"/>
    <s v="Entregado"/>
    <x v="0"/>
    <d v="2023-10-15T00:00:00"/>
  </r>
  <r>
    <s v="Desarrollo_urbano"/>
    <s v="Tranformación de Entornos Urbanos"/>
    <x v="17"/>
    <s v="Norte_Centro_Histórico"/>
    <s v="Riomar_x000a_"/>
    <s v="carrera 53 entre calles 80 a la 87"/>
    <s v="11°00'20&quot;N 74°48'42&quot;W"/>
    <x v="0"/>
    <x v="0"/>
    <n v="9812323723.4759083"/>
    <n v="1"/>
    <n v="0.99780000000000002"/>
    <n v="-2.1999999999999797E-3"/>
    <x v="0"/>
    <d v="2022-05-25T00:00:00"/>
    <d v="2022-12-31T00:00:00"/>
    <d v="2024-06-30T00:00:00"/>
    <s v="En_Ejecución"/>
    <x v="0"/>
    <d v="2024-06-30T00:00:00"/>
  </r>
  <r>
    <s v="Desarrollo_urbano"/>
    <s v="Tranformación de Entornos Urbanos"/>
    <x v="18"/>
    <s v="Norte_Centro_Histórico"/>
    <s v="Centro"/>
    <s v="Gran Malecon del Rio UF3"/>
    <s v="11°00'55&quot;N 74°47'19&quot;W"/>
    <x v="0"/>
    <x v="0"/>
    <n v="13890112595.149565"/>
    <n v="1"/>
    <n v="0.96499999999999997"/>
    <n v="-3.5000000000000031E-2"/>
    <x v="1"/>
    <d v="2022-05-25T00:00:00"/>
    <d v="2022-12-31T00:00:00"/>
    <d v="2024-06-30T00:00:00"/>
    <s v="Verde"/>
    <x v="0"/>
    <d v="2024-06-30T00:00:00"/>
  </r>
  <r>
    <s v="Desarrollo_urbano"/>
    <s v="Tranformación de Entornos Urbanos"/>
    <x v="19"/>
    <s v="Norte_Centro_Histórico"/>
    <s v="Barlovento"/>
    <s v="Carrera 50 con calle 9A"/>
    <s v="10°59'15&quot;N 74°46'32&quot;W"/>
    <x v="0"/>
    <x v="0"/>
    <n v="576487967.85677433"/>
    <n v="1"/>
    <n v="0.96050000000000002"/>
    <n v="-3.949999999999998E-2"/>
    <x v="0"/>
    <d v="2022-05-25T00:00:00"/>
    <d v="2022-12-31T00:00:00"/>
    <d v="2024-06-30T00:00:00"/>
    <s v="En_Ejecución"/>
    <x v="0"/>
    <d v="2024-06-30T00:00:00"/>
  </r>
  <r>
    <s v="Desarrollo_urbano"/>
    <s v="Tranformación de Entornos Urbanos"/>
    <x v="20"/>
    <s v="Norte_Centro_Histórico"/>
    <s v="Centro"/>
    <s v="Carrea 42 # 7-39"/>
    <s v="10°58'45&quot;N 74°46'16&quot;W"/>
    <x v="0"/>
    <x v="0"/>
    <n v="994306260.70694494"/>
    <n v="0.9244"/>
    <n v="0.27050000000000002"/>
    <n v="-0.65389999999999993"/>
    <x v="2"/>
    <d v="2022-05-25T00:00:00"/>
    <d v="2022-12-31T00:00:00"/>
    <d v="2024-06-30T00:00:00"/>
    <s v="Verde"/>
    <x v="0"/>
    <d v="2024-06-30T00:00:00"/>
  </r>
  <r>
    <s v="Desarrollo_urbano"/>
    <s v="Tranformación de Entornos Urbanos"/>
    <x v="21"/>
    <s v="Norte_Centro_Histórico"/>
    <s v="Centro"/>
    <s v="Calle 30 # 42-15"/>
    <s v="10°58'47&quot;N 74°46'32&quot;W"/>
    <x v="0"/>
    <x v="0"/>
    <n v="177984072.97210985"/>
    <n v="1"/>
    <n v="0.96"/>
    <n v="-4.0000000000000036E-2"/>
    <x v="0"/>
    <d v="2022-05-25T00:00:00"/>
    <d v="2022-12-31T00:00:00"/>
    <d v="2024-06-30T00:00:00"/>
    <s v="En_Ejecución"/>
    <x v="0"/>
    <d v="2024-06-30T00:00:00"/>
  </r>
  <r>
    <s v="Desarrollo_urbano"/>
    <s v="Tranformación de Entornos Urbanos"/>
    <x v="22"/>
    <s v="Norte_Centro_Histórico"/>
    <s v="Centro"/>
    <s v="cra 42B entre calles 31 y 33"/>
    <s v="10°59'22&quot;N 74°47'22&quot;W"/>
    <x v="0"/>
    <x v="0"/>
    <n v="309833270.50925273"/>
    <n v="1"/>
    <n v="1"/>
    <n v="0"/>
    <x v="0"/>
    <d v="2022-05-25T00:00:00"/>
    <d v="2022-12-31T00:00:00"/>
    <d v="2024-06-30T00:00:00"/>
    <s v="En_Ejecución"/>
    <x v="0"/>
    <d v="2024-06-30T00:00:00"/>
  </r>
  <r>
    <s v="Desarrollo_urbano"/>
    <s v="Tranformación de Entornos Urbanos"/>
    <x v="23"/>
    <s v="Norte_Centro_Histórico"/>
    <s v="Las Americas"/>
    <s v="Cra 3C # 52B- 141"/>
    <s v="10°56'27&quot;N 74°48'40&quot;W"/>
    <x v="0"/>
    <x v="0"/>
    <n v="566648825.01944566"/>
    <n v="1"/>
    <n v="0.98"/>
    <n v="-2.0000000000000018E-2"/>
    <x v="0"/>
    <d v="2022-05-25T00:00:00"/>
    <d v="2022-12-31T00:00:00"/>
    <d v="2024-06-30T00:00:00"/>
    <s v="En_Ejecución"/>
    <x v="0"/>
    <d v="2024-06-30T00:00:00"/>
  </r>
  <r>
    <s v="Agua_potable_y_saneamiento_básico"/>
    <s v="Agua potable y saneamiento básico"/>
    <x v="24"/>
    <s v="Suroriente"/>
    <s v="Rebolo_x000a_La Luz_x000a_Villanueva_x000a_Zona Franca_x000a_La Chinita_x000a_El Ferry"/>
    <s v="-"/>
    <s v="10°58'11&quot;N 74°45'54&quot;W"/>
    <x v="0"/>
    <x v="0"/>
    <n v="99979996094"/>
    <n v="0.95"/>
    <n v="0.72"/>
    <n v="-0.22999999999999998"/>
    <x v="2"/>
    <d v="2022-05-11T00:00:00"/>
    <d v="2023-03-31T00:00:00"/>
    <d v="2024-04-30T00:00:00"/>
    <s v="Rojo"/>
    <x v="1"/>
    <d v="2024-04-30T00:00:00"/>
  </r>
  <r>
    <s v="Recreación_y_Deporte"/>
    <s v="Escenarios deportivos "/>
    <x v="25"/>
    <s v="Norte_Centro_Histórico"/>
    <s v=" "/>
    <m/>
    <s v="10°59'56.4&quot;N 74°50'03.9&quot;W"/>
    <x v="0"/>
    <x v="3"/>
    <n v="31980740561.16"/>
    <n v="0.99650000000000005"/>
    <n v="0.96950000000000003"/>
    <n v="-2.7000000000000024E-2"/>
    <x v="0"/>
    <d v="2022-06-09T00:00:00"/>
    <d v="2022-12-31T00:00:00"/>
    <d v="2023-12-17T00:00:00"/>
    <s v="Suspendido"/>
    <x v="0"/>
    <m/>
  </r>
  <r>
    <s v="Trasporte"/>
    <s v="Barrios a la obra "/>
    <x v="26"/>
    <s v="Varias"/>
    <s v="La Paz - El Carmen - Olaya - Santuario - Evaristo Sourdis - Villa San Pedro II - Villa Flor - Campo Alegre - Sevilla Real - Las Granjas - Villa Sevilla - Corregimiento La Playa - Alameda Del Rio - El Pueblo - Los Angeles III - Siete de Abril - Boyacá"/>
    <s v="-"/>
    <s v="10°58'6.7'' N_x0009_74°46'52.8'' O"/>
    <x v="0"/>
    <x v="0"/>
    <n v="20718054844"/>
    <n v="0.90714285714285714"/>
    <n v="0.92549999999999999"/>
    <n v="1.835714285714285E-2"/>
    <x v="0"/>
    <d v="2021-09-03T00:00:00"/>
    <d v="2021-12-31T00:00:00"/>
    <d v="2024-07-31T00:00:00"/>
    <s v="En_Ejecución"/>
    <x v="0"/>
    <d v="2024-07-31T00:00:00"/>
  </r>
  <r>
    <s v="Trasporte"/>
    <s v="Barrios a la obra "/>
    <x v="27"/>
    <s v="Varias"/>
    <s v="La Gloria - El Bosque - El Pueblo - California - Cordialidad - Villa San Pedro I - Villa San Carlos - Santo Domingo de Guzman"/>
    <s v="-"/>
    <s v="10°58'6.7'' N_x0009_74°46'52.8'' O"/>
    <x v="0"/>
    <x v="3"/>
    <n v="21392580958"/>
    <n v="1"/>
    <n v="0.96970000000000001"/>
    <n v="-3.0299999999999994E-2"/>
    <x v="1"/>
    <d v="2021-09-03T00:00:00"/>
    <d v="2021-12-31T00:00:00"/>
    <d v="2023-02-28T00:00:00"/>
    <s v="Suspendido"/>
    <x v="1"/>
    <m/>
  </r>
  <r>
    <s v="Trasporte"/>
    <s v="Barrios a la obra "/>
    <x v="28"/>
    <s v="Suroccidente"/>
    <s v="Por Fin - La Manga"/>
    <s v="-"/>
    <s v="10°58'6.7'' N_x0009_74°46'52.8'' O"/>
    <x v="0"/>
    <x v="0"/>
    <n v="12917197932"/>
    <n v="0.90714285714285714"/>
    <n v="0.66810000000000003"/>
    <n v="-0.23904285714285711"/>
    <x v="2"/>
    <d v="2021-09-03T00:00:00"/>
    <d v="2021-12-31T00:00:00"/>
    <d v="2024-07-31T00:00:00"/>
    <s v="Verde"/>
    <x v="0"/>
    <d v="2024-07-31T00:00:00"/>
  </r>
  <r>
    <s v="Trasporte"/>
    <s v="Barrios a la obra "/>
    <x v="29"/>
    <s v="Metropolitana"/>
    <s v="Siete de Abril"/>
    <s v="-"/>
    <s v="10°58'6.7'' N_x0009_74°46'52.8'' O"/>
    <x v="0"/>
    <x v="0"/>
    <n v="13022133662"/>
    <n v="0.90714285714285714"/>
    <n v="0.80020000000000002"/>
    <n v="-0.10694285714285712"/>
    <x v="2"/>
    <d v="2021-09-03T00:00:00"/>
    <d v="2021-12-31T00:00:00"/>
    <d v="2024-07-31T00:00:00"/>
    <s v="Verde"/>
    <x v="0"/>
    <d v="2024-07-31T00:00:00"/>
  </r>
  <r>
    <s v="Trasporte"/>
    <s v="Barrios a la obra "/>
    <x v="30"/>
    <s v="Varias"/>
    <s v="Colombia - El Porvenir - Altos del Limon - Centro - Villa Santos - Las Americas - Las Malvinas - Barrios Abajo - La Chinita - Las Flores - San Salvador - San Francisco - La Luz - Chiquinquira - Las Mercedes - Los Jobos - San Jose - La Victoria - Las Delicias - La Ceiba - San Felipe - Olaya Herrera - Las Estrellas - La Florida - Santa Maria - San Luis - Los Andes"/>
    <s v="-"/>
    <s v="10°58'6.7'' N_x0009_74°46'52.8'' O"/>
    <x v="0"/>
    <x v="0"/>
    <n v="15470897786"/>
    <n v="0.96227272727272728"/>
    <n v="0.98119999999999996"/>
    <n v="1.8927272727272682E-2"/>
    <x v="0"/>
    <d v="2021-09-03T00:00:00"/>
    <d v="2021-12-31T00:00:00"/>
    <d v="2024-05-31T00:00:00"/>
    <s v="En_Ejecución"/>
    <x v="0"/>
    <d v="2024-05-31T00:00:00"/>
  </r>
  <r>
    <s v="Trasporte"/>
    <s v="Barrios a la obra "/>
    <x v="31"/>
    <s v="Varias"/>
    <s v="Las Americas - Santuario - Las Malvinas - Ciudadela 20 de Julio - Ciudad Modesto"/>
    <s v="-"/>
    <s v="10°58'6.7'' N_x0009_74°46'52.8'' O"/>
    <x v="0"/>
    <x v="0"/>
    <n v="14518306429"/>
    <n v="0.90714285714285703"/>
    <n v="0.82669999999999999"/>
    <n v="-8.0442857142857038E-2"/>
    <x v="2"/>
    <d v="2021-09-03T00:00:00"/>
    <d v="2021-12-31T00:00:00"/>
    <d v="2024-07-31T00:00:00"/>
    <s v="Verde"/>
    <x v="0"/>
    <d v="2024-07-31T00:00:00"/>
  </r>
  <r>
    <s v="Trasporte"/>
    <s v="Barrios a la obra "/>
    <x v="32"/>
    <s v="Varias"/>
    <s v="El Bosque - El Eden 2000 - Florida Sur - Evaristo Sourdis - Villa del Rosario - Ciudad Jardin - Las Estrellas"/>
    <s v="-"/>
    <s v="10°58'6.7'' N_x0009_74°46'52.8'' O"/>
    <x v="0"/>
    <x v="3"/>
    <n v="16170152383"/>
    <n v="1.0000000000000002"/>
    <n v="0.97109999999999996"/>
    <n v="-2.8900000000000259E-2"/>
    <x v="0"/>
    <d v="2021-09-03T00:00:00"/>
    <d v="2021-12-31T00:00:00"/>
    <d v="2023-11-30T00:00:00"/>
    <s v="Suspendido"/>
    <x v="0"/>
    <m/>
  </r>
  <r>
    <s v="Trasporte"/>
    <s v="Barrios a la obra "/>
    <x v="33"/>
    <s v="Suroccidente"/>
    <s v="Me Quejo - San Felipe - Carlos Meisel - La Esmeralda - La Libertad"/>
    <s v="-"/>
    <s v="10°58'6.7'' N_x0009_74°46'52.8'' O"/>
    <x v="0"/>
    <x v="0"/>
    <n v="13103081515"/>
    <n v="0.90714285714285725"/>
    <n v="0.75160000000000005"/>
    <n v="-0.1555428571428572"/>
    <x v="2"/>
    <d v="2021-09-03T00:00:00"/>
    <d v="2021-12-31T00:00:00"/>
    <d v="2024-07-31T00:00:00"/>
    <s v="Verde"/>
    <x v="0"/>
    <d v="2024-07-31T00:00:00"/>
  </r>
  <r>
    <s v="Trasporte"/>
    <s v="Barrios a la obra "/>
    <x v="34"/>
    <s v="Varias"/>
    <s v="Barlovento - Kalamary - San Roque"/>
    <s v="-"/>
    <s v="10°58'6.7'' N_x0009_74°46'52.8'' O"/>
    <x v="0"/>
    <x v="0"/>
    <n v="12374375896"/>
    <n v="0.90714285714285714"/>
    <n v="0.79910000000000003"/>
    <n v="-0.10804285714285711"/>
    <x v="2"/>
    <d v="2021-09-03T00:00:00"/>
    <d v="2021-12-31T00:00:00"/>
    <d v="2024-07-31T00:00:00"/>
    <s v="Verde"/>
    <x v="0"/>
    <d v="2024-07-31T00:00:00"/>
  </r>
  <r>
    <s v="Trasporte"/>
    <s v="Barrios a la obra "/>
    <x v="35"/>
    <s v="Varias"/>
    <s v="Los Angeles - Los Angeles II - Los Angeles III - Las Nieves - Simon Bolivar"/>
    <s v="-"/>
    <s v="10°58'6.7'' N_x0009_74°46'52.8'' O"/>
    <x v="0"/>
    <x v="0"/>
    <n v="13035888005"/>
    <n v="0.90714285714285714"/>
    <n v="0.74980000000000002"/>
    <n v="-0.15734285714285712"/>
    <x v="2"/>
    <d v="2021-09-03T00:00:00"/>
    <d v="2021-12-31T00:00:00"/>
    <d v="2024-07-31T00:00:00"/>
    <s v="Verde"/>
    <x v="0"/>
    <d v="2024-07-31T00:00:00"/>
  </r>
  <r>
    <s v="Trasporte"/>
    <s v="Barrios a la obra "/>
    <x v="36"/>
    <s v="Varias"/>
    <s v="Alboraya - Carrizal - Las Palmas - Primero de Mayo - San Nicolas - Siape - Buenos Aires"/>
    <s v="-"/>
    <s v="10°58'6.7'' N_x0009_74°46'52.8'' O"/>
    <x v="0"/>
    <x v="0"/>
    <n v="13256727960"/>
    <n v="0.90714285714285714"/>
    <n v="0.74209999999999998"/>
    <n v="-0.16504285714285716"/>
    <x v="2"/>
    <d v="2021-09-03T00:00:00"/>
    <d v="2021-12-31T00:00:00"/>
    <d v="2024-07-31T00:00:00"/>
    <s v="Verde"/>
    <x v="0"/>
    <d v="2024-07-31T00:00:00"/>
  </r>
  <r>
    <s v="Trasporte"/>
    <s v="Barrios a la obra "/>
    <x v="37"/>
    <s v="Varias"/>
    <s v="La Playa - Los Olivos I - Los Olivos II - El Pueblo - La Pradera"/>
    <s v="-"/>
    <s v="10°58'6.7'' N_x0009_74°46'52.8'' O"/>
    <x v="1"/>
    <x v="1"/>
    <n v="7765796823"/>
    <n v="1"/>
    <n v="1"/>
    <n v="0"/>
    <x v="0"/>
    <d v="2021-09-03T00:00:00"/>
    <d v="2021-12-31T00:00:00"/>
    <d v="2022-07-30T00:00:00"/>
    <s v="Terminado"/>
    <x v="0"/>
    <d v="2023-07-25T00:00:00"/>
  </r>
  <r>
    <s v="Educación"/>
    <s v="Colegios "/>
    <x v="38"/>
    <s v="Metropolitana"/>
    <s v="Ciudadela 20 de Julio "/>
    <m/>
    <s v="10°55'52&quot;N 74°48'16&quot;W"/>
    <x v="0"/>
    <x v="0"/>
    <n v="1266389041.3499999"/>
    <n v="0.92"/>
    <n v="0.75"/>
    <n v="-0.17000000000000004"/>
    <x v="2"/>
    <d v="2022-07-15T00:00:00"/>
    <d v="2022-12-31T00:00:00"/>
    <d v="2024-12-31T00:00:00"/>
    <s v="Verde"/>
    <x v="0"/>
    <d v="2024-05-31T00:00:00"/>
  </r>
  <r>
    <s v="Educación"/>
    <s v="Colegios "/>
    <x v="39"/>
    <s v="Suroccidente"/>
    <s v="Chiquinquirá"/>
    <m/>
    <s v="10°58'30&quot;N 74°47'20&quot;W"/>
    <x v="0"/>
    <x v="0"/>
    <n v="1578127841.4300001"/>
    <n v="0.82"/>
    <n v="0.72"/>
    <n v="-9.9999999999999978E-2"/>
    <x v="2"/>
    <d v="2022-07-15T00:00:00"/>
    <d v="2022-12-31T00:00:00"/>
    <d v="2024-12-31T00:00:00"/>
    <s v="Verde"/>
    <x v="0"/>
    <d v="2024-07-31T00:00:00"/>
  </r>
  <r>
    <s v="Educación"/>
    <s v="Colegios "/>
    <x v="40"/>
    <s v="Suroccidente"/>
    <s v="San Felipe"/>
    <m/>
    <s v="10°58'27&quot;N 74°48'29&quot;W"/>
    <x v="0"/>
    <x v="0"/>
    <n v="399243209.67000002"/>
    <n v="0.97"/>
    <n v="0.93"/>
    <n v="-3.9999999999999925E-2"/>
    <x v="0"/>
    <d v="2022-07-15T00:00:00"/>
    <d v="2022-12-31T00:00:00"/>
    <d v="2024-12-31T00:00:00"/>
    <s v="En_Ejecución"/>
    <x v="0"/>
    <d v="2024-04-30T00:00:00"/>
  </r>
  <r>
    <s v="Educación"/>
    <s v="Colegios "/>
    <x v="41"/>
    <s v="Metropolitana"/>
    <s v="Carrizal"/>
    <m/>
    <s v="10°57'47&quot;N 74°48'05&quot;W"/>
    <x v="0"/>
    <x v="0"/>
    <n v="6843381947.6300001"/>
    <n v="0.79"/>
    <n v="0.68"/>
    <n v="-0.10999999999999999"/>
    <x v="2"/>
    <d v="2022-07-15T00:00:00"/>
    <d v="2022-12-31T00:00:00"/>
    <d v="2024-12-31T00:00:00"/>
    <s v="Verde"/>
    <x v="0"/>
    <d v="2024-07-31T00:00:00"/>
  </r>
  <r>
    <s v="Educación"/>
    <s v="Colegios "/>
    <x v="42"/>
    <s v="Norte_Centro_Histórico"/>
    <s v="Centro"/>
    <m/>
    <s v="10°59'08&quot;N 74°47'12&quot;W"/>
    <x v="0"/>
    <x v="0"/>
    <n v="3228050889.5799999"/>
    <n v="0.76"/>
    <n v="0.53"/>
    <n v="-0.22999999999999998"/>
    <x v="2"/>
    <d v="2022-07-15T00:00:00"/>
    <d v="2022-12-31T00:00:00"/>
    <d v="2024-12-31T00:00:00"/>
    <s v="Verde"/>
    <x v="0"/>
    <d v="2024-07-31T00:00:00"/>
  </r>
  <r>
    <s v="Educación"/>
    <s v="Colegios "/>
    <x v="43"/>
    <s v="Suroccidente"/>
    <s v="Nueva Granada"/>
    <m/>
    <m/>
    <x v="0"/>
    <x v="0"/>
    <n v="109034606.39"/>
    <n v="0.32"/>
    <n v="0.1171"/>
    <n v="-0.20290000000000002"/>
    <x v="2"/>
    <d v="2024-07-15T00:00:00"/>
    <d v="2022-12-31T00:00:00"/>
    <d v="2024-12-31T00:00:00"/>
    <s v="Verde"/>
    <x v="0"/>
    <d v="2024-05-18T00:00:00"/>
  </r>
  <r>
    <s v="Salud"/>
    <s v="Hospital"/>
    <x v="44"/>
    <m/>
    <s v=""/>
    <m/>
    <m/>
    <x v="0"/>
    <x v="0"/>
    <n v="219557515247.45001"/>
    <n v="0.70540000000000003"/>
    <n v="0.70540000000000003"/>
    <n v="0"/>
    <x v="0"/>
    <d v="2016-06-03T00:00:00"/>
    <d v="2024-12-31T00:00:00"/>
    <d v="2024-04-13T00:00:00"/>
    <s v="En_Ejecución"/>
    <x v="0"/>
    <d v="2024-04-13T00:00:00"/>
  </r>
  <r>
    <s v="Salud"/>
    <s v="Pasos"/>
    <x v="45"/>
    <m/>
    <s v=""/>
    <m/>
    <m/>
    <x v="0"/>
    <x v="0"/>
    <n v="15095646587.310001"/>
    <n v="0.11650000000000001"/>
    <n v="0.11650000000000001"/>
    <n v="0"/>
    <x v="0"/>
    <d v="2016-06-03T00:00:00"/>
    <d v="2024-12-31T00:00:00"/>
    <d v="2024-04-13T00:00:00"/>
    <s v="En_Ejecución"/>
    <x v="0"/>
    <d v="2024-04-13T00:00:00"/>
  </r>
  <r>
    <s v="Recreación_y_Deporte"/>
    <s v="Escenarios deportivos "/>
    <x v="46"/>
    <s v="Varias"/>
    <s v="Barranquilla"/>
    <m/>
    <m/>
    <x v="0"/>
    <x v="0"/>
    <n v="9200000000"/>
    <n v="0"/>
    <n v="0.17299999999999999"/>
    <n v="0.17299999999999999"/>
    <x v="0"/>
    <d v="2023-05-24T00:00:00"/>
    <d v="2023-12-31T00:00:00"/>
    <d v="2024-07-30T00:00:00"/>
    <s v="En_Ejecución"/>
    <x v="0"/>
    <d v="2024-07-30T00:00:00"/>
  </r>
  <r>
    <s v="Trasporte"/>
    <s v="Barrios a la obra "/>
    <x v="47"/>
    <m/>
    <m/>
    <m/>
    <m/>
    <x v="2"/>
    <x v="4"/>
    <n v="8433759068"/>
    <n v="0"/>
    <n v="0"/>
    <n v="0"/>
    <x v="0"/>
    <m/>
    <m/>
    <m/>
    <s v="Perfeccionamiento_y_Legalización"/>
    <x v="0"/>
    <m/>
  </r>
  <r>
    <s v="Trasporte"/>
    <s v="Barrios a la obra "/>
    <x v="48"/>
    <m/>
    <m/>
    <m/>
    <m/>
    <x v="2"/>
    <x v="4"/>
    <n v="8387633859"/>
    <n v="0"/>
    <n v="0"/>
    <n v="0"/>
    <x v="0"/>
    <m/>
    <m/>
    <m/>
    <s v="Perfeccionamiento_y_Legalización"/>
    <x v="0"/>
    <m/>
  </r>
  <r>
    <s v="Trasporte"/>
    <s v="Barrios a la obra "/>
    <x v="49"/>
    <m/>
    <m/>
    <m/>
    <m/>
    <x v="2"/>
    <x v="4"/>
    <n v="8793381504"/>
    <n v="0"/>
    <n v="0"/>
    <n v="0"/>
    <x v="0"/>
    <m/>
    <m/>
    <m/>
    <s v="Perfeccionamiento_y_Legalización"/>
    <x v="0"/>
    <m/>
  </r>
  <r>
    <s v="Trasporte"/>
    <s v="Barrios a la obra "/>
    <x v="50"/>
    <m/>
    <m/>
    <m/>
    <m/>
    <x v="2"/>
    <x v="4"/>
    <n v="8585914241"/>
    <n v="0"/>
    <n v="0"/>
    <n v="0"/>
    <x v="0"/>
    <m/>
    <m/>
    <m/>
    <s v="Perfeccionamiento_y_Legalización"/>
    <x v="0"/>
    <m/>
  </r>
  <r>
    <s v="Trasporte"/>
    <s v="Barrios a la obra "/>
    <x v="51"/>
    <m/>
    <m/>
    <m/>
    <m/>
    <x v="2"/>
    <x v="4"/>
    <n v="8350568604"/>
    <n v="0"/>
    <n v="0"/>
    <n v="0"/>
    <x v="0"/>
    <m/>
    <m/>
    <m/>
    <s v="Perfeccionamiento_y_Legalización"/>
    <x v="0"/>
    <m/>
  </r>
  <r>
    <s v="Trasporte"/>
    <s v="Barrios a la obra "/>
    <x v="52"/>
    <m/>
    <m/>
    <m/>
    <m/>
    <x v="2"/>
    <x v="4"/>
    <n v="9018274387"/>
    <n v="0"/>
    <n v="0"/>
    <n v="0"/>
    <x v="0"/>
    <m/>
    <m/>
    <m/>
    <s v="Perfeccionamiento_y_Legalización"/>
    <x v="0"/>
    <m/>
  </r>
  <r>
    <s v="Trasporte"/>
    <s v="Barrios a la obra "/>
    <x v="53"/>
    <m/>
    <m/>
    <m/>
    <m/>
    <x v="2"/>
    <x v="4"/>
    <n v="9186635876"/>
    <n v="0"/>
    <n v="0"/>
    <n v="0"/>
    <x v="0"/>
    <m/>
    <m/>
    <m/>
    <s v="Perfeccionamiento_y_Legalización"/>
    <x v="0"/>
    <m/>
  </r>
  <r>
    <s v="Trasporte"/>
    <s v="Barrios a la obra "/>
    <x v="54"/>
    <m/>
    <m/>
    <m/>
    <m/>
    <x v="2"/>
    <x v="4"/>
    <n v="12557965286"/>
    <n v="0"/>
    <n v="0"/>
    <n v="0"/>
    <x v="0"/>
    <m/>
    <m/>
    <m/>
    <s v="Perfeccionamiento_y_Legalización"/>
    <x v="0"/>
    <m/>
  </r>
  <r>
    <s v="Trasporte"/>
    <s v="Barrios a la obra "/>
    <x v="55"/>
    <m/>
    <m/>
    <m/>
    <m/>
    <x v="2"/>
    <x v="4"/>
    <n v="12058626643"/>
    <n v="0"/>
    <n v="0"/>
    <n v="0"/>
    <x v="0"/>
    <m/>
    <m/>
    <m/>
    <s v="Perfeccionamiento_y_Legalización"/>
    <x v="0"/>
    <m/>
  </r>
  <r>
    <s v="Vivienda"/>
    <s v="Mejoramiento de viviendas"/>
    <x v="56"/>
    <m/>
    <m/>
    <m/>
    <m/>
    <x v="2"/>
    <x v="5"/>
    <n v="22962981691.642204"/>
    <n v="0"/>
    <n v="0"/>
    <n v="0"/>
    <x v="0"/>
    <m/>
    <m/>
    <m/>
    <s v="En_Convocatoria"/>
    <x v="0"/>
    <m/>
  </r>
  <r>
    <s v="Vivienda"/>
    <s v="Mejoramiento de viviendas"/>
    <x v="57"/>
    <m/>
    <m/>
    <m/>
    <m/>
    <x v="2"/>
    <x v="5"/>
    <n v="22471261466.546684"/>
    <n v="0"/>
    <n v="0"/>
    <n v="0"/>
    <x v="0"/>
    <m/>
    <m/>
    <m/>
    <s v="En_Convocatoria"/>
    <x v="0"/>
    <m/>
  </r>
  <r>
    <s v="Vivienda"/>
    <s v="Mejoramiento de viviendas"/>
    <x v="58"/>
    <m/>
    <m/>
    <m/>
    <m/>
    <x v="2"/>
    <x v="5"/>
    <n v="22620928293.757587"/>
    <n v="0"/>
    <n v="0"/>
    <n v="0"/>
    <x v="0"/>
    <m/>
    <m/>
    <m/>
    <s v="En_Convocatoria"/>
    <x v="0"/>
    <m/>
  </r>
  <r>
    <s v="Vivienda"/>
    <s v="Mejoramiento de viviendas"/>
    <x v="59"/>
    <m/>
    <m/>
    <m/>
    <m/>
    <x v="2"/>
    <x v="5"/>
    <n v="22874503267.963524"/>
    <n v="0"/>
    <n v="0"/>
    <n v="0"/>
    <x v="0"/>
    <m/>
    <m/>
    <m/>
    <s v="En_Convocatoria"/>
    <x v="0"/>
    <m/>
  </r>
  <r>
    <s v="Vivienda"/>
    <s v="Mejoramiento de viviendas"/>
    <x v="60"/>
    <m/>
    <m/>
    <m/>
    <m/>
    <x v="2"/>
    <x v="5"/>
    <n v="22877651760.571491"/>
    <n v="0"/>
    <n v="0"/>
    <n v="0"/>
    <x v="0"/>
    <m/>
    <m/>
    <m/>
    <s v="En_Convocatoria"/>
    <x v="0"/>
    <m/>
  </r>
  <r>
    <s v="Vivienda"/>
    <s v="Mejoramiento de viviendas"/>
    <x v="61"/>
    <m/>
    <m/>
    <m/>
    <m/>
    <x v="2"/>
    <x v="5"/>
    <n v="22795179726.304726"/>
    <n v="0"/>
    <n v="0"/>
    <n v="0"/>
    <x v="0"/>
    <m/>
    <m/>
    <m/>
    <s v="En_Convocatoria"/>
    <x v="0"/>
    <m/>
  </r>
  <r>
    <s v="Vivienda"/>
    <s v="Mejoramiento de viviendas"/>
    <x v="62"/>
    <m/>
    <m/>
    <m/>
    <m/>
    <x v="2"/>
    <x v="5"/>
    <n v="25933767375.873116"/>
    <n v="0"/>
    <n v="0"/>
    <n v="0"/>
    <x v="0"/>
    <m/>
    <m/>
    <m/>
    <s v="En_Convocatoria"/>
    <x v="0"/>
    <m/>
  </r>
  <r>
    <s v="Vivienda"/>
    <s v="Mejoramiento de viviendas"/>
    <x v="63"/>
    <m/>
    <m/>
    <m/>
    <m/>
    <x v="2"/>
    <x v="5"/>
    <n v="25680031141.750671"/>
    <n v="0"/>
    <n v="0"/>
    <n v="0"/>
    <x v="0"/>
    <m/>
    <m/>
    <m/>
    <s v="En_Convocatoria"/>
    <x v="0"/>
    <m/>
  </r>
  <r>
    <s v="Trasporte"/>
    <s v="Malla Vial"/>
    <x v="64"/>
    <s v="Suroriente"/>
    <s v="Tayrona, Los Trupillos, Simon Bolivar, Centro, Montes, San Roque, Rebolo, Las Nieves, Boyaca, El Limon "/>
    <s v="-"/>
    <s v="10°56'31.6&quot;N 74°47'00.0&quot;W"/>
    <x v="1"/>
    <x v="1"/>
    <n v="152860038595"/>
    <n v="0.9"/>
    <n v="0.89"/>
    <n v="-1.0000000000000009E-2"/>
    <x v="0"/>
    <d v="2018-08-29T00:00:00"/>
    <d v="2018-12-31T00:00:00"/>
    <d v="2024-02-29T00:00:00"/>
    <s v="Terminado"/>
    <x v="0"/>
    <d v="2024-06-30T00:00:00"/>
  </r>
  <r>
    <s v="Trasporte"/>
    <s v="Malla Vial"/>
    <x v="65"/>
    <s v="Suroccidente"/>
    <s v="La Paz, Los Olivos, Los Olivos Ii, La Pradera, El Eden, Las Estrellas."/>
    <s v="-"/>
    <s v="10°58'42.2&quot;N 74°50'09.7&quot;W"/>
    <x v="0"/>
    <x v="0"/>
    <n v="84447323510"/>
    <n v="0.98"/>
    <n v="0.89"/>
    <n v="-8.9999999999999969E-2"/>
    <x v="2"/>
    <d v="2018-04-25T00:00:00"/>
    <d v="2018-12-31T00:00:00"/>
    <d v="2024-06-30T00:00:00"/>
    <s v="Verde"/>
    <x v="0"/>
    <d v="2024-12-31T00:00:00"/>
  </r>
  <r>
    <s v="Trasporte"/>
    <s v="Malla Vial"/>
    <x v="66"/>
    <s v="Suroccidente"/>
    <s v="Villa De San Pedro, San Luis, California, Las Ceibas, La Sierra, Kennedy, La Ceiba, El Carmen. "/>
    <s v="-"/>
    <s v="10°56'38.4&quot;N 74°49'40.1&quot;W"/>
    <x v="0"/>
    <x v="0"/>
    <n v="156209072710.31"/>
    <n v="0.89"/>
    <n v="0.85"/>
    <n v="-4.0000000000000036E-2"/>
    <x v="1"/>
    <d v="2018-04-23T00:00:00"/>
    <d v="2018-12-31T00:00:00"/>
    <d v="2024-05-30T00:00:00"/>
    <s v="Amarillo"/>
    <x v="0"/>
    <d v="2024-07-30T00:00:00"/>
  </r>
  <r>
    <s v="Arroyos"/>
    <s v="Arroyos "/>
    <x v="67"/>
    <s v="Suroriente"/>
    <s v="San Jose, Los Cocos, Boyaca,  La Union, Buena Esperanza, El Carmen. "/>
    <s v="-"/>
    <s v="10°57'53.8&quot;N 74°47'48.7&quot;W"/>
    <x v="0"/>
    <x v="3"/>
    <n v="170704825174.69998"/>
    <n v="1"/>
    <n v="0.99"/>
    <n v="-1.0000000000000009E-2"/>
    <x v="0"/>
    <d v="2016-11-21T00:00:00"/>
    <d v="2018-03-21T00:00:00"/>
    <d v="2021-08-03T00:00:00"/>
    <s v="Suspendido"/>
    <x v="0"/>
    <m/>
  </r>
  <r>
    <s v="Arroyos"/>
    <s v="Arroyos "/>
    <x v="68"/>
    <s v="Norte_Centro_Histórico"/>
    <s v="Montecristo, El Prado, Entre Otros"/>
    <s v="-"/>
    <s v="10°59'38.7&quot;N 74°47'33.3&quot;"/>
    <x v="0"/>
    <x v="3"/>
    <n v="110645101776"/>
    <n v="1"/>
    <n v="0.99"/>
    <n v="-1.0000000000000009E-2"/>
    <x v="0"/>
    <d v="2017-03-06T00:00:00"/>
    <d v="2018-07-05T00:00:00"/>
    <d v="2021-05-10T00:00:00"/>
    <s v="Suspendido"/>
    <x v="0"/>
    <m/>
  </r>
  <r>
    <s v="Arroyos"/>
    <s v="Arroyos "/>
    <x v="69"/>
    <s v="Varias"/>
    <s v="Lucero, Los Pinos, Prado, Siete Bocas, Recreo Entre Otros"/>
    <s v="-"/>
    <s v="10°59'02.7&quot;N 74°47'26.3&quot;W"/>
    <x v="0"/>
    <x v="3"/>
    <n v="201849730042"/>
    <n v="0.98"/>
    <n v="0.96220000000000006"/>
    <n v="-1.7799999999999927E-2"/>
    <x v="0"/>
    <d v="2017-01-16T00:00:00"/>
    <d v="2018-05-15T00:00:00"/>
    <d v="2022-12-16T00:00:00"/>
    <s v="Suspendido"/>
    <x v="0"/>
    <m/>
  </r>
  <r>
    <s v="Recreación_y_Deporte"/>
    <s v="Parques"/>
    <x v="70"/>
    <s v="Suroccidente"/>
    <s v="El Rubí"/>
    <s v="K 36 Y 35B C 84 Y 87"/>
    <s v=" 10°58'52.15&quot;N   74°49'49.28&quot;O"/>
    <x v="0"/>
    <x v="0"/>
    <n v="4872721651.1999998"/>
    <n v="1"/>
    <n v="0.79"/>
    <n v="-0.20999999999999996"/>
    <x v="2"/>
    <d v="2018-03-05T00:00:00"/>
    <d v="2020-06-22T00:00:00"/>
    <d v="2024-06-30T00:00:00"/>
    <s v="Verde"/>
    <x v="0"/>
    <d v="2024-06-30T00:00:00"/>
  </r>
  <r>
    <s v="Recreación_y_Deporte"/>
    <s v="Parques"/>
    <x v="71"/>
    <s v="Metropolitana"/>
    <s v="Ciudadela 20 De Julio "/>
    <s v="C 46K K 3A"/>
    <s v=" 10°55'50.15&quot;N  74°48'18.51&quot;O"/>
    <x v="1"/>
    <x v="2"/>
    <n v="958944721.79999995"/>
    <n v="1"/>
    <n v="1"/>
    <n v="0"/>
    <x v="0"/>
    <d v="2018-03-05T00:00:00"/>
    <d v="2020-06-22T00:00:00"/>
    <d v="2024-02-23T00:00:00"/>
    <s v="Entregado"/>
    <x v="0"/>
    <d v="2024-02-23T00:00:00"/>
  </r>
  <r>
    <s v="Recreación_y_Deporte"/>
    <s v="Parques"/>
    <x v="72"/>
    <s v="Metropolitana"/>
    <s v="Villa Sevilla"/>
    <s v="C 46C y 46E K 16 SUR y 16A SUR"/>
    <s v=" 10°55'20.95&quot;N   74°48'13.55&quot;O"/>
    <x v="1"/>
    <x v="2"/>
    <n v="935338521"/>
    <n v="1"/>
    <n v="1"/>
    <n v="0"/>
    <x v="0"/>
    <d v="2018-03-05T00:00:00"/>
    <d v="2020-06-22T00:00:00"/>
    <d v="2024-04-06T00:00:00"/>
    <s v="Entregado"/>
    <x v="0"/>
    <d v="2024-04-06T00:00:00"/>
  </r>
  <r>
    <s v="Recreación_y_Deporte"/>
    <s v="Parques"/>
    <x v="73"/>
    <s v="Suroriente"/>
    <s v="El Limón"/>
    <s v="C 34 K 5C Y 6"/>
    <s v=" 10°56'29.74&quot;N   74°47'13.52&quot;O"/>
    <x v="1"/>
    <x v="2"/>
    <n v="1320867674.0999999"/>
    <n v="1"/>
    <n v="1"/>
    <n v="0"/>
    <x v="0"/>
    <d v="2018-03-05T00:00:00"/>
    <d v="2020-06-22T00:00:00"/>
    <d v="2024-04-12T00:00:00"/>
    <s v="Entregado"/>
    <x v="0"/>
    <d v="2024-04-12T00:00:00"/>
  </r>
  <r>
    <s v="Recreación_y_Deporte"/>
    <s v="Parques"/>
    <x v="74"/>
    <s v="Suroriente"/>
    <s v="El Milagro"/>
    <s v="C 38 K 1H"/>
    <s v=" 10°56'0.37&quot;N   74°47'36.05&quot;O"/>
    <x v="0"/>
    <x v="0"/>
    <n v="924843801.70000005"/>
    <n v="1"/>
    <n v="0.95"/>
    <n v="-5.0000000000000044E-2"/>
    <x v="1"/>
    <d v="2018-03-05T00:00:00"/>
    <d v="2020-06-22T00:00:00"/>
    <d v="2024-05-30T00:00:00"/>
    <s v="Amarillo"/>
    <x v="0"/>
    <d v="2024-05-30T00:00:00"/>
  </r>
  <r>
    <s v="Recreación_y_Deporte"/>
    <s v="Parques"/>
    <x v="75"/>
    <s v="Metropolitana"/>
    <s v="Ciudadela 20 de Julio "/>
    <s v="C 49 K 5B Sur"/>
    <s v=" 10°55'39.25&quot;N   74°48'37.98&quot;O"/>
    <x v="0"/>
    <x v="0"/>
    <n v="1422193774.3"/>
    <n v="1"/>
    <n v="0.75"/>
    <n v="-0.25"/>
    <x v="2"/>
    <d v="2018-03-05T00:00:00"/>
    <d v="2020-06-22T00:00:00"/>
    <d v="2024-06-30T00:00:00"/>
    <s v="Verde"/>
    <x v="0"/>
    <d v="2024-06-30T00:00:00"/>
  </r>
  <r>
    <s v="Recreación_y_Deporte"/>
    <s v="Parques"/>
    <x v="76"/>
    <s v="Riomar"/>
    <s v="Villa Carolina"/>
    <s v="C 96 K72"/>
    <s v=" 11° 1'23.47&quot;N   74°49'2.80&quot;O"/>
    <x v="0"/>
    <x v="0"/>
    <n v="0"/>
    <n v="0.8"/>
    <n v="0.93"/>
    <n v="0.13"/>
    <x v="0"/>
    <d v="2023-02-27T00:00:00"/>
    <d v="2023-08-31T00:00:00"/>
    <d v="2024-04-16T00:00:00"/>
    <s v="En_Ejecución"/>
    <x v="0"/>
    <d v="2024-04-16T00:00:00"/>
  </r>
  <r>
    <s v="Recreación_y_Deporte"/>
    <s v="Parques"/>
    <x v="77"/>
    <s v="Riomar"/>
    <s v="Altos Del Parque"/>
    <s v="K 65 C 99"/>
    <s v=" 11° 1'19.48&quot;N   74°49'20.25&quot;O"/>
    <x v="1"/>
    <x v="2"/>
    <n v="0"/>
    <n v="1"/>
    <n v="1"/>
    <n v="0"/>
    <x v="0"/>
    <d v="2022-09-29T00:00:00"/>
    <d v="2023-06-30T00:00:00"/>
    <d v="2024-04-04T00:00:00"/>
    <s v="Entregado"/>
    <x v="0"/>
    <d v="2024-04-11T00:00:00"/>
  </r>
  <r>
    <s v="Recreación_y_Deporte"/>
    <s v="Parques"/>
    <x v="78"/>
    <s v="Suroccidente"/>
    <s v="Villas De San Pablo"/>
    <s v="C 134 K 9G"/>
    <s v=" 10°56'8.10&quot;N   74°49'41.25&quot;O"/>
    <x v="0"/>
    <x v="0"/>
    <n v="0"/>
    <n v="0.3"/>
    <n v="0.55000000000000004"/>
    <n v="0.25000000000000006"/>
    <x v="0"/>
    <d v="2024-02-14T00:00:00"/>
    <d v="2024-05-29T00:00:00"/>
    <d v="2024-05-29T00:00:00"/>
    <s v="En_Ejecución"/>
    <x v="0"/>
    <d v="2024-05-29T00:00:00"/>
  </r>
  <r>
    <s v="Recreación_y_Deporte"/>
    <s v="Parques"/>
    <x v="79"/>
    <s v="Suroriente"/>
    <s v="REBOLO"/>
    <s v="K23 C28 - K27 C8"/>
    <s v=" 10°57'49.95&quot;N  74°46'51.75&quot;O"/>
    <x v="2"/>
    <x v="4"/>
    <n v="15870241697.43189"/>
    <n v="0"/>
    <n v="0"/>
    <n v="0"/>
    <x v="0"/>
    <m/>
    <d v="2024-12-31T00:00:00"/>
    <d v="2024-12-31T00:00:00"/>
    <s v="Perfeccionamiento_y_Legalización"/>
    <x v="0"/>
    <d v="2024-12-31T00:00:00"/>
  </r>
  <r>
    <s v="Recreación_y_Deporte"/>
    <s v="Parques"/>
    <x v="80"/>
    <s v="Suroriente"/>
    <s v="LA MAGDALENA"/>
    <s v="K 6B C 35B"/>
    <s v=" 10°56'34.99&quot;N  74°47'34.79&quot;O"/>
    <x v="2"/>
    <x v="4"/>
    <n v="16310246102.112429"/>
    <n v="0"/>
    <n v="0"/>
    <n v="0"/>
    <x v="0"/>
    <m/>
    <d v="2024-12-31T00:00:00"/>
    <d v="2024-12-31T00:00:00"/>
    <s v="Perfeccionamiento_y_Legalización"/>
    <x v="0"/>
    <d v="2024-12-31T00:00:00"/>
  </r>
  <r>
    <s v="Recreación_y_Deporte"/>
    <s v="Parques"/>
    <x v="81"/>
    <s v="Suroccidente"/>
    <s v="CIUDAD MODESTO"/>
    <s v="K 12A C 94"/>
    <s v=" 10°57'45.23&quot;N    74°49'46.59&quot;O"/>
    <x v="2"/>
    <x v="4"/>
    <n v="1435630036.3650708"/>
    <n v="0"/>
    <n v="0"/>
    <n v="0"/>
    <x v="0"/>
    <m/>
    <d v="2024-12-31T00:00:00"/>
    <d v="2024-12-31T00:00:00"/>
    <s v="Perfeccionamiento_y_Legalización"/>
    <x v="0"/>
    <d v="2024-12-31T00:00:00"/>
  </r>
  <r>
    <s v="Recreación_y_Deporte"/>
    <s v="Parques"/>
    <x v="82"/>
    <s v="Suroccidente"/>
    <s v="VILLAS DE SAN PABLO"/>
    <s v="C 134 K 28"/>
    <s v=" 10°57'32.35&quot;N    74°51'54.51&quot;O"/>
    <x v="2"/>
    <x v="4"/>
    <n v="1783087327.0937545"/>
    <n v="0"/>
    <n v="0"/>
    <n v="0"/>
    <x v="0"/>
    <m/>
    <d v="2024-12-31T00:00:00"/>
    <d v="2024-12-31T00:00:00"/>
    <s v="Perfeccionamiento_y_Legalización"/>
    <x v="0"/>
    <d v="2024-12-31T00:00:00"/>
  </r>
  <r>
    <s v="Recreación_y_Deporte"/>
    <s v="Parques"/>
    <x v="83"/>
    <s v="Suroriente"/>
    <s v="LA UNIÓN"/>
    <s v="K 16 C 31"/>
    <s v="10°57'9.38&quot;N    74°47'17.62&quot;O"/>
    <x v="2"/>
    <x v="4"/>
    <n v="1318231243.5590153"/>
    <n v="0"/>
    <n v="0"/>
    <n v="0"/>
    <x v="0"/>
    <m/>
    <d v="2024-12-31T00:00:00"/>
    <d v="2024-12-31T00:00:00"/>
    <s v="Perfeccionamiento_y_Legalización"/>
    <x v="0"/>
    <d v="2024-12-31T00:00:00"/>
  </r>
  <r>
    <s v="Recreación_y_Deporte"/>
    <s v="Parques"/>
    <x v="84"/>
    <s v="Metropolitana"/>
    <s v="LA SIERRITA"/>
    <s v="C 52C K 5B"/>
    <s v=" 10°56'41.29&quot;N  74°48'34.77&quot;O"/>
    <x v="2"/>
    <x v="4"/>
    <n v="337849038.54179579"/>
    <n v="0"/>
    <n v="0"/>
    <n v="0"/>
    <x v="0"/>
    <m/>
    <d v="2024-12-31T00:00:00"/>
    <d v="2024-12-31T00:00:00"/>
    <s v="Perfeccionamiento_y_Legalización"/>
    <x v="0"/>
    <d v="2024-12-31T00:00:00"/>
  </r>
  <r>
    <s v="Recreación_y_Deporte"/>
    <s v="Parques"/>
    <x v="85"/>
    <s v="Suroccidente"/>
    <s v="VILLA CORDIALIDAD"/>
    <s v="C 73C K 13"/>
    <s v=" 10°56'22.86&quot;N    74°51'42.09&quot;O"/>
    <x v="2"/>
    <x v="4"/>
    <n v="2133416441.79126"/>
    <n v="0"/>
    <n v="0"/>
    <n v="0"/>
    <x v="0"/>
    <m/>
    <d v="2024-12-31T00:00:00"/>
    <d v="2024-12-31T00:00:00"/>
    <s v="Perfeccionamiento_y_Legalización"/>
    <x v="0"/>
    <d v="2024-12-31T00:00:00"/>
  </r>
  <r>
    <s v="Recreación_y_Deporte"/>
    <s v="Parques"/>
    <x v="86"/>
    <s v="Suroccidente"/>
    <s v="SAN PEDRO "/>
    <s v="K 6P Y 6Q - C 102 Y 102A"/>
    <s v=" 10°56'53.13&quot;N    74°50'0.29&quot;O"/>
    <x v="2"/>
    <x v="4"/>
    <n v="369183968.20811647"/>
    <n v="0"/>
    <n v="0"/>
    <n v="0"/>
    <x v="0"/>
    <m/>
    <d v="2024-12-31T00:00:00"/>
    <d v="2024-12-31T00:00:00"/>
    <s v="Perfeccionamiento_y_Legalización"/>
    <x v="0"/>
    <d v="2024-12-31T00:00:00"/>
  </r>
  <r>
    <s v="Recreación_y_Deporte"/>
    <s v="Parques"/>
    <x v="87"/>
    <s v="Metropolitana"/>
    <s v="7 DE ABRIL"/>
    <s v="K 15 C 73 AV. Circunvalar"/>
    <s v=" 10°55'30.09&quot;N    74°49'12.64&quot;O"/>
    <x v="2"/>
    <x v="4"/>
    <n v="3498206331.0168552"/>
    <n v="0"/>
    <n v="0"/>
    <n v="0"/>
    <x v="0"/>
    <m/>
    <d v="2024-12-31T00:00:00"/>
    <d v="2024-12-31T00:00:00"/>
    <s v="Perfeccionamiento_y_Legalización"/>
    <x v="0"/>
    <d v="2024-12-31T00:00:00"/>
  </r>
  <r>
    <s v="Recreación_y_Deporte"/>
    <s v="Parques"/>
    <x v="88"/>
    <s v="Suroccidente"/>
    <s v="EL BOSQUE"/>
    <s v="K 6 C 74A"/>
    <s v=" 10°56'48.44&quot;N    74°49'8.66&quot;O"/>
    <x v="2"/>
    <x v="4"/>
    <n v="441218753.22995633"/>
    <n v="0"/>
    <n v="0"/>
    <n v="0"/>
    <x v="0"/>
    <m/>
    <d v="2024-12-31T00:00:00"/>
    <d v="2024-12-31T00:00:00"/>
    <s v="Perfeccionamiento_y_Legalización"/>
    <x v="0"/>
    <d v="2024-12-31T00:00:00"/>
  </r>
  <r>
    <s v="Recreación_y_Deporte"/>
    <s v="Parques"/>
    <x v="89"/>
    <s v="Suroriente"/>
    <s v="CIUDADELA 20 DE JULIO"/>
    <s v="K 1B Y 1C C 42"/>
    <s v=" 10°55'51.69&quot;N  74°47'48.24&quot;O"/>
    <x v="2"/>
    <x v="4"/>
    <n v="500074432.468382"/>
    <n v="0"/>
    <n v="0"/>
    <n v="0"/>
    <x v="0"/>
    <m/>
    <d v="2024-12-31T00:00:00"/>
    <d v="2024-12-31T00:00:00"/>
    <s v="Perfeccionamiento_y_Legalización"/>
    <x v="0"/>
    <d v="2024-12-31T00:00:00"/>
  </r>
  <r>
    <s v="Recreación_y_Deporte"/>
    <s v="Parques"/>
    <x v="90"/>
    <s v="Riomar"/>
    <s v="LA PLAYA"/>
    <s v="K 24 C 9 Y 9A"/>
    <s v=" 11° 1'23.55&quot;N  74°52'10.61&quot;O"/>
    <x v="2"/>
    <x v="4"/>
    <n v="834135564.85641408"/>
    <n v="0"/>
    <n v="0"/>
    <n v="0"/>
    <x v="0"/>
    <m/>
    <d v="2024-12-31T00:00:00"/>
    <d v="2024-12-31T00:00:00"/>
    <s v="Perfeccionamiento_y_Legalización"/>
    <x v="0"/>
    <d v="2024-12-31T00:00:00"/>
  </r>
  <r>
    <s v="Recreación_y_Deporte"/>
    <s v="Parques"/>
    <x v="91"/>
    <s v="Suroccidente"/>
    <s v="LA GLORIA"/>
    <s v="K 6P C 97B "/>
    <s v=" 10°56'56.85&quot;N    74°49'49.76&quot;O"/>
    <x v="2"/>
    <x v="4"/>
    <n v="315143305.56631988"/>
    <n v="0"/>
    <n v="0"/>
    <n v="0"/>
    <x v="0"/>
    <m/>
    <d v="2024-12-31T00:00:00"/>
    <d v="2024-12-31T00:00:00"/>
    <s v="Perfeccionamiento_y_Legalización"/>
    <x v="0"/>
    <d v="2024-12-31T00:00:00"/>
  </r>
  <r>
    <s v="Recreación_y_Deporte"/>
    <s v="Parques"/>
    <x v="92"/>
    <s v="Metropolitana"/>
    <s v="7 DE ABRIL"/>
    <s v="K 8 Sur C 50C"/>
    <s v=" 10°55'33.63&quot;N  74°48'46.29&quot;O"/>
    <x v="2"/>
    <x v="4"/>
    <n v="364902420.29054445"/>
    <n v="0"/>
    <n v="0"/>
    <n v="0"/>
    <x v="0"/>
    <m/>
    <d v="2024-12-31T00:00:00"/>
    <d v="2024-12-31T00:00:00"/>
    <s v="Perfeccionamiento_y_Legalización"/>
    <x v="0"/>
    <d v="2024-12-31T00:00:00"/>
  </r>
  <r>
    <s v="Recreación_y_Deporte"/>
    <s v="Parques"/>
    <x v="93"/>
    <s v="Suroccidente"/>
    <s v="LA ESMERALDA"/>
    <s v="C 73C K 13"/>
    <s v=" 10°57'52.53&quot;N    74°49'5.77&quot;O"/>
    <x v="2"/>
    <x v="4"/>
    <n v="2915165999.9653788"/>
    <n v="0"/>
    <n v="0"/>
    <n v="0"/>
    <x v="0"/>
    <m/>
    <d v="2024-12-31T00:00:00"/>
    <d v="2024-12-31T00:00:00"/>
    <s v="Perfeccionamiento_y_Legalización"/>
    <x v="0"/>
    <d v="2024-12-31T00:00:00"/>
  </r>
  <r>
    <s v="Recreación_y_Deporte"/>
    <s v="Parques"/>
    <x v="94"/>
    <s v="Suroccidente"/>
    <s v="LA PRADERA"/>
    <s v="C 114 Y 115 K 31"/>
    <s v=" 10°58'42.92&quot;N    74°50'19.48&quot;O"/>
    <x v="2"/>
    <x v="4"/>
    <n v="1852325611.6019962"/>
    <n v="0"/>
    <n v="0"/>
    <n v="0"/>
    <x v="0"/>
    <m/>
    <d v="2024-12-31T00:00:00"/>
    <d v="2024-12-31T00:00:00"/>
    <s v="Perfeccionamiento_y_Legalización"/>
    <x v="0"/>
    <d v="2024-12-31T00:00:00"/>
  </r>
  <r>
    <s v="Recreación_y_Deporte"/>
    <s v="Parques"/>
    <x v="95"/>
    <s v="Suroccidente"/>
    <s v="CARIBE VERDE"/>
    <s v="C 110 K 9G"/>
    <s v=" 10°57'32.87&quot;N    74°51'25.04&quot;O"/>
    <x v="2"/>
    <x v="4"/>
    <n v="1534852467.7443087"/>
    <n v="0"/>
    <n v="0"/>
    <n v="0"/>
    <x v="0"/>
    <m/>
    <d v="2024-12-31T00:00:00"/>
    <d v="2024-12-31T00:00:00"/>
    <s v="Perfeccionamiento_y_Legalización"/>
    <x v="0"/>
    <d v="2024-12-31T00:00:00"/>
  </r>
  <r>
    <s v="Recreación_y_Deporte"/>
    <s v="Parques"/>
    <x v="96"/>
    <s v="Suroccidente"/>
    <s v="JUAN MINA"/>
    <s v="VÍA 11 C 6"/>
    <s v=" 10°57'28.91&quot;N    74°53'30.67&quot;O"/>
    <x v="2"/>
    <x v="4"/>
    <n v="829944785.5084697"/>
    <n v="0"/>
    <n v="0"/>
    <n v="0"/>
    <x v="0"/>
    <m/>
    <d v="2024-12-31T00:00:00"/>
    <d v="2024-12-31T00:00:00"/>
    <s v="Perfeccionamiento_y_Legalización"/>
    <x v="0"/>
    <d v="2024-12-31T00:00:00"/>
  </r>
  <r>
    <s v="Recreación_y_Deporte"/>
    <s v="Parques"/>
    <x v="97"/>
    <s v="Suroriente"/>
    <s v="LOS TRUPILLOS"/>
    <s v="K 21E C 27B"/>
    <s v=" 10°57'33.72&quot;N    74°47'2.74&quot;O"/>
    <x v="2"/>
    <x v="4"/>
    <n v="687644006.76487613"/>
    <n v="0"/>
    <n v="0"/>
    <n v="0"/>
    <x v="0"/>
    <m/>
    <d v="2024-12-31T00:00:00"/>
    <d v="2024-12-31T00:00:00"/>
    <s v="Perfeccionamiento_y_Legalización"/>
    <x v="0"/>
    <d v="2024-12-31T00:00:00"/>
  </r>
  <r>
    <s v="Recreación_y_Deporte"/>
    <s v="Parques"/>
    <x v="98"/>
    <s v="Metropolitana"/>
    <s v="LAS AMÉRICAS"/>
    <s v="K 4 C54"/>
    <s v=" 74°48'43.24&quot;O  74°48'43.24&quot;O"/>
    <x v="2"/>
    <x v="4"/>
    <n v="280931503.9779501"/>
    <n v="0"/>
    <n v="0"/>
    <n v="0"/>
    <x v="0"/>
    <m/>
    <d v="2024-12-31T00:00:00"/>
    <d v="2024-12-31T00:00:00"/>
    <s v="Perfeccionamiento_y_Legalización"/>
    <x v="0"/>
    <d v="2024-12-31T00:00:00"/>
  </r>
  <r>
    <s v="Recreación_y_Deporte"/>
    <s v="Parques"/>
    <x v="99"/>
    <s v="Suroriente"/>
    <s v="LAS NIEVES"/>
    <s v="K 16A C 27B"/>
    <s v=" 10°57'12.26&quot;N    74°46'59.45&quot;O"/>
    <x v="2"/>
    <x v="4"/>
    <n v="424084862.71340925"/>
    <n v="0"/>
    <n v="0"/>
    <n v="0"/>
    <x v="0"/>
    <m/>
    <d v="2024-12-31T00:00:00"/>
    <d v="2024-12-31T00:00:00"/>
    <s v="Perfeccionamiento_y_Legalización"/>
    <x v="0"/>
    <d v="2024-12-31T00:00:00"/>
  </r>
  <r>
    <s v="Recreación_y_Deporte"/>
    <s v="Parques"/>
    <x v="100"/>
    <s v="Suroccidente"/>
    <s v="EL RUBÍ"/>
    <s v="C 84B K 37"/>
    <s v=" 10°58'57.53&quot;N  74°49'50.45&quot;O"/>
    <x v="2"/>
    <x v="4"/>
    <n v="288679132.62018096"/>
    <n v="0"/>
    <n v="0"/>
    <n v="0"/>
    <x v="0"/>
    <m/>
    <d v="2024-12-31T00:00:00"/>
    <d v="2024-12-31T00:00:00"/>
    <s v="Perfeccionamiento_y_Legalización"/>
    <x v="0"/>
    <d v="2024-12-31T00:00:00"/>
  </r>
  <r>
    <s v="Recreación_y_Deporte"/>
    <s v="Parques"/>
    <x v="101"/>
    <s v="Metropolitana"/>
    <s v="SANTO DOMINGO DE GUZMÁN"/>
    <s v="C 62 K 2 Y 2C TRANV. 1C"/>
    <s v="10°56'10.93&quot;N   74°48'57.52&quot;O"/>
    <x v="2"/>
    <x v="4"/>
    <n v="1855438864.5198522"/>
    <n v="0"/>
    <n v="0"/>
    <n v="0"/>
    <x v="0"/>
    <m/>
    <d v="2024-12-31T00:00:00"/>
    <d v="2024-12-31T00:00:00"/>
    <s v="Perfeccionamiento_y_Legalización"/>
    <x v="0"/>
    <d v="2024-12-31T00:00:00"/>
  </r>
  <r>
    <s v="Recreación_y_Deporte"/>
    <s v="Parques"/>
    <x v="102"/>
    <s v="Suroccidente"/>
    <s v="EL EDÉN"/>
    <s v="C 83A K 35"/>
    <s v=" 10°58'56.55&quot;N   74°49'36.78&quot;O"/>
    <x v="2"/>
    <x v="4"/>
    <n v="2150311135.7286506"/>
    <n v="0"/>
    <n v="0"/>
    <n v="0"/>
    <x v="0"/>
    <m/>
    <d v="2024-12-31T00:00:00"/>
    <d v="2024-12-31T00:00:00"/>
    <s v="Perfeccionamiento_y_Legalización"/>
    <x v="0"/>
    <d v="2024-12-31T00:00:00"/>
  </r>
  <r>
    <s v="Recreación_y_Deporte"/>
    <s v="Parques"/>
    <x v="103"/>
    <s v="Suroriente"/>
    <s v="CIUDADELA 20 DE JULIO"/>
    <s v="K 1C C41C"/>
    <s v="10°55'49.61&quot;N   74°47'42.80&quot;O"/>
    <x v="2"/>
    <x v="4"/>
    <n v="1303421269.1883187"/>
    <n v="0"/>
    <n v="0"/>
    <n v="0"/>
    <x v="0"/>
    <m/>
    <d v="2024-12-31T00:00:00"/>
    <d v="2024-12-31T00:00:00"/>
    <s v="Perfeccionamiento_y_Legalización"/>
    <x v="0"/>
    <d v="2024-12-31T00:00:00"/>
  </r>
  <r>
    <s v="Recreación_y_Deporte"/>
    <s v="Parques"/>
    <x v="104"/>
    <s v="Metropolitana"/>
    <s v="LA SIERRITA"/>
    <s v="TRANSV. 5C C 55C"/>
    <s v=" 10°56'54.30&quot;N    74°48'45.41&quot;O"/>
    <x v="2"/>
    <x v="4"/>
    <n v="435426205.71560043"/>
    <n v="0"/>
    <n v="0"/>
    <n v="0"/>
    <x v="0"/>
    <m/>
    <d v="2024-12-31T00:00:00"/>
    <d v="2024-12-31T00:00:00"/>
    <s v="Perfeccionamiento_y_Legalización"/>
    <x v="0"/>
    <d v="2024-12-31T00:00:00"/>
  </r>
  <r>
    <s v="Recreación_y_Deporte"/>
    <s v="Parques"/>
    <x v="105"/>
    <s v="Suroriente"/>
    <s v="LA UNIÓN"/>
    <s v="C 32 K 7D"/>
    <s v=" 10°56'56.36&quot;N     74°47'12.32&quot;O"/>
    <x v="2"/>
    <x v="4"/>
    <n v="2074588106.7408795"/>
    <n v="0"/>
    <n v="0"/>
    <n v="0"/>
    <x v="0"/>
    <m/>
    <d v="2024-12-31T00:00:00"/>
    <d v="2024-12-31T00:00:00"/>
    <s v="Perfeccionamiento_y_Legalización"/>
    <x v="0"/>
    <d v="2024-12-31T00:00:00"/>
  </r>
  <r>
    <s v="Recreación_y_Deporte"/>
    <s v="Parques"/>
    <x v="106"/>
    <s v="Suroriente"/>
    <s v="LA LUZ"/>
    <s v="K 20 C 16"/>
    <s v=" 10°57'27.42&quot;N    74°46'26.23&quot;O"/>
    <x v="2"/>
    <x v="4"/>
    <n v="954147635.44082379"/>
    <n v="0"/>
    <n v="0"/>
    <n v="0"/>
    <x v="0"/>
    <m/>
    <d v="2024-12-31T00:00:00"/>
    <d v="2024-12-31T00:00:00"/>
    <s v="Perfeccionamiento_y_Legalización"/>
    <x v="0"/>
    <d v="2024-12-31T00:00:00"/>
  </r>
  <r>
    <s v="Recreación_y_Deporte"/>
    <s v="Parques"/>
    <x v="107"/>
    <s v="Metropolitana"/>
    <s v="7 DE ABRIL"/>
    <s v="CALLE 78 CON CARRERA 9SUR"/>
    <s v=" 10°55'42.24&quot;N    74°49'15.20&quot;O"/>
    <x v="2"/>
    <x v="4"/>
    <n v="1003954131.6572834"/>
    <n v="0"/>
    <n v="0"/>
    <n v="0"/>
    <x v="0"/>
    <m/>
    <d v="2024-12-31T00:00:00"/>
    <d v="2024-12-31T00:00:00"/>
    <s v="Perfeccionamiento_y_Legalización"/>
    <x v="0"/>
    <d v="2024-12-31T00:00:00"/>
  </r>
  <r>
    <s v="Recreación_y_Deporte"/>
    <s v="Parques"/>
    <x v="108"/>
    <s v="Suroccidente"/>
    <s v="SAN FELIPE"/>
    <s v="C 70C K 24B"/>
    <s v=" 10°58'25.54&quot;N    74°48'36.67&quot;O"/>
    <x v="2"/>
    <x v="4"/>
    <n v="793364145.06419134"/>
    <n v="0"/>
    <n v="0"/>
    <n v="0"/>
    <x v="0"/>
    <m/>
    <d v="2024-12-31T00:00:00"/>
    <d v="2024-12-31T00:00:00"/>
    <s v="Perfeccionamiento_y_Legalización"/>
    <x v="0"/>
    <d v="2024-12-31T00:00:00"/>
  </r>
  <r>
    <s v="Recreación_y_Deporte"/>
    <s v="Parques"/>
    <x v="109"/>
    <s v="Metropolitana"/>
    <s v="7 DE ABRIL"/>
    <s v=" K 15 SUR 73 20"/>
    <s v=" 10°55'28.58&quot;N    74°49'9.95&quot;O"/>
    <x v="2"/>
    <x v="4"/>
    <n v="885698702.8129307"/>
    <n v="0"/>
    <n v="0"/>
    <n v="0"/>
    <x v="0"/>
    <m/>
    <d v="2024-12-31T00:00:00"/>
    <d v="2024-12-31T00:00:00"/>
    <s v="Perfeccionamiento_y_Legalización"/>
    <x v="0"/>
    <d v="2024-12-31T00:00:00"/>
  </r>
  <r>
    <s v="Recreación_y_Deporte"/>
    <s v="Parques"/>
    <x v="110"/>
    <s v="Suroriente"/>
    <s v="LOS TRUPILLOS"/>
    <s v="K 21E C 27B"/>
    <s v=" 10°57'37.10&quot;N    74°46'58.54&quot;O"/>
    <x v="2"/>
    <x v="4"/>
    <n v="2092110241.6097786"/>
    <n v="0"/>
    <n v="0"/>
    <n v="0"/>
    <x v="0"/>
    <m/>
    <d v="2024-12-31T00:00:00"/>
    <d v="2024-12-31T00:00:00"/>
    <s v="Perfeccionamiento_y_Legalización"/>
    <x v="0"/>
    <d v="2024-12-31T00:00:00"/>
  </r>
  <r>
    <s v="Recreación_y_Deporte"/>
    <s v="Parques"/>
    <x v="111"/>
    <s v="Suroriente"/>
    <s v="LAS NIEVES"/>
    <s v="K15 C24"/>
    <s v=" 10°57'9.17&quot;N    74°46'43.48&quot;O"/>
    <x v="2"/>
    <x v="4"/>
    <n v="1640605123.3422449"/>
    <n v="0"/>
    <n v="0"/>
    <n v="0"/>
    <x v="0"/>
    <m/>
    <d v="2024-12-31T00:00:00"/>
    <d v="2024-12-31T00:00:00"/>
    <s v="Perfeccionamiento_y_Legalización"/>
    <x v="0"/>
    <d v="2024-12-31T00:00:00"/>
  </r>
  <r>
    <s v="Recreación_y_Deporte"/>
    <s v="Parques"/>
    <x v="112"/>
    <s v="Suroriente"/>
    <s v="EL CAMPITO"/>
    <s v="K10 C 36B"/>
    <s v=" 10°57'1.59&quot;N    74°47'30.41&quot;O"/>
    <x v="2"/>
    <x v="4"/>
    <n v="485739404.40108514"/>
    <n v="0"/>
    <n v="0"/>
    <n v="0"/>
    <x v="0"/>
    <m/>
    <d v="2024-12-31T00:00:00"/>
    <d v="2024-12-31T00:00:00"/>
    <s v="Perfeccionamiento_y_Legalización"/>
    <x v="0"/>
    <d v="2024-12-31T00:00:00"/>
  </r>
  <r>
    <s v="Desarrollo_urbano"/>
    <s v="Huertas"/>
    <x v="113"/>
    <s v="Varias"/>
    <s v="Juan Mina"/>
    <m/>
    <s v="10°57'20.1&quot;N 74°53'16.7&quot;W"/>
    <x v="0"/>
    <x v="0"/>
    <n v="1190916375"/>
    <n v="0.32"/>
    <n v="0.14000000000000001"/>
    <n v="-0.18"/>
    <x v="2"/>
    <d v="2023-12-07T00:00:00"/>
    <d v="2023-12-31T00:00:00"/>
    <d v="2024-05-24T00:00:00"/>
    <s v="Amarillo"/>
    <x v="1"/>
    <d v="2024-09-19T00:00:00"/>
  </r>
  <r>
    <s v="Desarrollo_urbano"/>
    <s v="Huertas"/>
    <x v="114"/>
    <s v="Varias"/>
    <s v="La Paz"/>
    <m/>
    <s v="10°57'40.8&quot;N 74°50'03.2&quot;W"/>
    <x v="0"/>
    <x v="0"/>
    <n v="1390916375"/>
    <n v="0.32"/>
    <n v="0.14000000000000001"/>
    <n v="-0.18"/>
    <x v="2"/>
    <d v="2023-12-07T00:00:00"/>
    <d v="2023-12-31T00:00:00"/>
    <d v="2024-05-24T00:00:00"/>
    <s v="Amarillo"/>
    <x v="1"/>
    <d v="2024-06-27T00:00:00"/>
  </r>
  <r>
    <s v="Desarrollo_urbano"/>
    <s v="Huertas"/>
    <x v="115"/>
    <s v="Varias"/>
    <s v="Gardenias"/>
    <m/>
    <s v="10°56'08.7&quot;N 74°49'41.5&quot;W"/>
    <x v="0"/>
    <x v="0"/>
    <n v="1521916375"/>
    <n v="0.32"/>
    <n v="0.14000000000000001"/>
    <n v="-0.18"/>
    <x v="2"/>
    <d v="2023-12-07T00:00:00"/>
    <d v="2023-12-31T00:00:00"/>
    <d v="2024-05-24T00:00:00"/>
    <s v="Amarillo"/>
    <x v="1"/>
    <d v="2024-05-24T00:00:00"/>
  </r>
  <r>
    <s v="Desarrollo_urbano"/>
    <s v="Huertas"/>
    <x v="116"/>
    <s v="Varias"/>
    <s v="Lipaya"/>
    <m/>
    <s v="10°57'39.1&quot;N 74°49'16.0&quot;W"/>
    <x v="0"/>
    <x v="0"/>
    <n v="959916375"/>
    <n v="0.32"/>
    <n v="0.14000000000000001"/>
    <n v="-0.18"/>
    <x v="2"/>
    <d v="2023-12-07T00:00:00"/>
    <d v="2023-12-31T00:00:00"/>
    <d v="2024-05-24T00:00:00"/>
    <s v="Amarillo"/>
    <x v="1"/>
    <d v="2024-09-26T00:00:00"/>
  </r>
  <r>
    <s v="EcoTurismo"/>
    <s v="EcoParque Mallonquín"/>
    <x v="117"/>
    <s v="Riomar"/>
    <s v="Corregimiento La Playa, Las Flores"/>
    <m/>
    <s v="11°1'49.70&quot;N 74°51'16.60&quot;W"/>
    <x v="3"/>
    <x v="6"/>
    <n v="0"/>
    <n v="0"/>
    <n v="0"/>
    <n v="0"/>
    <x v="0"/>
    <m/>
    <m/>
    <m/>
    <s v="Proyecto_Fase_I_Prefactibilidad"/>
    <x v="0"/>
    <m/>
  </r>
  <r>
    <s v="Recreación_y_Deporte"/>
    <s v="Escenarios deportivos "/>
    <x v="118"/>
    <s v="Metropolitana"/>
    <s v="Ciudadela 20 de Julio"/>
    <m/>
    <s v="10°55'36.9&quot;N 74°48'07.9&quot;W"/>
    <x v="3"/>
    <x v="6"/>
    <n v="0"/>
    <n v="0"/>
    <n v="0"/>
    <n v="0"/>
    <x v="0"/>
    <m/>
    <m/>
    <m/>
    <s v="Proyecto_Fase_I_Prefactibilidad"/>
    <x v="0"/>
    <m/>
  </r>
  <r>
    <s v="Cultura"/>
    <s v="Edificaciones culturales "/>
    <x v="119"/>
    <s v="Todas"/>
    <s v="Toda la Ciudad"/>
    <m/>
    <m/>
    <x v="3"/>
    <x v="6"/>
    <n v="0"/>
    <n v="0"/>
    <n v="0"/>
    <n v="0"/>
    <x v="0"/>
    <m/>
    <m/>
    <m/>
    <s v="Proyecto_Fase_I_Prefactibilidad"/>
    <x v="0"/>
    <m/>
  </r>
  <r>
    <s v="EcoTurismo"/>
    <s v="Malecón "/>
    <x v="120"/>
    <s v="Norte_Centro_Histórico"/>
    <s v="Industrial Via 40"/>
    <m/>
    <s v="11°00'54.3&quot;N 74°47'17.6&quot;W"/>
    <x v="0"/>
    <x v="3"/>
    <n v="0"/>
    <n v="0"/>
    <n v="0"/>
    <n v="0"/>
    <x v="0"/>
    <m/>
    <m/>
    <m/>
    <s v="Suspendido"/>
    <x v="0"/>
    <m/>
  </r>
  <r>
    <s v="Trasporte"/>
    <s v="Consultoría"/>
    <x v="121"/>
    <s v="Todas"/>
    <s v="Toda la Ciudad"/>
    <m/>
    <s v="11°04'21.4&quot;N 74°51'55.4&quot;W"/>
    <x v="3"/>
    <x v="6"/>
    <n v="0"/>
    <n v="0"/>
    <n v="0"/>
    <n v="0"/>
    <x v="0"/>
    <m/>
    <m/>
    <m/>
    <s v="Proyecto_Fase_I_Prefactibilidad"/>
    <x v="0"/>
    <m/>
  </r>
  <r>
    <s v="Desarrollo_urbano"/>
    <s v="Consultoría"/>
    <x v="122"/>
    <s v="Todas"/>
    <s v="Toda la Ciudad"/>
    <m/>
    <m/>
    <x v="0"/>
    <x v="0"/>
    <n v="3555126190"/>
    <n v="1"/>
    <n v="0.53"/>
    <n v="-0.47"/>
    <x v="2"/>
    <d v="2021-11-29T00:00:00"/>
    <d v="2021-12-31T00:00:00"/>
    <d v="2024-04-30T00:00:00"/>
    <s v="Rojo"/>
    <x v="1"/>
    <d v="2024-04-30T00:00:00"/>
  </r>
  <r>
    <s v="EcoTurismo"/>
    <s v="EcoParque Mallonquín"/>
    <x v="123"/>
    <s v="Riomar"/>
    <s v="Corregimiento La Playa, Las Flores"/>
    <m/>
    <s v="11°1'49.70&quot;N 74°51'16.60&quot;W"/>
    <x v="0"/>
    <x v="0"/>
    <n v="1381702000"/>
    <n v="0.8"/>
    <n v="0.88"/>
    <n v="7.999999999999996E-2"/>
    <x v="0"/>
    <d v="2023-05-11T00:00:00"/>
    <d v="2023-12-31T00:00:00"/>
    <d v="2024-08-20T00:00:00"/>
    <s v="En_Ejecución"/>
    <x v="0"/>
    <d v="2024-08-02T00:00:00"/>
  </r>
  <r>
    <s v="Desarrollo_urbano"/>
    <s v="Tranformación de Entornos Urbanos"/>
    <x v="124"/>
    <s v="Suroriente"/>
    <s v="La Luz, La Chinita y Rebolo"/>
    <m/>
    <s v="10°57'04.6&quot;N 74°45'32.1&quot;W"/>
    <x v="0"/>
    <x v="0"/>
    <n v="1568337767"/>
    <n v="0.8"/>
    <n v="0.75"/>
    <n v="-5.0000000000000044E-2"/>
    <x v="1"/>
    <d v="2023-05-10T00:00:00"/>
    <d v="2023-12-31T00:00:00"/>
    <d v="2024-06-14T00:00:00"/>
    <s v="Verde"/>
    <x v="0"/>
    <d v="2024-05-31T00:00:00"/>
  </r>
  <r>
    <s v="EcoTurismo"/>
    <s v="EcoParque Mallonquín"/>
    <x v="125"/>
    <s v="Riomar"/>
    <s v="Corregimiento La Playa, Las Flores"/>
    <m/>
    <s v="11°1'49.70&quot;N 74°51'16.60&quot;W"/>
    <x v="3"/>
    <x v="7"/>
    <n v="5793000000"/>
    <n v="0.51100000000000001"/>
    <n v="0.49669999999999997"/>
    <n v="-1.4300000000000035E-2"/>
    <x v="0"/>
    <d v="2022-04-01T00:00:00"/>
    <d v="2025-04-30T00:00:00"/>
    <d v="2025-04-30T00:00:00"/>
    <s v="Proyecto_Fase_III_Diseños_definitivos_y_detalles"/>
    <x v="0"/>
    <d v="2025-04-30T00:00:00"/>
  </r>
  <r>
    <s v="EcoTurismo"/>
    <s v="EcoParque Mallonquín"/>
    <x v="126"/>
    <s v="Riomar"/>
    <s v="Corregimiento La Playa, Las Flores"/>
    <m/>
    <s v="11°02'21.8&quot;N 74°49'56.6&quot;W"/>
    <x v="0"/>
    <x v="0"/>
    <n v="829484000"/>
    <n v="0.85"/>
    <n v="0.85"/>
    <n v="0"/>
    <x v="0"/>
    <d v="2023-01-27T00:00:00"/>
    <d v="2023-12-31T00:00:00"/>
    <d v="2025-03-31T00:00:00"/>
    <s v="En_Ejecución"/>
    <x v="0"/>
    <d v="2024-03-31T00:00:00"/>
  </r>
  <r>
    <s v="Desarrollo_urbano"/>
    <s v="Consultoría"/>
    <x v="127"/>
    <s v="Norte_Centro_Histórico"/>
    <s v="La Bendición de Dios"/>
    <m/>
    <s v="10°59'27.9&quot;N 74°46'04.9&quot;W"/>
    <x v="3"/>
    <x v="6"/>
    <n v="0"/>
    <n v="0"/>
    <n v="0"/>
    <n v="0"/>
    <x v="0"/>
    <m/>
    <m/>
    <m/>
    <s v="Proyecto_Fase_I_Prefactibilidad"/>
    <x v="0"/>
    <m/>
  </r>
  <r>
    <s v="Educación"/>
    <s v="Colegios "/>
    <x v="128"/>
    <s v="Metropolitana"/>
    <s v="20 de Julio"/>
    <s v="Cra 4 Sur # 99C-46"/>
    <s v="10.9334816431561, -74.83244896463155"/>
    <x v="3"/>
    <x v="6"/>
    <n v="0"/>
    <n v="0.24"/>
    <n v="0.09"/>
    <n v="-0.15"/>
    <x v="2"/>
    <m/>
    <m/>
    <d v="2024-06-24T00:00:00"/>
    <s v="Proyecto_Fase_I_Prefactibilidad"/>
    <x v="0"/>
    <d v="2024-06-24T00:00:00"/>
  </r>
  <r>
    <s v="Salud"/>
    <s v="Pasos"/>
    <x v="129"/>
    <s v="Metropolitana"/>
    <s v="Santo Domingo"/>
    <s v="Calle 53 N° 3A-22"/>
    <s v="10.939860501919224, -74.81255286126724"/>
    <x v="3"/>
    <x v="6"/>
    <n v="0"/>
    <n v="0.27"/>
    <n v="0.27"/>
    <n v="0"/>
    <x v="0"/>
    <m/>
    <m/>
    <d v="2024-06-24T00:00:00"/>
    <s v="Proyecto_Fase_I_Prefactibilidad"/>
    <x v="0"/>
    <d v="2024-06-24T00:00:00"/>
  </r>
  <r>
    <s v="Salud"/>
    <s v="Pasos"/>
    <x v="130"/>
    <s v="Suroccidente"/>
    <s v="Mequejo"/>
    <s v="Cra 27 N° 83- 116"/>
    <s v="10.978453036416187, -74.82673293612875"/>
    <x v="3"/>
    <x v="6"/>
    <n v="0"/>
    <n v="0.36"/>
    <n v="0.27"/>
    <n v="-8.9999999999999969E-2"/>
    <x v="1"/>
    <m/>
    <m/>
    <d v="2024-06-20T00:00:00"/>
    <s v="Proyecto_Fase_I_Prefactibilidad"/>
    <x v="0"/>
    <d v="2024-06-20T00:00:00"/>
  </r>
  <r>
    <s v="Salud"/>
    <s v="Pasos"/>
    <x v="131"/>
    <s v="Suroccidente"/>
    <s v="Juan Mina"/>
    <s v="Calle 7 # 6-33"/>
    <s v="10.955728020845568, -74.89336498243144"/>
    <x v="3"/>
    <x v="6"/>
    <n v="0"/>
    <n v="0.3"/>
    <n v="0.24"/>
    <n v="-0.06"/>
    <x v="1"/>
    <m/>
    <m/>
    <d v="2024-07-04T00:00:00"/>
    <s v="Proyecto_Fase_I_Prefactibilidad"/>
    <x v="0"/>
    <d v="2024-07-04T00:00:00"/>
  </r>
  <r>
    <s v="Salud"/>
    <s v="Pasos"/>
    <x v="132"/>
    <s v="Suroccidente"/>
    <s v="Las Malvinas"/>
    <s v="Calle 99 C N° 9 C- 33"/>
    <s v="10.956414398616017, -74.83221965113819"/>
    <x v="3"/>
    <x v="6"/>
    <n v="0"/>
    <n v="0.24"/>
    <n v="0.03"/>
    <n v="-0.21"/>
    <x v="2"/>
    <m/>
    <m/>
    <d v="2024-06-24T00:00:00"/>
    <s v="Proyecto_Fase_I_Prefactibilidad"/>
    <x v="0"/>
    <d v="2024-06-24T00:00:00"/>
  </r>
  <r>
    <s v="Salud"/>
    <s v="Pasos"/>
    <x v="133"/>
    <s v="Suroccidente"/>
    <s v="Los Rosales"/>
    <s v="Calle 98 N° 9G-10"/>
    <s v="10.958521019951935, -74.82793706311577"/>
    <x v="3"/>
    <x v="6"/>
    <n v="0"/>
    <n v="0.3"/>
    <n v="0.24"/>
    <n v="-0.06"/>
    <x v="1"/>
    <m/>
    <m/>
    <d v="2024-07-02T00:00:00"/>
    <s v="Proyecto_Fase_I_Prefactibilidad"/>
    <x v="0"/>
    <d v="2024-07-02T00:00:00"/>
  </r>
  <r>
    <s v="Salud"/>
    <s v="Pasos"/>
    <x v="134"/>
    <s v="Suroccidente"/>
    <s v="El Romance"/>
    <s v="Cra 9G # 97A - 18"/>
    <s v="10.948412293937245, -74.8266061066548"/>
    <x v="3"/>
    <x v="6"/>
    <n v="0"/>
    <n v="0.24"/>
    <n v="0.06"/>
    <n v="-0.18"/>
    <x v="2"/>
    <m/>
    <m/>
    <d v="2024-07-04T00:00:00"/>
    <s v="Proyecto_Fase_I_Prefactibilidad"/>
    <x v="0"/>
    <d v="2024-07-04T00:00:00"/>
  </r>
  <r>
    <s v="Salud"/>
    <s v="Pasos"/>
    <x v="135"/>
    <s v="Suroriente"/>
    <s v="Montes"/>
    <s v="Carrera 23 # 27-16"/>
    <s v="10.961944416128413, -74.78131354777346"/>
    <x v="3"/>
    <x v="6"/>
    <n v="0"/>
    <n v="0.26"/>
    <n v="0.24"/>
    <n v="-2.0000000000000018E-2"/>
    <x v="0"/>
    <m/>
    <m/>
    <d v="2024-06-29T00:00:00"/>
    <s v="Proyecto_Fase_I_Prefactibilidad"/>
    <x v="0"/>
    <d v="2024-06-29T00:00:00"/>
  </r>
  <r>
    <s v="Educación"/>
    <s v="Colegios "/>
    <x v="136"/>
    <s v="Suroriente"/>
    <s v="La Magdalena"/>
    <s v="Cra. 7d #17 - 89"/>
    <s v="10.947717971490668, -74.77341391519154"/>
    <x v="3"/>
    <x v="6"/>
    <n v="0"/>
    <n v="0.79"/>
    <n v="0.79"/>
    <n v="0"/>
    <x v="0"/>
    <m/>
    <m/>
    <d v="2024-05-21T00:00:00"/>
    <s v="Proyecto_Fase_I_Prefactibilidad"/>
    <x v="0"/>
    <d v="2024-05-21T00:00:00"/>
  </r>
  <r>
    <s v="Educación"/>
    <s v="Colegios "/>
    <x v="137"/>
    <s v="Suroriente"/>
    <s v="Simón Bolívar"/>
    <s v="Cl. 24b #4-02"/>
    <s v="10.941927569135876, -74.77987237660943"/>
    <x v="3"/>
    <x v="6"/>
    <n v="0"/>
    <n v="0.79"/>
    <n v="0.79"/>
    <n v="0"/>
    <x v="0"/>
    <m/>
    <m/>
    <d v="2024-05-21T00:00:00"/>
    <s v="Proyecto_Fase_I_Prefactibilidad"/>
    <x v="0"/>
    <d v="2024-05-21T00:00:00"/>
  </r>
  <r>
    <s v="Educación"/>
    <s v="Colegios "/>
    <x v="138"/>
    <s v="Metropolitana"/>
    <s v="Santo Domingo de Guzmán"/>
    <s v="Tv. 1f # 88 - 60"/>
    <s v="10.94356042767121, -74.82146137845824"/>
    <x v="3"/>
    <x v="6"/>
    <n v="0"/>
    <n v="0.79"/>
    <n v="0.79"/>
    <n v="0"/>
    <x v="0"/>
    <m/>
    <m/>
    <d v="2024-05-21T00:00:00"/>
    <s v="Proyecto_Fase_I_Prefactibilidad"/>
    <x v="0"/>
    <d v="2024-05-21T00:00:00"/>
  </r>
  <r>
    <s v="Educación"/>
    <s v="Colegios "/>
    <x v="139"/>
    <s v="Suroriente"/>
    <s v="Las Nieves"/>
    <s v="Cra 15 # 21 - 15"/>
    <s v="10.953778506943493, -74.7774105137422"/>
    <x v="3"/>
    <x v="6"/>
    <n v="0"/>
    <n v="0.79"/>
    <n v="0.79"/>
    <n v="0"/>
    <x v="0"/>
    <m/>
    <m/>
    <d v="2024-05-21T00:00:00"/>
    <s v="Proyecto_Fase_I_Prefactibilidad"/>
    <x v="0"/>
    <d v="2024-05-21T00:00:00"/>
  </r>
  <r>
    <s v="Educación"/>
    <s v="Colegios "/>
    <x v="140"/>
    <s v="Suroccidente"/>
    <s v="Alfonso López"/>
    <s v="Cra 33 # 45 - 71"/>
    <s v="10.975237106447299, -74.78901314962215"/>
    <x v="3"/>
    <x v="6"/>
    <n v="0"/>
    <n v="1"/>
    <n v="0.21"/>
    <n v="-0.79"/>
    <x v="2"/>
    <m/>
    <m/>
    <s v="En reprogramación "/>
    <s v="Proyecto_Fase_I_Prefactibilidad"/>
    <x v="0"/>
    <s v="En reprogramación "/>
  </r>
  <r>
    <s v="Educación"/>
    <s v="Colegios "/>
    <x v="141"/>
    <s v="Metropolitana"/>
    <s v="Santo Domingo de Guzmán"/>
    <s v="Cra. 2 #78-36"/>
    <s v="10.936611702741422, -74.81981920544513"/>
    <x v="3"/>
    <x v="6"/>
    <n v="0"/>
    <n v="0.79"/>
    <n v="0.79"/>
    <n v="0"/>
    <x v="0"/>
    <m/>
    <m/>
    <d v="2024-05-21T00:00:00"/>
    <s v="Proyecto_Fase_I_Prefactibilidad"/>
    <x v="0"/>
    <d v="2024-05-21T00:00:00"/>
  </r>
  <r>
    <s v="Seguridad"/>
    <s v="Estaciones de Bomberos"/>
    <x v="142"/>
    <s v="Riomar"/>
    <s v="Riomar_x000a_"/>
    <s v="Cl. 110 #53-1670"/>
    <s v="11.034847435782128, -74.83047619431485"/>
    <x v="3"/>
    <x v="6"/>
    <n v="0"/>
    <n v="1"/>
    <n v="0.18"/>
    <n v="-0.82000000000000006"/>
    <x v="2"/>
    <m/>
    <m/>
    <s v="Pendiente por  reforzamiento "/>
    <s v="Proyecto_Fase_I_Prefactibilidad"/>
    <x v="0"/>
    <s v="Pendiente por  reforzamiento "/>
  </r>
  <r>
    <s v="Seguridad"/>
    <s v="Estaciones de Bomberos"/>
    <x v="143"/>
    <s v="Suroccidente"/>
    <s v="El Edén"/>
    <s v="Calle 83B con 27"/>
    <s v="10.979445103142487, -74.82665999010207"/>
    <x v="3"/>
    <x v="6"/>
    <n v="0"/>
    <n v="0.79"/>
    <n v="0.79"/>
    <n v="0"/>
    <x v="0"/>
    <m/>
    <m/>
    <d v="2024-05-21T00:00:00"/>
    <s v="Proyecto_Fase_I_Prefactibilidad"/>
    <x v="0"/>
    <d v="2024-05-21T00:00:00"/>
  </r>
  <r>
    <s v="Educación"/>
    <s v="Centros de Desarrollo Infantil"/>
    <x v="144"/>
    <s v="Suroccidente"/>
    <s v="La Paz"/>
    <s v="Cl. 104 #14-70"/>
    <s v="10.967760779440802, -74.83190866311567"/>
    <x v="3"/>
    <x v="6"/>
    <n v="0"/>
    <n v="1"/>
    <n v="0.18"/>
    <n v="-0.82000000000000006"/>
    <x v="2"/>
    <m/>
    <m/>
    <s v="Pendiente por  reforzamiento "/>
    <s v="Proyecto_Fase_I_Prefactibilidad"/>
    <x v="0"/>
    <s v="Pendiente por  reforzamiento "/>
  </r>
  <r>
    <s v="Educación"/>
    <s v="Colegios "/>
    <x v="145"/>
    <s v="Norte_Centro_Histórico"/>
    <s v="Centro"/>
    <s v="Calle 47 # 44 - 100"/>
    <s v="10.985870598093532, -74.78623473427974"/>
    <x v="3"/>
    <x v="6"/>
    <n v="0"/>
    <n v="1"/>
    <n v="0.95"/>
    <n v="-5.0000000000000044E-2"/>
    <x v="1"/>
    <m/>
    <m/>
    <d v="2024-04-30T00:00:00"/>
    <s v="Proyecto_Fase_I_Prefactibilidad"/>
    <x v="0"/>
    <d v="2024-04-30T00:00:00"/>
  </r>
  <r>
    <m/>
    <m/>
    <x v="146"/>
    <s v="Suroccidente"/>
    <s v="Juan Mina "/>
    <s v="EL REPOSO LT 1"/>
    <s v="10.954943402736093, -74.88635338709783"/>
    <x v="3"/>
    <x v="6"/>
    <n v="0"/>
    <n v="0.4"/>
    <n v="0.15"/>
    <n v="-0.25"/>
    <x v="2"/>
    <m/>
    <m/>
    <d v="2024-10-31T00:00:00"/>
    <s v="Proyecto_Fase_I_Prefactibilidad"/>
    <x v="0"/>
    <d v="2024-10-31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n v="1"/>
    <s v="Obras Públicas"/>
    <s v="NA"/>
    <x v="0"/>
    <x v="0"/>
    <s v="MP - Mercado EPM"/>
    <s v="Norte_Centro_Histórico"/>
    <s v="Villanueva"/>
    <m/>
    <s v=" 10°59'0.05&quot;N. 74°46'35.27&quot;W"/>
    <n v="-74.776463888888898"/>
    <n v="10.9833472222222"/>
    <s v="Contractual"/>
    <s v="En_Ejecución"/>
    <n v="10517152014.795"/>
    <n v="1"/>
    <n v="0.99"/>
    <n v="-1.0000000000000009E-2"/>
    <x v="0"/>
    <d v="2017-12-06T00:00:00"/>
    <d v="2020-05-06T00:00:00"/>
    <d v="2024-07-31T00:00:00"/>
    <x v="0"/>
    <x v="0"/>
    <d v="2024-04-01T00:00:00"/>
  </r>
  <r>
    <n v="2"/>
    <s v="Obras Públicas"/>
    <s v="NA"/>
    <x v="0"/>
    <x v="0"/>
    <s v="MP - Mercado de Granos"/>
    <s v="Norte_Centro_Histórico"/>
    <s v="Centro"/>
    <m/>
    <s v=" 10°58'40.07&quot;N  74°46'30.88&quot;W"/>
    <n v="-74.775244444444397"/>
    <n v="10.9777972222222"/>
    <s v="Contractual"/>
    <s v="En_Ejecución"/>
    <n v="16864171434.205"/>
    <n v="0.84"/>
    <n v="0.8"/>
    <n v="-3.9999999999999925E-2"/>
    <x v="1"/>
    <d v="2017-12-06T00:00:00"/>
    <d v="2020-05-06T00:00:00"/>
    <d v="2024-07-31T00:00:00"/>
    <x v="1"/>
    <x v="0"/>
    <d v="2024-04-01T00:00:00"/>
  </r>
  <r>
    <n v="3"/>
    <s v="Obras Públicas"/>
    <s v="NA"/>
    <x v="1"/>
    <x v="1"/>
    <s v="CAI Santa Maria"/>
    <s v="Metropolitana"/>
    <s v="Santa Maria"/>
    <m/>
    <s v=" 10°56'3.44&quot;N  74°49'31.83&quot;W"/>
    <n v="-74.825508333333303"/>
    <n v="10.934288888888901"/>
    <s v="Contractual"/>
    <s v="En_Ejecución"/>
    <n v="428189069.94606078"/>
    <n v="0.753"/>
    <n v="0.72"/>
    <n v="-3.3000000000000029E-2"/>
    <x v="0"/>
    <d v="2021-11-25T00:00:00"/>
    <d v="2021-12-31T00:00:00"/>
    <d v="2024-06-18T00:00:00"/>
    <x v="0"/>
    <x v="0"/>
    <d v="2024-06-18T00:00:00"/>
  </r>
  <r>
    <n v="4"/>
    <s v="Obras Públicas"/>
    <s v="NA"/>
    <x v="1"/>
    <x v="1"/>
    <s v="CAI La Paz"/>
    <s v="Suroccidente"/>
    <s v="La Paz"/>
    <m/>
    <s v=" 10°57'57.86&quot;N. 74°50'4.54&quot;W"/>
    <n v="-74.834594444444406"/>
    <n v="10.966061111111101"/>
    <s v="Contractual"/>
    <s v="En_Ejecución"/>
    <n v="457958618.45773149"/>
    <n v="0.753"/>
    <n v="0.72"/>
    <n v="-3.3000000000000029E-2"/>
    <x v="0"/>
    <d v="2021-11-25T00:00:00"/>
    <d v="2021-12-31T00:00:00"/>
    <d v="2024-06-18T00:00:00"/>
    <x v="0"/>
    <x v="0"/>
    <d v="2024-06-18T00:00:00"/>
  </r>
  <r>
    <n v="5"/>
    <s v="Obras Públicas"/>
    <s v="NA"/>
    <x v="1"/>
    <x v="1"/>
    <s v="CAI Santo Domingo"/>
    <s v="Metropolitana"/>
    <s v="Santo Domingo"/>
    <m/>
    <s v=" 10°56'10.02&quot;N. 74°48'57.74&quot;W"/>
    <n v="-74.816038888888897"/>
    <n v="10.936116666666701"/>
    <s v="Contractual"/>
    <s v="En_Ejecución"/>
    <n v="515175877.59620774"/>
    <n v="0.753"/>
    <n v="0.68"/>
    <n v="-7.2999999999999954E-2"/>
    <x v="1"/>
    <d v="2021-11-25T00:00:00"/>
    <d v="2021-12-31T00:00:00"/>
    <d v="2024-06-18T00:00:00"/>
    <x v="1"/>
    <x v="0"/>
    <d v="2024-06-18T00:00:00"/>
  </r>
  <r>
    <n v="6"/>
    <s v="Obras Públicas"/>
    <s v="N/A"/>
    <x v="2"/>
    <x v="2"/>
    <s v="Concha Acústica CONIDEC"/>
    <s v="Metropolitana"/>
    <s v="Ciudadela 20 de Julio"/>
    <m/>
    <s v="10,927544 N. -74,810228W"/>
    <n v="-74.810227999999995"/>
    <n v="10.927543999999999"/>
    <s v="Postcontractual"/>
    <s v="Terminado"/>
    <n v="1569896099"/>
    <n v="1"/>
    <n v="1"/>
    <n v="0"/>
    <x v="0"/>
    <d v="2022-11-03T00:00:00"/>
    <d v="2022-12-31T00:00:00"/>
    <d v="2024-03-20T00:00:00"/>
    <x v="2"/>
    <x v="0"/>
    <d v="2024-03-20T00:00:00"/>
  </r>
  <r>
    <n v="7"/>
    <s v="Obras Públicas"/>
    <s v="N/A"/>
    <x v="0"/>
    <x v="3"/>
    <s v="Gran Malecón de Sur Oriente - Losa Canal"/>
    <s v="Suroriente"/>
    <s v="Rebolo_x000a_La Luz_x000a_Los Trupillos_x000a_Boyacá_x000a_La Chinita_x000a_Las Nieves_x000a_Montes_x000a_San Roque"/>
    <m/>
    <s v="10°57'33.9&quot;N 74°47'04.3&quot;W"/>
    <n v="-74.784452777777801"/>
    <n v="10.9594166666667"/>
    <s v="Contractual"/>
    <s v="En_Ejecución"/>
    <n v="97297212431.699997"/>
    <n v="0"/>
    <n v="0"/>
    <n v="0"/>
    <x v="0"/>
    <d v="2024-04-09T00:00:00"/>
    <d v="2024-12-31T00:00:00"/>
    <d v="2024-12-31T00:00:00"/>
    <x v="0"/>
    <x v="0"/>
    <d v="2024-12-31T00:00:00"/>
  </r>
  <r>
    <n v="8"/>
    <s v="Obras Públicas"/>
    <s v="N/A"/>
    <x v="2"/>
    <x v="4"/>
    <s v="Museo de Arte Moderno de Barranquilla (MAMBAQ)"/>
    <s v="Norte_Centro_Histórico"/>
    <s v="Barrio Abajo"/>
    <m/>
    <s v=" 10°59'12.86&quot;N  74°46'41.32&quot;W"/>
    <n v="-74.778144444444493"/>
    <n v="10.9869055555556"/>
    <s v="Precontractual"/>
    <s v="En_Convocatoria"/>
    <n v="18150000000"/>
    <n v="0"/>
    <n v="0"/>
    <n v="0"/>
    <x v="0"/>
    <m/>
    <m/>
    <m/>
    <x v="3"/>
    <x v="1"/>
    <m/>
  </r>
  <r>
    <n v="9"/>
    <s v="EDUBAR"/>
    <s v="CD-12-2020-2435"/>
    <x v="3"/>
    <x v="5"/>
    <s v="Ecoparque Mallorquin-2435 - UF-1"/>
    <s v="Riomar"/>
    <s v="La Playa"/>
    <m/>
    <s v="11°01'51&quot;N 74°50'35&quot;W"/>
    <n v="-74.845851422432304"/>
    <n v="11.0318148608629"/>
    <s v="Postcontractual"/>
    <s v="Terminado"/>
    <n v="87873793990"/>
    <n v="1"/>
    <n v="1"/>
    <n v="0"/>
    <x v="0"/>
    <d v="2021-09-01T00:00:00"/>
    <d v="2021-12-31T00:00:00"/>
    <d v="2024-03-27T00:00:00"/>
    <x v="2"/>
    <x v="0"/>
    <d v="2024-03-27T00:00:00"/>
  </r>
  <r>
    <n v="10"/>
    <s v="EDUBAR"/>
    <s v="Contrato Específico No. 2210698 Derivado del Pacto Funcional Atlántico - CONTRATO DE MANDATO N.º 221009 – Suscrito entre EL DNP Y ENTERRITORIO"/>
    <x v="3"/>
    <x v="5"/>
    <s v="Ecoparque Mallorquin-0698 - UF-2"/>
    <s v="Riomar"/>
    <s v="La Playa"/>
    <m/>
    <s v="11°02'07.5&quot;N 74°50'18.8&quot;W"/>
    <n v="-74.838555555555502"/>
    <n v="11.0354166666667"/>
    <s v="Contractual"/>
    <s v="En_Ejecución"/>
    <n v="116179263051"/>
    <n v="0.99399999999999999"/>
    <n v="0.99"/>
    <n v="-4.0000000000000036E-3"/>
    <x v="0"/>
    <d v="2022-05-16T00:00:00"/>
    <d v="2023-03-16T00:00:00"/>
    <d v="2024-04-30T00:00:00"/>
    <x v="0"/>
    <x v="0"/>
    <d v="2024-04-30T00:00:00"/>
  </r>
  <r>
    <n v="11"/>
    <s v="EDUBAR"/>
    <s v="CD-12-2020-2435"/>
    <x v="3"/>
    <x v="6"/>
    <s v="Ecoparque Mallorquin-2435 - Tren Tajamar"/>
    <s v="Riomar"/>
    <s v="Las Flores"/>
    <m/>
    <s v="11°02'42&quot;N 74°49'37&quot;W"/>
    <n v="-74.829961787238304"/>
    <n v="11.045700454577201"/>
    <s v="Contractual"/>
    <s v="En_Ejecución"/>
    <n v="49342339819.130005"/>
    <n v="0.89"/>
    <n v="0.88"/>
    <n v="-1.0000000000000009E-2"/>
    <x v="0"/>
    <d v="2021-11-29T00:00:00"/>
    <d v="2021-12-31T00:00:00"/>
    <d v="2024-06-30T00:00:00"/>
    <x v="0"/>
    <x v="0"/>
    <d v="2024-06-30T00:00:00"/>
  </r>
  <r>
    <n v="12"/>
    <s v="EDUBAR"/>
    <s v="CD-12-2021-4477"/>
    <x v="3"/>
    <x v="7"/>
    <s v="Playa de Puerto Mocho (Playa 2)"/>
    <s v="Riomar"/>
    <s v="Las Flores"/>
    <m/>
    <s v="11°03'16&quot;N 74°50'26&quot;W"/>
    <n v="-74.844957557629101"/>
    <n v="11.0602146381484"/>
    <s v="Contractual"/>
    <s v="En_Ejecución"/>
    <n v="25046584645"/>
    <n v="0.84"/>
    <n v="0.82"/>
    <n v="-2.0000000000000018E-2"/>
    <x v="0"/>
    <d v="2022-08-22T00:00:00"/>
    <d v="2022-12-31T00:00:00"/>
    <d v="2024-06-30T00:00:00"/>
    <x v="0"/>
    <x v="0"/>
    <d v="2024-06-30T00:00:00"/>
  </r>
  <r>
    <n v="13"/>
    <s v="EDUBAR"/>
    <s v="CD-12-2021-4477"/>
    <x v="3"/>
    <x v="7"/>
    <s v="Playa de Puerto Mocho - Adición No.1 (playa 1)"/>
    <s v="Riomar"/>
    <s v="Las Flores"/>
    <m/>
    <s v="11°03'16&quot;N 74°50'26&quot;W"/>
    <m/>
    <m/>
    <s v="Contractual"/>
    <s v="En_Ejecución"/>
    <n v="11499046085"/>
    <n v="0.05"/>
    <n v="0.04"/>
    <n v="-1.0000000000000002E-2"/>
    <x v="0"/>
    <d v="2024-04-23T00:00:00"/>
    <d v="2024-07-31T00:00:00"/>
    <d v="2024-07-31T00:00:00"/>
    <x v="0"/>
    <x v="0"/>
    <d v="2024-07-31T00:00:00"/>
  </r>
  <r>
    <n v="14"/>
    <s v="EDUBAR"/>
    <s v="CD-57-2021-2989"/>
    <x v="0"/>
    <x v="0"/>
    <s v="MP-2989 - Mercado Tajamar"/>
    <s v="Riomar"/>
    <s v="Las Flores"/>
    <s v="calle 106 con 111"/>
    <s v="11°02'42&quot;N 74°49'37&quot;W"/>
    <n v="-74.826944444444393"/>
    <n v="11.045"/>
    <s v="Contractual"/>
    <s v="En_Ejecución"/>
    <n v="11218117893"/>
    <n v="0.99"/>
    <n v="0.73"/>
    <n v="-0.26"/>
    <x v="2"/>
    <d v="2021-12-27T00:00:00"/>
    <d v="2022-12-31T00:00:00"/>
    <d v="2024-06-30T00:00:00"/>
    <x v="1"/>
    <x v="0"/>
    <d v="2024-06-30T00:00:00"/>
  </r>
  <r>
    <n v="15"/>
    <s v="EDUBAR"/>
    <s v="CD-57-2021-2989"/>
    <x v="0"/>
    <x v="0"/>
    <s v="MP-2989 - Mercado Sredni"/>
    <s v="Norte_Centro_Histórico"/>
    <s v="Centro "/>
    <s v="calle 38 con 43"/>
    <s v="10°58'54&quot;N 74°46'48&quot;W"/>
    <n v="-74.781063619064199"/>
    <n v="10.981995032310699"/>
    <s v="Postcontractual"/>
    <s v="Entregado"/>
    <n v="11685541488.34"/>
    <n v="1"/>
    <n v="1"/>
    <n v="0"/>
    <x v="0"/>
    <d v="2021-12-27T00:00:00"/>
    <d v="2022-12-31T00:00:00"/>
    <d v="2024-06-30T00:00:00"/>
    <x v="4"/>
    <x v="0"/>
    <d v="2024-06-30T00:00:00"/>
  </r>
  <r>
    <n v="16"/>
    <s v="EDUBAR"/>
    <s v="CD-57-2021-2989"/>
    <x v="0"/>
    <x v="0"/>
    <s v="MP-2989 - Mercado Del Rio"/>
    <s v="Norte_Centro_Histórico"/>
    <s v="La Loma"/>
    <m/>
    <s v="10°59'35.0&quot;N 74°46'11.9&quot;W"/>
    <n v="-74.769972222222194"/>
    <n v="10.9930555555556"/>
    <s v="Contractual"/>
    <s v="En_Ejecución"/>
    <n v="36199262015.209999"/>
    <n v="0.99"/>
    <n v="0.82299999999999995"/>
    <n v="-0.16700000000000004"/>
    <x v="2"/>
    <d v="2021-12-27T00:00:00"/>
    <d v="2022-12-31T00:00:00"/>
    <d v="2024-06-30T00:00:00"/>
    <x v="1"/>
    <x v="0"/>
    <d v="2024-06-30T00:00:00"/>
  </r>
  <r>
    <n v="17"/>
    <s v="EDUBAR"/>
    <s v="CD-57-2021-2989"/>
    <x v="0"/>
    <x v="0"/>
    <s v="MP-2989 - Mercado La Magola"/>
    <s v="Norte_Centro_Histórico"/>
    <s v="Centro"/>
    <s v="cra 42B entre calles 31 y 33"/>
    <s v="10°58'46&quot;N 74°46'32&quot;W"/>
    <n v="-74.775379475435997"/>
    <n v="10.9793540249345"/>
    <s v="Postcontractual"/>
    <s v="Entregado"/>
    <n v="3709558748.6099997"/>
    <n v="1"/>
    <n v="1"/>
    <n v="0"/>
    <x v="0"/>
    <d v="2021-12-27T00:00:00"/>
    <d v="2022-12-31T00:00:00"/>
    <d v="2024-06-30T00:00:00"/>
    <x v="4"/>
    <x v="0"/>
    <d v="2024-06-30T00:00:00"/>
  </r>
  <r>
    <n v="18"/>
    <s v="EDUBAR"/>
    <s v="CD-57-2021-2989"/>
    <x v="0"/>
    <x v="0"/>
    <s v="MP-2989 - Parqueadero Multiproposito Barlovento"/>
    <s v="Norte_Centro_Histórico"/>
    <s v="Barlovento"/>
    <s v="C 9A 46A 115"/>
    <s v="10°59'11&quot;N 74°46'32&quot;W"/>
    <n v="-74.775876790848201"/>
    <n v="10.9865245262628"/>
    <s v="Postcontractual"/>
    <s v="Entregado"/>
    <n v="5062564619.8400002"/>
    <n v="1"/>
    <n v="1"/>
    <n v="0"/>
    <x v="0"/>
    <d v="2021-12-27T00:00:00"/>
    <d v="2022-12-31T00:00:00"/>
    <d v="2024-06-30T00:00:00"/>
    <x v="4"/>
    <x v="0"/>
    <d v="2024-06-30T00:00:00"/>
  </r>
  <r>
    <n v="19"/>
    <s v="EDUBAR"/>
    <s v="CD-57-2021-2989"/>
    <x v="0"/>
    <x v="0"/>
    <s v="MP-2989 - Mercado Gran Bazar"/>
    <s v="Norte_Centro_Histórico"/>
    <s v="Barranquillita"/>
    <s v="C 9 41N 52"/>
    <s v="10°58'45&quot;N 74°46'20&quot;W"/>
    <n v="-74.772587387278406"/>
    <n v="10.9786919520834"/>
    <s v="Postcontractual"/>
    <s v="Entregado"/>
    <n v="38253395124.07"/>
    <n v="1"/>
    <n v="1"/>
    <n v="0"/>
    <x v="0"/>
    <d v="2022-03-07T00:00:00"/>
    <d v="2022-12-31T00:00:00"/>
    <d v="2023-10-15T00:00:00"/>
    <x v="4"/>
    <x v="0"/>
    <d v="2023-10-15T00:00:00"/>
  </r>
  <r>
    <n v="20"/>
    <s v="EDUBAR"/>
    <s v="CD-57-2020-2438"/>
    <x v="0"/>
    <x v="8"/>
    <s v="TEU-2438 - Carrera 53"/>
    <s v="Norte_Centro_Histórico"/>
    <s v="Riomar_x000a_"/>
    <s v="carrera 53 entre calles 80 a la 87"/>
    <s v="11°00'20&quot;N 74°48'42&quot;W"/>
    <n v="-74.811666666666696"/>
    <n v="11.005555555555601"/>
    <s v="Contractual"/>
    <s v="En_Ejecución"/>
    <n v="9812323723.4759083"/>
    <n v="1"/>
    <n v="0.99780000000000002"/>
    <n v="-2.1999999999999797E-3"/>
    <x v="0"/>
    <d v="2022-05-25T00:00:00"/>
    <d v="2022-12-31T00:00:00"/>
    <d v="2024-06-30T00:00:00"/>
    <x v="0"/>
    <x v="0"/>
    <d v="2024-06-30T00:00:00"/>
  </r>
  <r>
    <n v="21"/>
    <s v="EDUBAR"/>
    <s v="CD-57-2020-2438"/>
    <x v="0"/>
    <x v="8"/>
    <s v="TEU-2438 - Malecon UF3"/>
    <s v="Norte_Centro_Histórico"/>
    <s v="Centro"/>
    <s v="Gran Malecon del Rio UF3"/>
    <s v="11°00'55&quot;N 74°47'19&quot;W"/>
    <n v="-74.788611111111095"/>
    <n v="11.015277777777801"/>
    <s v="Contractual"/>
    <s v="En_Ejecución"/>
    <n v="13890112595.149565"/>
    <n v="1"/>
    <n v="0.97"/>
    <n v="-3.0000000000000027E-2"/>
    <x v="1"/>
    <d v="2022-05-25T00:00:00"/>
    <d v="2022-12-31T00:00:00"/>
    <d v="2024-06-30T00:00:00"/>
    <x v="1"/>
    <x v="0"/>
    <d v="2024-06-30T00:00:00"/>
  </r>
  <r>
    <n v="22"/>
    <s v="EDUBAR"/>
    <s v="CD-57-2020-2438"/>
    <x v="0"/>
    <x v="8"/>
    <s v="TEU-2438 - Centro Urbano Comunitario Barlovento"/>
    <s v="Norte_Centro_Histórico"/>
    <s v="Barlovento"/>
    <s v="Carrera 50 con calle 9A"/>
    <s v="10°59'15&quot;N 74°46'32&quot;W"/>
    <n v="-74.776108780285696"/>
    <n v="10.9879639948718"/>
    <s v="Postcontractual"/>
    <s v="Entregado"/>
    <n v="576487967.85677433"/>
    <n v="1"/>
    <n v="0.96050000000000002"/>
    <n v="-3.949999999999998E-2"/>
    <x v="0"/>
    <d v="2022-05-25T00:00:00"/>
    <d v="2022-12-31T00:00:00"/>
    <d v="2024-06-30T00:00:00"/>
    <x v="4"/>
    <x v="0"/>
    <d v="2024-04-10T00:00:00"/>
  </r>
  <r>
    <n v="23"/>
    <s v="EDUBAR"/>
    <s v="CD-57-2020-2438"/>
    <x v="0"/>
    <x v="8"/>
    <s v="TEU-2438 - Plaza de Pescado"/>
    <s v="Norte_Centro_Histórico"/>
    <s v="Centro"/>
    <s v="Carrea 42 # 7-39"/>
    <s v="10°58'45&quot;N 74°46'16&quot;W"/>
    <n v="-74.771111111111097"/>
    <n v="10.9791666666667"/>
    <s v="Contractual"/>
    <s v="En_Ejecución"/>
    <n v="994306260.70694494"/>
    <n v="0.9244"/>
    <n v="0.27539999999999998"/>
    <n v="-0.64900000000000002"/>
    <x v="2"/>
    <d v="2022-05-25T00:00:00"/>
    <d v="2022-12-31T00:00:00"/>
    <d v="2024-06-30T00:00:00"/>
    <x v="1"/>
    <x v="0"/>
    <d v="2024-06-30T00:00:00"/>
  </r>
  <r>
    <n v="24"/>
    <s v="EDUBAR"/>
    <s v="CD-57-2020-2438"/>
    <x v="0"/>
    <x v="8"/>
    <s v="TEU-2438 - Callejon de Robertico "/>
    <s v="Norte_Centro_Histórico"/>
    <s v="Centro"/>
    <s v="Calle 30 # 42-15"/>
    <s v="10°58'47&quot;N 74°46'32&quot;W"/>
    <n v="-74.776636122107504"/>
    <n v="10.9793415083964"/>
    <s v="Contractual"/>
    <s v="En_Ejecución"/>
    <n v="177984072.97210985"/>
    <n v="1"/>
    <n v="0.96"/>
    <n v="-4.0000000000000036E-2"/>
    <x v="0"/>
    <d v="2022-05-25T00:00:00"/>
    <d v="2022-12-31T00:00:00"/>
    <d v="2024-06-30T00:00:00"/>
    <x v="0"/>
    <x v="0"/>
    <d v="2024-06-30T00:00:00"/>
  </r>
  <r>
    <n v="25"/>
    <s v="EDUBAR"/>
    <s v="CD-57-2020-2438"/>
    <x v="0"/>
    <x v="8"/>
    <s v="TEU-2438 - Callejon del Meao"/>
    <s v="Norte_Centro_Histórico"/>
    <s v="Centro"/>
    <s v="cra 42B entre calles 31 y 33"/>
    <s v="10°59'22&quot;N 74°47'22&quot;W"/>
    <n v="-74.775833930791805"/>
    <n v="10.9799622887294"/>
    <s v="Contractual"/>
    <s v="En_Ejecución"/>
    <n v="309833270.50925273"/>
    <n v="1"/>
    <n v="1"/>
    <n v="0"/>
    <x v="0"/>
    <d v="2022-05-25T00:00:00"/>
    <d v="2022-12-31T00:00:00"/>
    <d v="2024-06-30T00:00:00"/>
    <x v="0"/>
    <x v="0"/>
    <d v="2024-06-30T00:00:00"/>
  </r>
  <r>
    <n v="26"/>
    <s v="EDUBAR"/>
    <s v="CD-57-2020-2438"/>
    <x v="0"/>
    <x v="8"/>
    <s v="TEU-2438 - Centro urbano comunitario las Americas"/>
    <s v="Norte_Centro_Histórico"/>
    <s v="Las Americas"/>
    <s v="Cra 3C # 52B- 141"/>
    <s v="10°56'27&quot;N 74°48'40&quot;W"/>
    <n v="-74.811111111111103"/>
    <n v="10.9408333333333"/>
    <s v="Postcontractual"/>
    <s v="Entregado"/>
    <n v="566648825.01944566"/>
    <n v="1"/>
    <n v="0.98"/>
    <n v="-2.0000000000000018E-2"/>
    <x v="0"/>
    <d v="2022-05-25T00:00:00"/>
    <d v="2022-12-31T00:00:00"/>
    <d v="2024-06-30T00:00:00"/>
    <x v="4"/>
    <x v="0"/>
    <d v="2024-03-07T00:00:00"/>
  </r>
  <r>
    <n v="27"/>
    <s v="EDUBAR"/>
    <s v="Contrato Específico No. 2210681 Derivado del Pacto Funcional Atlántico - CONTRATO DE MANDATO N.º 221009 – Suscrito entre EL DNP Y ENTERRITORIO"/>
    <x v="4"/>
    <x v="9"/>
    <s v="Recuperación Caños - Recuperación Integral Caño de la Ahuyama"/>
    <s v="Suroriente"/>
    <s v="Rebolo_x000a_La Luz_x000a_Villanueva_x000a_Zona Franca_x000a_La Chinita_x000a_El Ferry"/>
    <s v="-"/>
    <s v="10°58'11&quot;N 74°45'54&quot;W"/>
    <n v="-74.770579836641403"/>
    <n v="10.9686395656787"/>
    <s v="Contractual"/>
    <s v="En_Ejecución"/>
    <n v="99979996094"/>
    <n v="0.74"/>
    <n v="0.72499999999999998"/>
    <n v="-1.5000000000000013E-2"/>
    <x v="0"/>
    <d v="2022-05-11T00:00:00"/>
    <d v="2023-03-31T00:00:00"/>
    <d v="2024-07-31T00:00:00"/>
    <x v="0"/>
    <x v="0"/>
    <d v="2024-07-31T00:00:00"/>
  </r>
  <r>
    <n v="28"/>
    <s v="EDUBAR"/>
    <s v="CD-58-2021-4425"/>
    <x v="5"/>
    <x v="10"/>
    <s v="Escenarios - Pista de Ciclomontañismo"/>
    <s v="Norte_Centro_Histórico"/>
    <s v=" "/>
    <m/>
    <s v="10°59'56.4&quot;N 74°50'03.9&quot;W"/>
    <n v="-74.834880404584496"/>
    <n v="10.998345725251999"/>
    <s v="Contractual"/>
    <s v="Suspendido"/>
    <n v="31980740561.16"/>
    <n v="0.99650000000000005"/>
    <n v="0.96950000000000003"/>
    <n v="-2.7000000000000024E-2"/>
    <x v="0"/>
    <d v="2022-06-09T00:00:00"/>
    <d v="2022-12-31T00:00:00"/>
    <d v="2023-12-17T00:00:00"/>
    <x v="5"/>
    <x v="0"/>
    <m/>
  </r>
  <r>
    <n v="29"/>
    <s v="EDUBAR"/>
    <s v="CD-12-2020-2429"/>
    <x v="6"/>
    <x v="11"/>
    <s v="BarriosAlaObra-VII-2429 - BAO_Módulo 1"/>
    <s v="Varias"/>
    <s v="La Paz - El Carmen - Olaya - Santuario - Evaristo Sourdis - Villa San Pedro II - Villa Flor - Campo Alegre - Sevilla Real - Las Granjas - Villa Sevilla - Corregimiento La Playa - Alameda Del Rio - El Pueblo - Los Angeles III - Siete de Abril - Boyacá"/>
    <s v="-"/>
    <s v="10°58'6.7'' N_x0009_74°46'52.8'' O"/>
    <n v="-74.781333333333293"/>
    <n v="10.968527777777799"/>
    <s v="Contractual"/>
    <s v="En_Ejecución"/>
    <n v="20718054844"/>
    <n v="0.90857142857142859"/>
    <n v="0.995"/>
    <n v="8.642857142857141E-2"/>
    <x v="0"/>
    <d v="2021-09-03T00:00:00"/>
    <d v="2021-12-31T00:00:00"/>
    <d v="2024-07-31T00:00:00"/>
    <x v="0"/>
    <x v="0"/>
    <d v="2024-07-31T00:00:00"/>
  </r>
  <r>
    <n v="30"/>
    <s v="EDUBAR"/>
    <s v="CD-12-2020-2429"/>
    <x v="6"/>
    <x v="11"/>
    <s v="BarriosAlaObra-VII-2429 - BAO_Módulo 2"/>
    <s v="Varias"/>
    <s v="La Gloria - El Bosque - El Pueblo - California - Cordialidad - Villa San Pedro I - Villa San Carlos - Santo Domingo de Guzman"/>
    <s v="-"/>
    <s v="10°58'6.7'' N_x0009_74°46'52.8'' O"/>
    <m/>
    <m/>
    <s v="Contractual"/>
    <s v="Suspendido"/>
    <n v="21392580958"/>
    <n v="1"/>
    <n v="0.96970000000000001"/>
    <n v="-3.0299999999999994E-2"/>
    <x v="1"/>
    <d v="2021-09-03T00:00:00"/>
    <d v="2021-12-31T00:00:00"/>
    <d v="2023-02-28T00:00:00"/>
    <x v="5"/>
    <x v="2"/>
    <m/>
  </r>
  <r>
    <n v="31"/>
    <s v="EDUBAR"/>
    <s v="CD-12-2020-2429"/>
    <x v="6"/>
    <x v="11"/>
    <s v="BarriosAlaObra-VII-2429 - BAO_Módulo 3"/>
    <s v="Suroccidente"/>
    <s v="Por Fin - La Manga"/>
    <s v="-"/>
    <s v="10°58'6.7'' N_x0009_74°46'52.8'' O"/>
    <m/>
    <m/>
    <s v="Contractual"/>
    <s v="En_Ejecución"/>
    <n v="12917197932"/>
    <n v="0.90857142857142847"/>
    <n v="0.66810000000000003"/>
    <n v="-0.24047142857142845"/>
    <x v="2"/>
    <d v="2021-09-03T00:00:00"/>
    <d v="2021-12-31T00:00:00"/>
    <d v="2024-07-31T00:00:00"/>
    <x v="1"/>
    <x v="0"/>
    <d v="2024-07-31T00:00:00"/>
  </r>
  <r>
    <n v="32"/>
    <s v="EDUBAR"/>
    <s v="CD-12-2020-2429"/>
    <x v="6"/>
    <x v="11"/>
    <s v="BarriosAlaObra-VII-2429 - BAO_Módulo 4"/>
    <s v="Metropolitana"/>
    <s v="Siete de Abril"/>
    <s v="-"/>
    <s v="10°58'6.7'' N_x0009_74°46'52.8'' O"/>
    <m/>
    <m/>
    <s v="Contractual"/>
    <s v="En_Ejecución"/>
    <n v="13022133662"/>
    <n v="0.90857142857142859"/>
    <n v="0.98119999999999996"/>
    <n v="7.2628571428571376E-2"/>
    <x v="0"/>
    <d v="2021-09-03T00:00:00"/>
    <d v="2021-12-31T00:00:00"/>
    <d v="2024-07-31T00:00:00"/>
    <x v="0"/>
    <x v="0"/>
    <d v="2024-07-31T00:00:00"/>
  </r>
  <r>
    <n v="33"/>
    <s v="EDUBAR"/>
    <s v="CD-12-2020-2429"/>
    <x v="6"/>
    <x v="11"/>
    <s v="BarriosAlaObra-VII-2429 - BAO_Módulo 5"/>
    <s v="Varias"/>
    <s v="Colombia - El Porvenir - Altos del Limon - Centro - Villa Santos - Las Americas - Las Malvinas - Barrios Abajo - La Chinita - Las Flores - San Salvador - San Francisco - La Luz - Chiquinquira - Las Mercedes - Los Jobos - San Jose - La Victoria - Las Delicias - La Ceiba - San Felipe - Olaya Herrera - Las Estrellas - La Florida - Santa Maria - San Luis - Los Andes"/>
    <s v="-"/>
    <s v="10°58'6.7'' N_x0009_74°46'52.8'' O"/>
    <m/>
    <m/>
    <s v="Contractual"/>
    <s v="En_Ejecución"/>
    <n v="15470897786"/>
    <n v="0.96363636363636374"/>
    <n v="0.98119999999999996"/>
    <n v="1.7563636363636226E-2"/>
    <x v="0"/>
    <d v="2021-09-03T00:00:00"/>
    <d v="2021-12-31T00:00:00"/>
    <d v="2024-05-31T00:00:00"/>
    <x v="0"/>
    <x v="0"/>
    <d v="2024-05-31T00:00:00"/>
  </r>
  <r>
    <n v="34"/>
    <s v="EDUBAR"/>
    <s v="CD-12-2020-2429"/>
    <x v="6"/>
    <x v="11"/>
    <s v="BarriosAlaObra-VII-2429 - BAO_Módulo 6"/>
    <s v="Varias"/>
    <s v="Las Americas - Santuario - Las Malvinas - Ciudadela 20 de Julio - Ciudad Modesto"/>
    <s v="-"/>
    <s v="10°58'6.7'' N_x0009_74°46'52.8'' O"/>
    <m/>
    <m/>
    <s v="Contractual"/>
    <s v="En_Ejecución"/>
    <n v="14518306429"/>
    <n v="0.90857142857142847"/>
    <n v="0.90049999999999997"/>
    <n v="-8.0714285714285072E-3"/>
    <x v="0"/>
    <d v="2021-09-03T00:00:00"/>
    <d v="2021-12-31T00:00:00"/>
    <d v="2024-07-31T00:00:00"/>
    <x v="0"/>
    <x v="0"/>
    <d v="2024-07-31T00:00:00"/>
  </r>
  <r>
    <n v="35"/>
    <s v="EDUBAR"/>
    <s v="CD-12-2020-2429"/>
    <x v="6"/>
    <x v="11"/>
    <s v="BarriosAlaObra-VII-2429 - BAO_Módulo 7"/>
    <s v="Varias"/>
    <s v="El Bosque - El Eden 2000 - Florida Sur - Evaristo Sourdis - Villa del Rosario - Ciudad Jardin - Las Estrellas"/>
    <s v="-"/>
    <s v="10°58'6.7'' N_x0009_74°46'52.8'' O"/>
    <m/>
    <m/>
    <s v="Contractual"/>
    <s v="Suspendido"/>
    <n v="16170152383"/>
    <n v="1.0000000000000002"/>
    <n v="0.97109999999999996"/>
    <n v="-2.8900000000000259E-2"/>
    <x v="0"/>
    <d v="2021-09-03T00:00:00"/>
    <d v="2021-12-31T00:00:00"/>
    <d v="2023-11-30T00:00:00"/>
    <x v="5"/>
    <x v="0"/>
    <m/>
  </r>
  <r>
    <n v="36"/>
    <s v="EDUBAR"/>
    <s v="CD-12-2020-2429"/>
    <x v="6"/>
    <x v="11"/>
    <s v="BarriosAlaObra-VII-2429 - BAO_Módulo 8"/>
    <s v="Suroccidente"/>
    <s v="Me Quejo - San Felipe - Carlos Meisel - La Esmeralda - La Libertad"/>
    <s v="-"/>
    <s v="10°58'6.7'' N_x0009_74°46'52.8'' O"/>
    <m/>
    <m/>
    <s v="Contractual"/>
    <s v="En_Ejecución"/>
    <n v="13103081515"/>
    <n v="0.90857142857142859"/>
    <n v="0.82240000000000002"/>
    <n v="-8.6171428571428565E-2"/>
    <x v="2"/>
    <d v="2021-09-03T00:00:00"/>
    <d v="2021-12-31T00:00:00"/>
    <d v="2024-07-31T00:00:00"/>
    <x v="1"/>
    <x v="0"/>
    <d v="2024-07-31T00:00:00"/>
  </r>
  <r>
    <n v="37"/>
    <s v="EDUBAR"/>
    <s v="CD-12-2020-2429"/>
    <x v="6"/>
    <x v="11"/>
    <s v="BarriosAlaObra-VII-2429 - BAO_Módulo 9"/>
    <s v="Varias"/>
    <s v="Barlovento - Kalamary - San Roque"/>
    <s v="-"/>
    <s v="10°58'6.7'' N_x0009_74°46'52.8'' O"/>
    <m/>
    <m/>
    <s v="Contractual"/>
    <s v="En_Ejecución"/>
    <n v="12374375896"/>
    <n v="0.90857142857142859"/>
    <n v="0.85040000000000004"/>
    <n v="-5.8171428571428541E-2"/>
    <x v="1"/>
    <d v="2021-09-03T00:00:00"/>
    <d v="2021-12-31T00:00:00"/>
    <d v="2024-07-31T00:00:00"/>
    <x v="1"/>
    <x v="0"/>
    <d v="2024-07-31T00:00:00"/>
  </r>
  <r>
    <n v="38"/>
    <s v="EDUBAR"/>
    <s v="CD-12-2020-2429"/>
    <x v="6"/>
    <x v="11"/>
    <s v="BarriosAlaObra-VII-2429 - BAO_Módulo 10"/>
    <s v="Varias"/>
    <s v="Los Angeles - Los Angeles II - Los Angeles III - Las Nieves - Simon Bolivar"/>
    <s v="-"/>
    <s v="10°58'6.7'' N_x0009_74°46'52.8'' O"/>
    <m/>
    <m/>
    <s v="Contractual"/>
    <s v="En_Ejecución"/>
    <n v="13035888005"/>
    <n v="0.90857142857142859"/>
    <n v="0.82050000000000001"/>
    <n v="-8.8071428571428578E-2"/>
    <x v="2"/>
    <d v="2021-09-03T00:00:00"/>
    <d v="2021-12-31T00:00:00"/>
    <d v="2024-07-31T00:00:00"/>
    <x v="1"/>
    <x v="0"/>
    <d v="2024-07-31T00:00:00"/>
  </r>
  <r>
    <n v="39"/>
    <s v="EDUBAR"/>
    <s v="CD-12-2020-2429"/>
    <x v="6"/>
    <x v="11"/>
    <s v="BarriosAlaObra-VII-2429 - BAO_Módulo 11"/>
    <s v="Varias"/>
    <s v="Alboraya - Carrizal - Las Palmas - Primero de Mayo - San Nicolas - Siape - Buenos Aires"/>
    <s v="-"/>
    <s v="10°58'6.7'' N_x0009_74°46'52.8'' O"/>
    <m/>
    <m/>
    <s v="Contractual"/>
    <s v="En_Ejecución"/>
    <n v="13256727960"/>
    <n v="0.9085714285714287"/>
    <n v="0.76"/>
    <n v="-0.14857142857142869"/>
    <x v="2"/>
    <d v="2021-09-03T00:00:00"/>
    <d v="2021-12-31T00:00:00"/>
    <d v="2024-07-31T00:00:00"/>
    <x v="1"/>
    <x v="0"/>
    <d v="2024-07-31T00:00:00"/>
  </r>
  <r>
    <n v="40"/>
    <s v="EDUBAR"/>
    <s v="CD-12-2020-2429"/>
    <x v="6"/>
    <x v="11"/>
    <s v="BarriosAlaObra-VII-2429 - BAO_Módulo 12"/>
    <s v="Varias"/>
    <s v="La Playa - Los Olivos I - Los Olivos II - El Pueblo - La Pradera"/>
    <s v="-"/>
    <s v="10°58'6.7'' N_x0009_74°46'52.8'' O"/>
    <m/>
    <m/>
    <s v="Postcontractual"/>
    <s v="Terminado"/>
    <n v="7765796823"/>
    <n v="1"/>
    <n v="1"/>
    <n v="0"/>
    <x v="0"/>
    <d v="2021-09-03T00:00:00"/>
    <d v="2021-12-31T00:00:00"/>
    <d v="2022-07-30T00:00:00"/>
    <x v="2"/>
    <x v="0"/>
    <d v="2023-07-25T00:00:00"/>
  </r>
  <r>
    <n v="41"/>
    <s v="EDUBAR"/>
    <s v="CD-05-2022-3691"/>
    <x v="7"/>
    <x v="12"/>
    <s v="InfraEducativa-3691 - IE Reuven"/>
    <s v="Metropolitana"/>
    <s v="Ciudadela 20 de Julio "/>
    <m/>
    <s v="10°55'52&quot;N 74°48'16&quot;W"/>
    <n v="-74.804487274730903"/>
    <n v="10.931653628221801"/>
    <s v="Contractual"/>
    <s v="En_Ejecución"/>
    <n v="1266389041.3499999"/>
    <n v="0.95"/>
    <n v="0.75"/>
    <n v="-0.19999999999999996"/>
    <x v="2"/>
    <d v="2022-07-15T00:00:00"/>
    <d v="2022-12-31T00:00:00"/>
    <d v="2024-12-31T00:00:00"/>
    <x v="1"/>
    <x v="0"/>
    <d v="2024-06-05T00:00:00"/>
  </r>
  <r>
    <n v="42"/>
    <s v="EDUBAR"/>
    <s v="CD-05-2022-3691"/>
    <x v="7"/>
    <x v="12"/>
    <s v="InfraEducativa-3691 - IE Jose Eusebio Caro"/>
    <s v="Suroccidente"/>
    <s v="Chiquinquirá"/>
    <m/>
    <s v="10°58'30&quot;N 74°47'20&quot;W"/>
    <n v="-74.789017379784397"/>
    <n v="10.974971446467"/>
    <s v="Contractual"/>
    <s v="En_Ejecución"/>
    <n v="1578127841.4300001"/>
    <n v="0.82"/>
    <n v="0.72"/>
    <n v="-9.9999999999999978E-2"/>
    <x v="2"/>
    <d v="2022-07-15T00:00:00"/>
    <d v="2022-12-31T00:00:00"/>
    <d v="2024-12-31T00:00:00"/>
    <x v="1"/>
    <x v="0"/>
    <d v="2024-07-04T00:00:00"/>
  </r>
  <r>
    <n v="43"/>
    <s v="EDUBAR"/>
    <s v="CD-05-2022-3691"/>
    <x v="7"/>
    <x v="12"/>
    <s v="InfraEducativa-3691 - IE Juan Jose Rondon"/>
    <s v="Suroccidente"/>
    <s v="San Felipe"/>
    <m/>
    <s v="10°58'27&quot;N 74°48'29&quot;W"/>
    <n v="-74.8081269393616"/>
    <n v="10.9745878312687"/>
    <s v="Contractual"/>
    <s v="En_Ejecución"/>
    <n v="399243209.67000002"/>
    <n v="0.9"/>
    <n v="0.9"/>
    <n v="0"/>
    <x v="0"/>
    <d v="2022-07-15T00:00:00"/>
    <d v="2022-12-31T00:00:00"/>
    <d v="2024-12-31T00:00:00"/>
    <x v="0"/>
    <x v="0"/>
    <d v="2024-05-31T00:00:00"/>
  </r>
  <r>
    <n v="44"/>
    <s v="EDUBAR"/>
    <s v="CD-05-2022-3691"/>
    <x v="7"/>
    <x v="12"/>
    <s v="InfraEducativa-3691 - IE Carrizal"/>
    <s v="Metropolitana"/>
    <s v="Carrizal"/>
    <m/>
    <s v="10°57'47&quot;N 74°48'05&quot;W"/>
    <n v="-74.808605555555602"/>
    <n v="10.937516666666699"/>
    <s v="Contractual"/>
    <s v="En_Ejecución"/>
    <n v="6843381947.6300001"/>
    <n v="0.81"/>
    <n v="0.69"/>
    <n v="-0.12000000000000011"/>
    <x v="2"/>
    <d v="2022-07-15T00:00:00"/>
    <d v="2022-12-31T00:00:00"/>
    <d v="2024-12-31T00:00:00"/>
    <x v="1"/>
    <x v="0"/>
    <d v="2024-08-27T00:00:00"/>
  </r>
  <r>
    <n v="45"/>
    <s v="EDUBAR"/>
    <s v="CD-05-2022-3691"/>
    <x v="7"/>
    <x v="12"/>
    <s v="InfraEducativa-3691 - IE Mayor de Barranquilla"/>
    <s v="Norte_Centro_Histórico"/>
    <s v="Centro"/>
    <m/>
    <s v="10°59'08&quot;N 74°47'12&quot;W"/>
    <n v="-74.786993842555006"/>
    <n v="10.985841090876299"/>
    <s v="Contractual"/>
    <s v="En_Ejecución"/>
    <n v="3228050889.5799999"/>
    <n v="0.66"/>
    <n v="0.53"/>
    <n v="-0.13"/>
    <x v="2"/>
    <d v="2022-07-15T00:00:00"/>
    <d v="2022-12-31T00:00:00"/>
    <d v="2024-12-31T00:00:00"/>
    <x v="1"/>
    <x v="0"/>
    <d v="2024-08-28T00:00:00"/>
  </r>
  <r>
    <n v="46"/>
    <s v="EDUBAR"/>
    <s v="CD-05-2022-3691"/>
    <x v="7"/>
    <x v="12"/>
    <s v="InfraEducativa-3691 - IE Jorge Nicolas Abello sede 2"/>
    <s v="Suroccidente"/>
    <s v="Nueva Granada"/>
    <m/>
    <m/>
    <m/>
    <m/>
    <s v="Contractual"/>
    <s v="En_Ejecución"/>
    <n v="109034606.39"/>
    <n v="0.71"/>
    <n v="0.41"/>
    <n v="-0.3"/>
    <x v="2"/>
    <d v="2024-07-15T00:00:00"/>
    <d v="2022-12-31T00:00:00"/>
    <d v="2024-12-31T00:00:00"/>
    <x v="1"/>
    <x v="0"/>
    <d v="2024-06-08T00:00:00"/>
  </r>
  <r>
    <n v="47"/>
    <s v="EDUBAR"/>
    <s v="No. 012016001893"/>
    <x v="8"/>
    <x v="13"/>
    <s v="InfraSalud-1893 - CAMINO Nuevo Barranquilla"/>
    <m/>
    <s v=""/>
    <m/>
    <m/>
    <m/>
    <m/>
    <s v="Contractual"/>
    <s v="En_Ejecución"/>
    <n v="149051582356.38"/>
    <n v="0.51500000000000001"/>
    <n v="0.51500000000000001"/>
    <n v="0"/>
    <x v="0"/>
    <d v="2017-11-26T00:00:00"/>
    <d v="2024-12-31T00:00:00"/>
    <d v="2024-12-31T00:00:00"/>
    <x v="0"/>
    <x v="0"/>
    <d v="2024-12-31T00:00:00"/>
  </r>
  <r>
    <n v="48"/>
    <s v="EDUBAR"/>
    <s v="No. 012016001893"/>
    <x v="8"/>
    <x v="14"/>
    <s v="InfraSalud-1893 - PASO San Camilo"/>
    <m/>
    <s v=""/>
    <m/>
    <m/>
    <m/>
    <m/>
    <s v="Contractual"/>
    <s v="En_Ejecución"/>
    <n v="13052523926"/>
    <n v="0.12809999999999999"/>
    <n v="0.12809999999999999"/>
    <n v="0"/>
    <x v="0"/>
    <d v="2022-11-01T00:00:00"/>
    <d v="2024-12-31T00:00:00"/>
    <d v="2024-12-31T00:00:00"/>
    <x v="0"/>
    <x v="0"/>
    <d v="2024-12-31T00:00:00"/>
  </r>
  <r>
    <n v="49"/>
    <s v="EDUBAR"/>
    <s v="CD-58-2023-3275"/>
    <x v="5"/>
    <x v="10"/>
    <s v="Mantenimiento Escenarios Deportivos"/>
    <s v="Varias"/>
    <s v="Barranquilla"/>
    <m/>
    <m/>
    <m/>
    <m/>
    <s v="Contractual"/>
    <s v="En_Ejecución"/>
    <n v="9200000000"/>
    <n v="0"/>
    <n v="0.17299999999999999"/>
    <n v="0.17299999999999999"/>
    <x v="0"/>
    <d v="2023-05-24T00:00:00"/>
    <d v="2023-12-31T00:00:00"/>
    <d v="2024-07-30T00:00:00"/>
    <x v="0"/>
    <x v="0"/>
    <d v="2024-07-30T00:00:00"/>
  </r>
  <r>
    <n v="50"/>
    <s v="EDUBAR"/>
    <s v="CD-12-2024-0002"/>
    <x v="6"/>
    <x v="11"/>
    <s v="BarriosAlaObra-VIII-0002 - BAO_Módulo 1"/>
    <m/>
    <m/>
    <m/>
    <m/>
    <m/>
    <m/>
    <s v="Precontractual"/>
    <s v="Perfeccionamiento_y_Legalización"/>
    <n v="8433759068"/>
    <n v="0"/>
    <n v="0"/>
    <n v="0"/>
    <x v="0"/>
    <m/>
    <d v="2024-12-31T00:00:00"/>
    <d v="2024-12-31T00:00:00"/>
    <x v="6"/>
    <x v="0"/>
    <m/>
  </r>
  <r>
    <n v="51"/>
    <s v="EDUBAR"/>
    <s v="CD-12-2024-0002"/>
    <x v="6"/>
    <x v="11"/>
    <s v="BarriosAlaObra-VIII-0002 - BAO_Módulo 2"/>
    <m/>
    <m/>
    <m/>
    <m/>
    <m/>
    <m/>
    <s v="Precontractual"/>
    <s v="Perfeccionamiento_y_Legalización"/>
    <n v="8387633859"/>
    <n v="0"/>
    <n v="0"/>
    <n v="0"/>
    <x v="0"/>
    <m/>
    <d v="2024-12-31T00:00:00"/>
    <d v="2024-12-31T00:00:00"/>
    <x v="6"/>
    <x v="0"/>
    <m/>
  </r>
  <r>
    <n v="52"/>
    <s v="EDUBAR"/>
    <s v="CD-12-2024-0002"/>
    <x v="6"/>
    <x v="11"/>
    <s v="BarriosAlaObra-VIII-0002 - BAO_Módulo 3"/>
    <m/>
    <m/>
    <m/>
    <m/>
    <m/>
    <m/>
    <s v="Precontractual"/>
    <s v="Perfeccionamiento_y_Legalización"/>
    <n v="8793381504"/>
    <n v="0"/>
    <n v="0"/>
    <n v="0"/>
    <x v="0"/>
    <m/>
    <d v="2024-12-31T00:00:00"/>
    <d v="2024-12-31T00:00:00"/>
    <x v="6"/>
    <x v="0"/>
    <m/>
  </r>
  <r>
    <n v="53"/>
    <s v="EDUBAR"/>
    <s v="CD-12-2024-0002"/>
    <x v="6"/>
    <x v="11"/>
    <s v="BarriosAlaObra-VIII-0002 - BAO_Módulo 4"/>
    <m/>
    <m/>
    <m/>
    <m/>
    <m/>
    <m/>
    <s v="Precontractual"/>
    <s v="Perfeccionamiento_y_Legalización"/>
    <n v="8585914241"/>
    <n v="0"/>
    <n v="0"/>
    <n v="0"/>
    <x v="0"/>
    <m/>
    <d v="2024-12-31T00:00:00"/>
    <d v="2024-12-31T00:00:00"/>
    <x v="6"/>
    <x v="0"/>
    <m/>
  </r>
  <r>
    <n v="54"/>
    <s v="EDUBAR"/>
    <s v="CD-12-2024-0002"/>
    <x v="6"/>
    <x v="11"/>
    <s v="BarriosAlaObra-VIII-0002 - BAO_Módulo 5"/>
    <m/>
    <m/>
    <m/>
    <m/>
    <m/>
    <m/>
    <s v="Precontractual"/>
    <s v="Perfeccionamiento_y_Legalización"/>
    <n v="8350568604"/>
    <n v="0"/>
    <n v="0"/>
    <n v="0"/>
    <x v="0"/>
    <m/>
    <d v="2024-12-31T00:00:00"/>
    <d v="2024-12-31T00:00:00"/>
    <x v="6"/>
    <x v="0"/>
    <m/>
  </r>
  <r>
    <n v="55"/>
    <s v="EDUBAR"/>
    <s v="CD-12-2024-0002"/>
    <x v="6"/>
    <x v="11"/>
    <s v="BarriosAlaObra-VIII-0002 - BAO_Módulo 6"/>
    <m/>
    <m/>
    <m/>
    <m/>
    <m/>
    <m/>
    <s v="Precontractual"/>
    <s v="Perfeccionamiento_y_Legalización"/>
    <n v="9018274387"/>
    <n v="0"/>
    <n v="0"/>
    <n v="0"/>
    <x v="0"/>
    <m/>
    <d v="2024-12-31T00:00:00"/>
    <d v="2024-12-31T00:00:00"/>
    <x v="6"/>
    <x v="0"/>
    <m/>
  </r>
  <r>
    <n v="56"/>
    <s v="EDUBAR"/>
    <s v="CD-12-2024-0002"/>
    <x v="6"/>
    <x v="11"/>
    <s v="BarriosAlaObra-VIII-0002 - BAO_Módulo 7"/>
    <m/>
    <m/>
    <m/>
    <m/>
    <m/>
    <m/>
    <s v="Precontractual"/>
    <s v="Perfeccionamiento_y_Legalización"/>
    <n v="9186635876"/>
    <n v="0"/>
    <n v="0"/>
    <n v="0"/>
    <x v="0"/>
    <m/>
    <d v="2024-12-31T00:00:00"/>
    <d v="2024-12-31T00:00:00"/>
    <x v="6"/>
    <x v="0"/>
    <m/>
  </r>
  <r>
    <n v="57"/>
    <s v="EDUBAR"/>
    <s v="CD-12-2024-0002"/>
    <x v="6"/>
    <x v="11"/>
    <s v="BarriosAlaObra-VIII-0002 - BAO_Módulo 8"/>
    <m/>
    <m/>
    <m/>
    <m/>
    <m/>
    <m/>
    <s v="Precontractual"/>
    <s v="Perfeccionamiento_y_Legalización"/>
    <n v="12557965286"/>
    <n v="0"/>
    <n v="0"/>
    <n v="0"/>
    <x v="0"/>
    <m/>
    <d v="2024-12-31T00:00:00"/>
    <d v="2024-12-31T00:00:00"/>
    <x v="6"/>
    <x v="0"/>
    <m/>
  </r>
  <r>
    <n v="58"/>
    <s v="EDUBAR"/>
    <s v="CD-12-2024-0002"/>
    <x v="6"/>
    <x v="11"/>
    <s v="BarriosAlaObra-VIII-0002 - BAO_Módulo 9"/>
    <m/>
    <m/>
    <m/>
    <m/>
    <m/>
    <m/>
    <s v="Precontractual"/>
    <s v="Perfeccionamiento_y_Legalización"/>
    <n v="12058626643"/>
    <n v="0"/>
    <n v="0"/>
    <n v="0"/>
    <x v="0"/>
    <m/>
    <d v="2024-12-31T00:00:00"/>
    <d v="2024-12-31T00:00:00"/>
    <x v="6"/>
    <x v="0"/>
    <m/>
  </r>
  <r>
    <n v="59"/>
    <s v="EDUBAR"/>
    <s v="CD-12-2024-0003"/>
    <x v="9"/>
    <x v="15"/>
    <s v="MejoramientoViviendas-0003 - Módulo 1"/>
    <s v="Suroccidente"/>
    <s v="La Manga, las Malvinas, los Olivos II"/>
    <s v="-"/>
    <s v="Varias "/>
    <m/>
    <m/>
    <s v="Precontractual"/>
    <s v="Perfeccionamiento_y_Legalización"/>
    <n v="22962981691.642204"/>
    <n v="0"/>
    <n v="0"/>
    <n v="0"/>
    <x v="0"/>
    <m/>
    <d v="2024-12-31T00:00:00"/>
    <d v="2024-12-31T00:00:00"/>
    <x v="6"/>
    <x v="0"/>
    <d v="2024-12-31T00:00:00"/>
  </r>
  <r>
    <n v="60"/>
    <s v="EDUBAR"/>
    <s v="CD-12-2024-0003"/>
    <x v="9"/>
    <x v="15"/>
    <s v="MejoramientoViviendas-0003 - Módulo 2"/>
    <s v="Varias"/>
    <s v="El bosque, Evaristo Sourdis, Las Malvinas, Villa Blanca"/>
    <s v="-"/>
    <s v="Varias "/>
    <m/>
    <m/>
    <s v="Precontractual"/>
    <s v="Perfeccionamiento_y_Legalización"/>
    <n v="22471261466.546684"/>
    <n v="0"/>
    <n v="0"/>
    <n v="0"/>
    <x v="0"/>
    <m/>
    <d v="2024-12-31T00:00:00"/>
    <d v="2024-12-31T00:00:00"/>
    <x v="6"/>
    <x v="0"/>
    <d v="2024-12-31T00:00:00"/>
  </r>
  <r>
    <n v="61"/>
    <s v="EDUBAR"/>
    <s v="CD-12-2024-0003"/>
    <x v="9"/>
    <x v="15"/>
    <s v="MejoramientoViviendas-0003 - Módulo 3"/>
    <s v="Suroccidente"/>
    <s v="Ciudad Modesto, El Por Fin, La Paz"/>
    <s v="-"/>
    <s v="Varias "/>
    <m/>
    <m/>
    <s v="Precontractual"/>
    <s v="Perfeccionamiento_y_Legalización"/>
    <n v="22620928293.757587"/>
    <n v="0"/>
    <n v="0"/>
    <n v="0"/>
    <x v="0"/>
    <m/>
    <d v="2024-12-31T00:00:00"/>
    <d v="2024-12-31T00:00:00"/>
    <x v="6"/>
    <x v="0"/>
    <d v="2024-12-31T00:00:00"/>
  </r>
  <r>
    <n v="62"/>
    <s v="EDUBAR"/>
    <s v="CD-12-2024-0003"/>
    <x v="9"/>
    <x v="15"/>
    <s v="MejoramientoViviendas-0003 - Módulo 4"/>
    <s v="Varias"/>
    <s v="7 de Abril, Kennedy, Las Americas, Barlovento, San Francisco, La Playa, Las Flores, 7 de Agosto"/>
    <s v="-"/>
    <s v="Varias "/>
    <m/>
    <m/>
    <s v="Precontractual"/>
    <s v="Perfeccionamiento_y_Legalización"/>
    <n v="22874503267.963524"/>
    <n v="0"/>
    <n v="0"/>
    <n v="0"/>
    <x v="0"/>
    <m/>
    <d v="2024-12-31T00:00:00"/>
    <d v="2024-12-31T00:00:00"/>
    <x v="6"/>
    <x v="0"/>
    <d v="2024-12-31T00:00:00"/>
  </r>
  <r>
    <n v="63"/>
    <s v="EDUBAR"/>
    <s v="CD-12-2024-0003"/>
    <x v="9"/>
    <x v="15"/>
    <s v="MejoramientoViviendas-0003 - Módulo 5"/>
    <s v="Varias"/>
    <s v="Buenos Aires, Carrizal, Ciudadela 20 de Julio, Ciudadela 20 de Julio (Sector Tcherasi), Conidec, El Santuario, Los Girasoles, Ciudadela 20 de Julio (Domingo Marino)"/>
    <s v="-"/>
    <s v="Varias "/>
    <m/>
    <m/>
    <s v="Precontractual"/>
    <s v="Perfeccionamiento_y_Legalización"/>
    <n v="22877651760.571491"/>
    <n v="0"/>
    <n v="0"/>
    <n v="0"/>
    <x v="0"/>
    <m/>
    <d v="2024-12-31T00:00:00"/>
    <d v="2024-12-31T00:00:00"/>
    <x v="6"/>
    <x v="0"/>
    <d v="2024-12-31T00:00:00"/>
  </r>
  <r>
    <n v="64"/>
    <s v="EDUBAR"/>
    <s v="CD-12-2024-0003"/>
    <x v="9"/>
    <x v="15"/>
    <s v="MejoramientoViviendas-0003 - Módulo 6"/>
    <s v="Metropolitana"/>
    <s v="20 de Julio, san Luis, Santa Maria, Santo Domingo de Guzman, Villa San Pedro I, Villa San Pedro II"/>
    <s v="-"/>
    <s v="Varias "/>
    <m/>
    <m/>
    <s v="Precontractual"/>
    <s v="Perfeccionamiento_y_Legalización"/>
    <n v="22795179726.304726"/>
    <n v="0"/>
    <n v="0"/>
    <n v="0"/>
    <x v="0"/>
    <m/>
    <d v="2024-12-31T00:00:00"/>
    <d v="2024-12-31T00:00:00"/>
    <x v="6"/>
    <x v="0"/>
    <d v="2024-12-31T00:00:00"/>
  </r>
  <r>
    <n v="65"/>
    <s v="EDUBAR"/>
    <s v="CD-12-2024-0003"/>
    <x v="9"/>
    <x v="15"/>
    <s v="MejoramientoViviendas-0003 - Módulo 7"/>
    <s v="Suroriente"/>
    <s v="Bellarena, El Ferry, El Milagro, El Moderno, Jose Antonio Galan, La Chinita, Las Nieves, Montes, Rebolo, San Nicolas"/>
    <s v="-"/>
    <s v="Varias "/>
    <m/>
    <m/>
    <s v="Precontractual"/>
    <s v="Perfeccionamiento_y_Legalización"/>
    <n v="25933767375.873116"/>
    <n v="0"/>
    <n v="0"/>
    <n v="0"/>
    <x v="0"/>
    <m/>
    <d v="2024-12-31T00:00:00"/>
    <d v="2024-12-31T00:00:00"/>
    <x v="6"/>
    <x v="0"/>
    <d v="2024-12-31T00:00:00"/>
  </r>
  <r>
    <n v="66"/>
    <s v="EDUBAR"/>
    <s v="CD-12-2024-0003"/>
    <x v="9"/>
    <x v="15"/>
    <s v="MejoramientoViviendas-0003 - Módulo 8"/>
    <s v="Varias"/>
    <s v="La Sierrita, Buena Esperanza, California, Cordialidad, El Pueblo, El Romance, Juan Mina, La Gloria, La Pradera, Los Rosales, Villa Flor, Alboraya"/>
    <s v="-"/>
    <s v="Varias "/>
    <m/>
    <m/>
    <s v="Precontractual"/>
    <s v="Perfeccionamiento_y_Legalización"/>
    <n v="25680031141.750671"/>
    <n v="0"/>
    <n v="0"/>
    <n v="0"/>
    <x v="0"/>
    <m/>
    <d v="2024-12-31T00:00:00"/>
    <d v="2024-12-31T00:00:00"/>
    <x v="6"/>
    <x v="0"/>
    <d v="2024-12-31T00:00:00"/>
  </r>
  <r>
    <n v="67"/>
    <s v="ADI"/>
    <s v="N. 017 - 2017 "/>
    <x v="6"/>
    <x v="16"/>
    <s v="MallaVial-017 - Calle 30 [cra 46 y circunvalar]"/>
    <s v="Suroriente"/>
    <s v="Tayrona, Los Trupillos, Simon Bolivar, Centro, Montes, San Roque, Rebolo, Las Nieves, Boyaca, El Limon "/>
    <s v="-"/>
    <s v="10°56'31.6&quot;N 74°47'00.0&quot;W"/>
    <n v="-74.783333333333303"/>
    <n v="10.9421111111111"/>
    <s v="Postcontractual"/>
    <s v="Terminado"/>
    <n v="152860038595"/>
    <n v="0.93"/>
    <n v="0.92"/>
    <n v="-1.0000000000000009E-2"/>
    <x v="0"/>
    <d v="2018-08-29T00:00:00"/>
    <d v="2018-12-31T00:00:00"/>
    <d v="2024-02-29T00:00:00"/>
    <x v="2"/>
    <x v="0"/>
    <d v="2024-06-30T00:00:00"/>
  </r>
  <r>
    <n v="68"/>
    <s v="ADI"/>
    <s v="N. 017 - 2017 "/>
    <x v="6"/>
    <x v="16"/>
    <s v="MallaVial-017 - Vía Circunvalar [cra 38 y cra 12A]"/>
    <s v="Suroccidente"/>
    <s v="La Paz, Los Olivos, Los Olivos Ii, La Pradera, El Eden, Las Estrellas."/>
    <s v="-"/>
    <s v="10°58'42.2&quot;N 74°50'09.7&quot;W"/>
    <n v="-74.836027777777801"/>
    <n v="10.978388888888899"/>
    <s v="Contractual"/>
    <s v="En_Ejecución"/>
    <n v="84447323510"/>
    <n v="0.98"/>
    <n v="0.89"/>
    <n v="-8.9999999999999969E-2"/>
    <x v="2"/>
    <d v="2018-04-25T00:00:00"/>
    <d v="2018-12-31T00:00:00"/>
    <d v="2024-06-30T00:00:00"/>
    <x v="1"/>
    <x v="0"/>
    <d v="2024-12-31T00:00:00"/>
  </r>
  <r>
    <n v="69"/>
    <s v="ADI"/>
    <s v="N. 017 - 2017 "/>
    <x v="6"/>
    <x v="16"/>
    <s v="MallaVial-017 - Vía Cordialidad [Av.circunvalar y cra 23]"/>
    <s v="Suroccidente"/>
    <s v="Villa De San Pedro, San Luis, California, Las Ceibas, La Sierra, Kennedy, La Ceiba, El Carmen. "/>
    <s v="-"/>
    <s v="10°56'38.4&quot;N 74°49'40.1&quot;W"/>
    <n v="-74.827805555555599"/>
    <n v="10.944000000000001"/>
    <s v="Contractual"/>
    <s v="En_Ejecución"/>
    <n v="156209072710.31"/>
    <n v="0.9"/>
    <n v="0.87"/>
    <n v="-3.0000000000000027E-2"/>
    <x v="1"/>
    <d v="2018-04-23T00:00:00"/>
    <d v="2018-12-31T00:00:00"/>
    <d v="2024-05-30T00:00:00"/>
    <x v="7"/>
    <x v="0"/>
    <d v="2024-07-30T00:00:00"/>
  </r>
  <r>
    <n v="70"/>
    <s v="ADI"/>
    <n v="12016001622"/>
    <x v="10"/>
    <x v="17"/>
    <s v="Arroyos-1622 - Arroyo Cra 21"/>
    <s v="Suroriente"/>
    <s v="San Jose, Los Cocos, Boyaca,  La Union, Buena Esperanza, El Carmen. "/>
    <s v="-"/>
    <s v="10°57'53.8&quot;N 74°47'48.7&quot;W"/>
    <n v="-74.796861111111099"/>
    <n v="10.9649444444444"/>
    <s v="Contractual"/>
    <s v="Suspendido"/>
    <n v="170704825174.69998"/>
    <n v="1"/>
    <n v="0.99"/>
    <n v="-1.0000000000000009E-2"/>
    <x v="0"/>
    <d v="2016-11-21T00:00:00"/>
    <d v="2018-03-21T00:00:00"/>
    <d v="2021-08-03T00:00:00"/>
    <x v="5"/>
    <x v="0"/>
    <m/>
  </r>
  <r>
    <n v="71"/>
    <s v="ADI"/>
    <n v="12016001622"/>
    <x v="10"/>
    <x v="17"/>
    <s v="Arroyos-1622 - Arroyo Cra 65"/>
    <s v="Norte_Centro_Histórico"/>
    <s v="Montecristo, El Prado, Entre Otros"/>
    <s v="-"/>
    <s v="10°59'38.7&quot;N 74°47'33.3&quot;"/>
    <n v="-74.792583333333297"/>
    <n v="10.9940833333333"/>
    <s v="Contractual"/>
    <s v="Suspendido"/>
    <n v="110645101776"/>
    <n v="1"/>
    <n v="0.99"/>
    <n v="-1.0000000000000009E-2"/>
    <x v="0"/>
    <d v="2017-03-06T00:00:00"/>
    <d v="2018-07-05T00:00:00"/>
    <d v="2021-05-10T00:00:00"/>
    <x v="5"/>
    <x v="0"/>
    <m/>
  </r>
  <r>
    <n v="72"/>
    <s v="ADI"/>
    <n v="12016001622"/>
    <x v="10"/>
    <x v="17"/>
    <s v="Arroyos-1622 - Arroyo Felicidad"/>
    <s v="Varias"/>
    <s v="Lucero, Los Pinos, Prado, Siete Bocas, Recreo Entre Otros"/>
    <s v="-"/>
    <s v="10°59'02.7&quot;N 74°47'26.3&quot;W"/>
    <n v="-74.790638888888907"/>
    <n v="10.984083333333301"/>
    <s v="Contractual"/>
    <s v="Suspendido"/>
    <n v="201849730042"/>
    <n v="0.98"/>
    <n v="0.96220000000000006"/>
    <n v="-1.7799999999999927E-2"/>
    <x v="0"/>
    <d v="2017-01-16T00:00:00"/>
    <d v="2018-05-15T00:00:00"/>
    <d v="2022-12-16T00:00:00"/>
    <x v="5"/>
    <x v="0"/>
    <m/>
  </r>
  <r>
    <n v="73"/>
    <s v="ADI"/>
    <s v="N/A"/>
    <x v="5"/>
    <x v="18"/>
    <s v="Parques-VI - Parque las Estrellas "/>
    <s v="Suroccidente"/>
    <s v="El Rubí"/>
    <s v="K 36 Y 35B C 84 Y 87"/>
    <s v=" 10°58'52.15&quot;N   74°49'49.28&quot;O"/>
    <n v="-74.831412036224194"/>
    <n v="10.9815382506132"/>
    <s v="Contractual"/>
    <s v="En_Ejecución"/>
    <n v="4872721651.1999998"/>
    <n v="1"/>
    <n v="0.79"/>
    <n v="-0.20999999999999996"/>
    <x v="2"/>
    <d v="2018-03-05T00:00:00"/>
    <d v="2020-06-22T00:00:00"/>
    <d v="2024-06-30T00:00:00"/>
    <x v="1"/>
    <x v="0"/>
    <d v="2024-06-30T00:00:00"/>
  </r>
  <r>
    <n v="74"/>
    <s v="ADI"/>
    <s v="N/A"/>
    <x v="5"/>
    <x v="18"/>
    <s v="Parques-VI - Parque las Palmeras"/>
    <s v="Metropolitana"/>
    <s v="Ciudadela 20 De Julio "/>
    <s v="C 46K K 3A"/>
    <s v=" 10°55'50.15&quot;N  74°48'18.51&quot;O"/>
    <n v="-74.8051416666667"/>
    <n v="10.9305972222222"/>
    <s v="Postcontractual"/>
    <s v="Entregado"/>
    <n v="958944721.79999995"/>
    <n v="1"/>
    <n v="1"/>
    <n v="0"/>
    <x v="0"/>
    <d v="2018-03-05T00:00:00"/>
    <d v="2020-06-22T00:00:00"/>
    <d v="2024-02-23T00:00:00"/>
    <x v="4"/>
    <x v="0"/>
    <d v="2024-02-23T00:00:00"/>
  </r>
  <r>
    <n v="75"/>
    <s v="ADI"/>
    <s v="N/A"/>
    <x v="5"/>
    <x v="18"/>
    <s v="Parques-VI - Parque Pequeños gigantes"/>
    <s v="Metropolitana"/>
    <s v="Villa Sevilla"/>
    <s v="C 46C y 46E K 16 SUR y 16A SUR"/>
    <s v=" 10°55'20.95&quot;N   74°48'13.55&quot;O"/>
    <n v="-74.803763888888895"/>
    <n v="10.9224861111111"/>
    <s v="Postcontractual"/>
    <s v="Entregado"/>
    <n v="935338521"/>
    <n v="1"/>
    <n v="1"/>
    <n v="0"/>
    <x v="0"/>
    <d v="2018-03-05T00:00:00"/>
    <d v="2020-06-22T00:00:00"/>
    <d v="2024-04-06T00:00:00"/>
    <x v="4"/>
    <x v="0"/>
    <d v="2024-04-06T00:00:00"/>
  </r>
  <r>
    <n v="76"/>
    <s v="ADI"/>
    <s v="N/A"/>
    <x v="5"/>
    <x v="18"/>
    <s v="Parques-VI - Parque El Limon 2"/>
    <s v="Suroriente"/>
    <s v="El Limón"/>
    <s v="C 34 K 5C Y 6"/>
    <s v=" 10°56'29.74&quot;N   74°47'13.52&quot;O"/>
    <n v="-74.787088888888903"/>
    <n v="10.9415944444444"/>
    <s v="Postcontractual"/>
    <s v="Entregado"/>
    <n v="1320867674.0999999"/>
    <n v="1"/>
    <n v="1"/>
    <n v="0"/>
    <x v="0"/>
    <d v="2018-03-05T00:00:00"/>
    <d v="2020-06-22T00:00:00"/>
    <d v="2024-04-12T00:00:00"/>
    <x v="4"/>
    <x v="0"/>
    <d v="2024-04-12T00:00:00"/>
  </r>
  <r>
    <n v="77"/>
    <s v="ADI"/>
    <s v="N/A"/>
    <x v="5"/>
    <x v="18"/>
    <s v="Parques-VI - Parque El Milagro "/>
    <s v="Suroriente"/>
    <s v="El Milagro"/>
    <s v="C 38 K 1H"/>
    <s v=" 10°56'0.37&quot;N   74°47'36.05&quot;O"/>
    <n v="-74.793347222222195"/>
    <n v="10.933436111111099"/>
    <s v="Contractual"/>
    <s v="En_Ejecución"/>
    <n v="924843801.70000005"/>
    <n v="1"/>
    <n v="0.95"/>
    <n v="-5.0000000000000044E-2"/>
    <x v="1"/>
    <d v="2018-03-05T00:00:00"/>
    <d v="2020-06-22T00:00:00"/>
    <d v="2024-05-30T00:00:00"/>
    <x v="7"/>
    <x v="0"/>
    <d v="2024-05-30T00:00:00"/>
  </r>
  <r>
    <n v="78"/>
    <s v="ADI"/>
    <s v="N/A"/>
    <x v="5"/>
    <x v="18"/>
    <s v="Parques-VI - Parque Concha Conidec"/>
    <s v="Metropolitana"/>
    <s v="Ciudadela 20 de Julio "/>
    <s v="C 49 K 5B Sur"/>
    <s v=" 10°55'39.25&quot;N   74°48'37.98&quot;O"/>
    <n v="-74.810550000000006"/>
    <n v="10.9275694444444"/>
    <s v="Contractual"/>
    <s v="En_Ejecución"/>
    <n v="1422193774.3"/>
    <n v="1"/>
    <n v="0.84"/>
    <n v="-0.16000000000000003"/>
    <x v="2"/>
    <d v="2018-03-05T00:00:00"/>
    <d v="2020-06-22T00:00:00"/>
    <d v="2024-06-30T00:00:00"/>
    <x v="1"/>
    <x v="0"/>
    <d v="2024-06-30T00:00:00"/>
  </r>
  <r>
    <n v="79"/>
    <s v="ADI"/>
    <s v="N/A"/>
    <x v="5"/>
    <x v="18"/>
    <s v="Parques-VI - Parque karla Gonzalez - Argos"/>
    <s v="Riomar"/>
    <s v="Villa Carolina"/>
    <s v="C 96 K72"/>
    <s v=" 11° 1'23.47&quot;N   74°49'2.80&quot;O"/>
    <n v="-74.817444444444405"/>
    <n v="11.0231861111111"/>
    <s v="Contractual"/>
    <s v="En_Ejecución"/>
    <n v="0"/>
    <n v="0.8"/>
    <n v="0.93"/>
    <n v="0.13"/>
    <x v="0"/>
    <d v="2023-02-27T00:00:00"/>
    <d v="2023-08-31T00:00:00"/>
    <d v="2024-04-16T00:00:00"/>
    <x v="0"/>
    <x v="0"/>
    <d v="2024-04-16T00:00:00"/>
  </r>
  <r>
    <n v="80"/>
    <s v="ADI"/>
    <s v="N/A"/>
    <x v="5"/>
    <x v="18"/>
    <s v="Parques-VI - Parque la Castellana - Argos"/>
    <s v="Riomar"/>
    <s v="Altos Del Parque"/>
    <s v="K 65 C 99"/>
    <s v=" 11° 1'19.48&quot;N   74°49'20.25&quot;O"/>
    <n v="-74.8222916666667"/>
    <n v="11.022077777777801"/>
    <s v="Postcontractual"/>
    <s v="Entregado"/>
    <n v="0"/>
    <n v="1"/>
    <n v="1"/>
    <n v="0"/>
    <x v="0"/>
    <d v="2022-09-29T00:00:00"/>
    <d v="2023-06-30T00:00:00"/>
    <d v="2024-04-04T00:00:00"/>
    <x v="4"/>
    <x v="0"/>
    <d v="2024-04-11T00:00:00"/>
  </r>
  <r>
    <n v="81"/>
    <s v="ADI"/>
    <s v="CONVENIO CD-48-2021-4479"/>
    <x v="5"/>
    <x v="18"/>
    <s v="Parques-VI - Parque Villas de San Pablo"/>
    <s v="Suroccidente"/>
    <s v="Villas De San Pablo"/>
    <s v="C 134 K 9G"/>
    <s v=" 10°56'8.10&quot;N   74°49'41.25&quot;O"/>
    <n v="-74.858922222222205"/>
    <n v="10.9588416666667"/>
    <s v="Contractual"/>
    <s v="En_Ejecución"/>
    <n v="0"/>
    <n v="0.3"/>
    <n v="0.65"/>
    <n v="0.35000000000000003"/>
    <x v="0"/>
    <d v="2024-02-14T00:00:00"/>
    <d v="2024-05-29T00:00:00"/>
    <d v="2024-05-29T00:00:00"/>
    <x v="0"/>
    <x v="0"/>
    <d v="2024-05-29T00:00:00"/>
  </r>
  <r>
    <n v="82"/>
    <s v="ADI"/>
    <s v="N/A"/>
    <x v="5"/>
    <x v="18"/>
    <s v="Parques-VII - Grupo 1 Parque Malecon Sur Oriente"/>
    <s v="Suroriente"/>
    <s v="REBOLO"/>
    <s v="K23 C28 - K27 C8"/>
    <s v=" 10°57'49.95&quot;N  74°46'51.75&quot;O"/>
    <n v="-74.779765416202096"/>
    <n v="10.964102450634501"/>
    <s v="Precontractual"/>
    <s v="Perfeccionamiento_y_Legalización"/>
    <n v="15870241697.43189"/>
    <n v="0"/>
    <n v="0"/>
    <n v="0"/>
    <x v="0"/>
    <m/>
    <d v="2024-12-31T00:00:00"/>
    <d v="2024-12-31T00:00:00"/>
    <x v="6"/>
    <x v="0"/>
    <d v="2024-12-31T00:00:00"/>
  </r>
  <r>
    <n v="83"/>
    <s v="ADI"/>
    <s v="N/A"/>
    <x v="5"/>
    <x v="18"/>
    <s v="Parques-VII - Grupo 2 Parque Unidad Deportiva la Magdalena"/>
    <s v="Suroriente"/>
    <s v="LA MAGDALENA"/>
    <s v="K 6B C 35B"/>
    <s v=" 10°56'34.99&quot;N  74°47'34.79&quot;O"/>
    <n v="-74.792997222222198"/>
    <n v="10.943052777777799"/>
    <s v="Precontractual"/>
    <s v="Perfeccionamiento_y_Legalización"/>
    <n v="16310246102.112429"/>
    <n v="0"/>
    <n v="0"/>
    <n v="0"/>
    <x v="0"/>
    <m/>
    <d v="2024-12-31T00:00:00"/>
    <d v="2024-12-31T00:00:00"/>
    <x v="6"/>
    <x v="0"/>
    <d v="2024-12-31T00:00:00"/>
  </r>
  <r>
    <n v="84"/>
    <s v="ADI"/>
    <s v="N/A"/>
    <x v="5"/>
    <x v="18"/>
    <s v="Parques-VII - Grupo 3 Cancha De Minifutbol Ciudad Modesto"/>
    <s v="Suroccidente"/>
    <s v="CIUDAD MODESTO"/>
    <s v="K 12A C 94"/>
    <s v=" 10°57'45.23&quot;N    74°49'46.59&quot;O"/>
    <n v="-74.829608333333297"/>
    <n v="10.9625638888889"/>
    <s v="Precontractual"/>
    <s v="Perfeccionamiento_y_Legalización"/>
    <n v="1435630036.3650708"/>
    <n v="0"/>
    <n v="0"/>
    <n v="0"/>
    <x v="0"/>
    <m/>
    <d v="2024-12-31T00:00:00"/>
    <d v="2024-12-31T00:00:00"/>
    <x v="6"/>
    <x v="0"/>
    <d v="2024-12-31T00:00:00"/>
  </r>
  <r>
    <n v="85"/>
    <s v="ADI"/>
    <s v="N/A"/>
    <x v="5"/>
    <x v="18"/>
    <s v="Parques-VII - Grupo 3 Parque Productivo - Huerta Urbana Villas de San Pablo"/>
    <s v="Suroccidente"/>
    <s v="VILLAS DE SAN PABLO"/>
    <s v="C 134 K 28"/>
    <s v=" 10°57'32.35&quot;N    74°51'54.51&quot;O"/>
    <n v="-74.865141666666702"/>
    <n v="10.9589861111111"/>
    <s v="Precontractual"/>
    <s v="Perfeccionamiento_y_Legalización"/>
    <n v="1783087327.0937545"/>
    <n v="0"/>
    <n v="0"/>
    <n v="0"/>
    <x v="0"/>
    <m/>
    <d v="2024-12-31T00:00:00"/>
    <d v="2024-12-31T00:00:00"/>
    <x v="6"/>
    <x v="0"/>
    <d v="2024-12-31T00:00:00"/>
  </r>
  <r>
    <n v="86"/>
    <s v="ADI"/>
    <s v="N/A"/>
    <x v="5"/>
    <x v="18"/>
    <s v="Parques-VII - Grupo 3 Parque La Union II"/>
    <s v="Suroriente"/>
    <s v="LA UNIÓN"/>
    <s v="K 16 C 31"/>
    <s v="10°57'9.38&quot;N    74°47'17.62&quot;O"/>
    <n v="-74.788227777777806"/>
    <n v="10.9526055555556"/>
    <s v="Precontractual"/>
    <s v="Perfeccionamiento_y_Legalización"/>
    <n v="1318231243.5590153"/>
    <n v="0"/>
    <n v="0"/>
    <n v="0"/>
    <x v="0"/>
    <m/>
    <d v="2024-12-31T00:00:00"/>
    <d v="2024-12-31T00:00:00"/>
    <x v="6"/>
    <x v="0"/>
    <d v="2024-12-31T00:00:00"/>
  </r>
  <r>
    <n v="87"/>
    <s v="ADI"/>
    <s v="N/A"/>
    <x v="5"/>
    <x v="18"/>
    <s v="Parques-VII - Grupo 3 Parque El Parquecito"/>
    <s v="Metropolitana"/>
    <s v="LA SIERRITA"/>
    <s v="C 52C K 5B"/>
    <s v=" 10°56'41.29&quot;N  74°48'34.77&quot;O"/>
    <n v="-74.809658333333303"/>
    <n v="10.944802777777801"/>
    <s v="Precontractual"/>
    <s v="Perfeccionamiento_y_Legalización"/>
    <n v="337849038.54179579"/>
    <n v="0"/>
    <n v="0"/>
    <n v="0"/>
    <x v="0"/>
    <m/>
    <d v="2024-12-31T00:00:00"/>
    <d v="2024-12-31T00:00:00"/>
    <x v="6"/>
    <x v="0"/>
    <d v="2024-12-31T00:00:00"/>
  </r>
  <r>
    <n v="88"/>
    <s v="ADI"/>
    <s v="N/A"/>
    <x v="5"/>
    <x v="18"/>
    <s v="Parques-VII - Grupo 4 Parque Villa Cordialidad"/>
    <s v="Suroccidente"/>
    <s v="VILLA CORDIALIDAD"/>
    <s v="C 73C K 13"/>
    <s v=" 10°56'22.86&quot;N    74°51'42.09&quot;O"/>
    <n v="-74.861691666666701"/>
    <n v="10.939683333333299"/>
    <s v="Precontractual"/>
    <s v="Perfeccionamiento_y_Legalización"/>
    <n v="2133416441.79126"/>
    <n v="0"/>
    <n v="0"/>
    <n v="0"/>
    <x v="0"/>
    <m/>
    <d v="2024-12-31T00:00:00"/>
    <d v="2024-12-31T00:00:00"/>
    <x v="6"/>
    <x v="0"/>
    <d v="2024-12-31T00:00:00"/>
  </r>
  <r>
    <n v="89"/>
    <s v="ADI"/>
    <s v="N/A"/>
    <x v="5"/>
    <x v="18"/>
    <s v="Parques-VII - Grupo 4 Parque Villa San Pedro"/>
    <s v="Suroccidente"/>
    <s v="SAN PEDRO "/>
    <s v="K 6P Y 6Q - C 102 Y 102A"/>
    <s v=" 10°56'53.13&quot;N    74°50'0.29&quot;O"/>
    <n v="-74.833413888888899"/>
    <n v="10.9480916666667"/>
    <s v="Precontractual"/>
    <s v="Perfeccionamiento_y_Legalización"/>
    <n v="369183968.20811647"/>
    <n v="0"/>
    <n v="0"/>
    <n v="0"/>
    <x v="0"/>
    <m/>
    <d v="2024-12-31T00:00:00"/>
    <d v="2024-12-31T00:00:00"/>
    <x v="6"/>
    <x v="0"/>
    <d v="2024-12-31T00:00:00"/>
  </r>
  <r>
    <n v="90"/>
    <s v="ADI"/>
    <s v="N/A"/>
    <x v="5"/>
    <x v="18"/>
    <s v="Parques-VII - Grupo 4 Parque Jorge Robledo Ortiz"/>
    <s v="Metropolitana"/>
    <s v="7 DE ABRIL"/>
    <s v="K 15 C 73 AV. Circunvalar"/>
    <s v=" 10°55'30.09&quot;N    74°49'12.64&quot;O"/>
    <n v="-74.820177777777801"/>
    <n v="10.925025"/>
    <s v="Precontractual"/>
    <s v="Perfeccionamiento_y_Legalización"/>
    <n v="3498206331.0168552"/>
    <n v="0"/>
    <n v="0"/>
    <n v="0"/>
    <x v="0"/>
    <m/>
    <d v="2024-12-31T00:00:00"/>
    <d v="2024-12-31T00:00:00"/>
    <x v="6"/>
    <x v="0"/>
    <d v="2024-12-31T00:00:00"/>
  </r>
  <r>
    <n v="91"/>
    <s v="ADI"/>
    <s v="N/A"/>
    <x v="5"/>
    <x v="18"/>
    <s v="Parques-VII - Grupo 4 Parque El 5 y 6"/>
    <s v="Suroccidente"/>
    <s v="EL BOSQUE"/>
    <s v="K 6 C 74A"/>
    <s v=" 10°56'48.44&quot;N    74°49'8.66&quot;O"/>
    <n v="-74.819072222222204"/>
    <n v="10.9467888888889"/>
    <s v="Precontractual"/>
    <s v="Perfeccionamiento_y_Legalización"/>
    <n v="441218753.22995633"/>
    <n v="0"/>
    <n v="0"/>
    <n v="0"/>
    <x v="0"/>
    <m/>
    <d v="2024-12-31T00:00:00"/>
    <d v="2024-12-31T00:00:00"/>
    <x v="6"/>
    <x v="0"/>
    <d v="2024-12-31T00:00:00"/>
  </r>
  <r>
    <n v="92"/>
    <s v="ADI"/>
    <s v="N/A"/>
    <x v="5"/>
    <x v="18"/>
    <s v="Parques-VII - Grupo 4 Parque Los Muñecos"/>
    <s v="Suroriente"/>
    <s v="CIUDADELA 20 DE JULIO"/>
    <s v="K 1B Y 1C C 42"/>
    <s v=" 10°55'51.69&quot;N  74°47'48.24&quot;O"/>
    <n v="-74.796733333333293"/>
    <n v="10.931025"/>
    <s v="Precontractual"/>
    <s v="Perfeccionamiento_y_Legalización"/>
    <n v="500074432.468382"/>
    <n v="0"/>
    <n v="0"/>
    <n v="0"/>
    <x v="0"/>
    <m/>
    <d v="2024-12-31T00:00:00"/>
    <d v="2024-12-31T00:00:00"/>
    <x v="6"/>
    <x v="0"/>
    <d v="2024-12-31T00:00:00"/>
  </r>
  <r>
    <n v="93"/>
    <s v="ADI"/>
    <s v="N/A"/>
    <x v="5"/>
    <x v="18"/>
    <s v="Parques-VII - Grupo 4 Parque Urbanización la Playa"/>
    <s v="Riomar"/>
    <s v="LA PLAYA"/>
    <s v="K 24 C 9 Y 9A"/>
    <s v=" 11° 1'23.55&quot;N  74°52'10.61&quot;O"/>
    <n v="-74.869613888888907"/>
    <n v="11.023208333333301"/>
    <s v="Precontractual"/>
    <s v="Perfeccionamiento_y_Legalización"/>
    <n v="834135564.85641408"/>
    <n v="0"/>
    <n v="0"/>
    <n v="0"/>
    <x v="0"/>
    <m/>
    <d v="2024-12-31T00:00:00"/>
    <d v="2024-12-31T00:00:00"/>
    <x v="6"/>
    <x v="0"/>
    <d v="2024-12-31T00:00:00"/>
  </r>
  <r>
    <n v="94"/>
    <s v="ADI"/>
    <s v="N/A"/>
    <x v="5"/>
    <x v="18"/>
    <s v="Parques-VII - Grupo 4 Parque La Gloria"/>
    <s v="Suroccidente"/>
    <s v="LA GLORIA"/>
    <s v="K 6P C 97B "/>
    <s v=" 10°56'56.85&quot;N    74°49'49.76&quot;O"/>
    <n v="-74.830488888888894"/>
    <n v="10.949125"/>
    <s v="Precontractual"/>
    <s v="Perfeccionamiento_y_Legalización"/>
    <n v="315143305.56631988"/>
    <n v="0"/>
    <n v="0"/>
    <n v="0"/>
    <x v="0"/>
    <m/>
    <d v="2024-12-31T00:00:00"/>
    <d v="2024-12-31T00:00:00"/>
    <x v="6"/>
    <x v="0"/>
    <d v="2024-12-31T00:00:00"/>
  </r>
  <r>
    <n v="95"/>
    <s v="ADI"/>
    <s v="N/A"/>
    <x v="5"/>
    <x v="18"/>
    <s v="Parques-VII - Grupo 4 Parque Roble Morado"/>
    <s v="Metropolitana"/>
    <s v="7 DE ABRIL"/>
    <s v="K 8 Sur C 50C"/>
    <s v=" 10°55'33.63&quot;N  74°48'46.29&quot;O"/>
    <n v="-74.812858333333295"/>
    <n v="10.9260083333333"/>
    <s v="Precontractual"/>
    <s v="Perfeccionamiento_y_Legalización"/>
    <n v="364902420.29054445"/>
    <n v="0"/>
    <n v="0"/>
    <n v="0"/>
    <x v="0"/>
    <m/>
    <d v="2024-12-31T00:00:00"/>
    <d v="2024-12-31T00:00:00"/>
    <x v="6"/>
    <x v="0"/>
    <d v="2024-12-31T00:00:00"/>
  </r>
  <r>
    <n v="96"/>
    <s v="ADI"/>
    <s v="N/A"/>
    <x v="5"/>
    <x v="18"/>
    <s v="Parques-VII - Grupo 5 Cancha Villa del Carmen"/>
    <s v="Suroccidente"/>
    <s v="LA ESMERALDA"/>
    <s v="C 73C K 13"/>
    <s v=" 10°57'52.53&quot;N    74°49'5.77&quot;O"/>
    <n v="-74.818269444444397"/>
    <n v="10.964591666666699"/>
    <s v="Precontractual"/>
    <s v="Perfeccionamiento_y_Legalización"/>
    <n v="2915165999.9653788"/>
    <n v="0"/>
    <n v="0"/>
    <n v="0"/>
    <x v="0"/>
    <m/>
    <d v="2024-12-31T00:00:00"/>
    <d v="2024-12-31T00:00:00"/>
    <x v="6"/>
    <x v="0"/>
    <d v="2024-12-31T00:00:00"/>
  </r>
  <r>
    <n v="97"/>
    <s v="ADI"/>
    <s v="N/A"/>
    <x v="5"/>
    <x v="18"/>
    <s v="Parques-VII - Grupo 5 Parque La Pradera"/>
    <s v="Suroccidente"/>
    <s v="LA PRADERA"/>
    <s v="C 114 Y 115 K 31"/>
    <s v=" 10°58'42.92&quot;N    74°50'19.48&quot;O"/>
    <n v="-74.838605446884102"/>
    <n v="10.9784625274572"/>
    <s v="Precontractual"/>
    <s v="Perfeccionamiento_y_Legalización"/>
    <n v="1852325611.6019962"/>
    <n v="0"/>
    <n v="0"/>
    <n v="0"/>
    <x v="0"/>
    <m/>
    <d v="2024-12-31T00:00:00"/>
    <d v="2024-12-31T00:00:00"/>
    <x v="6"/>
    <x v="0"/>
    <d v="2024-12-31T00:00:00"/>
  </r>
  <r>
    <n v="98"/>
    <s v="ADI"/>
    <s v="N/A"/>
    <x v="5"/>
    <x v="18"/>
    <s v="Parques-VII - Grupo 5 Parque Bulevar Caribe Verde Fase 1"/>
    <s v="Suroccidente"/>
    <s v="CARIBE VERDE"/>
    <s v="C 110 K 9G"/>
    <s v=" 10°57'32.87&quot;N    74°51'25.04&quot;O"/>
    <n v="-74.856955555555501"/>
    <n v="10.9591305555556"/>
    <s v="Precontractual"/>
    <s v="Perfeccionamiento_y_Legalización"/>
    <n v="1534852467.7443087"/>
    <n v="0"/>
    <n v="0"/>
    <n v="0"/>
    <x v="0"/>
    <m/>
    <d v="2024-12-31T00:00:00"/>
    <d v="2024-12-31T00:00:00"/>
    <x v="6"/>
    <x v="0"/>
    <d v="2024-12-31T00:00:00"/>
  </r>
  <r>
    <n v="99"/>
    <s v="ADI"/>
    <s v="N/A"/>
    <x v="5"/>
    <x v="18"/>
    <s v="Parques-VII - Grupo 5 Parque Juan Mina"/>
    <s v="Suroccidente"/>
    <s v="JUAN MINA"/>
    <s v="VÍA 11 C 6"/>
    <s v=" 10°57'28.91&quot;N    74°53'30.67&quot;O"/>
    <n v="-74.8918527777778"/>
    <n v="10.958030555555601"/>
    <s v="Precontractual"/>
    <s v="Perfeccionamiento_y_Legalización"/>
    <n v="829944785.5084697"/>
    <n v="0"/>
    <n v="0"/>
    <n v="0"/>
    <x v="0"/>
    <m/>
    <d v="2024-12-31T00:00:00"/>
    <d v="2024-12-31T00:00:00"/>
    <x v="6"/>
    <x v="0"/>
    <d v="2024-12-31T00:00:00"/>
  </r>
  <r>
    <n v="100"/>
    <s v="ADI"/>
    <s v="N/A"/>
    <x v="5"/>
    <x v="18"/>
    <s v="Parques-VII - Grupo 5 Parque Virgencita de los Trupillos"/>
    <s v="Suroriente"/>
    <s v="LOS TRUPILLOS"/>
    <s v="K 21E C 27B"/>
    <s v=" 10°57'33.72&quot;N    74°47'2.74&quot;O"/>
    <n v="-74.784094444444406"/>
    <n v="10.9593666666667"/>
    <s v="Precontractual"/>
    <s v="Perfeccionamiento_y_Legalización"/>
    <n v="687644006.76487613"/>
    <n v="0"/>
    <n v="0"/>
    <n v="0"/>
    <x v="0"/>
    <m/>
    <d v="2024-12-31T00:00:00"/>
    <d v="2024-12-31T00:00:00"/>
    <x v="6"/>
    <x v="0"/>
    <d v="2024-12-31T00:00:00"/>
  </r>
  <r>
    <n v="101"/>
    <s v="ADI"/>
    <s v="N/A"/>
    <x v="5"/>
    <x v="18"/>
    <s v="Parques-VII - Grupo 5 Parque Residual las Americas"/>
    <s v="Metropolitana"/>
    <s v="LAS AMÉRICAS"/>
    <s v="K 4 C54"/>
    <s v=" 74°48'43.24&quot;O  74°48'43.24&quot;O"/>
    <n v="-74.797619444444393"/>
    <n v="10.9938055555556"/>
    <s v="Precontractual"/>
    <s v="Perfeccionamiento_y_Legalización"/>
    <n v="280931503.9779501"/>
    <n v="0"/>
    <n v="0"/>
    <n v="0"/>
    <x v="0"/>
    <m/>
    <d v="2024-12-31T00:00:00"/>
    <d v="2024-12-31T00:00:00"/>
    <x v="6"/>
    <x v="0"/>
    <d v="2024-12-31T00:00:00"/>
  </r>
  <r>
    <n v="102"/>
    <s v="ADI"/>
    <s v="N/A"/>
    <x v="5"/>
    <x v="18"/>
    <s v="Parques-VII - Grupo 5 Parque El Gusanito"/>
    <s v="Suroriente"/>
    <s v="LAS NIEVES"/>
    <s v="K 16A C 27B"/>
    <s v=" 10°57'12.26&quot;N    74°46'59.45&quot;O"/>
    <n v="-74.7831210690304"/>
    <n v="10.9532925311578"/>
    <s v="Precontractual"/>
    <s v="Perfeccionamiento_y_Legalización"/>
    <n v="424084862.71340925"/>
    <n v="0"/>
    <n v="0"/>
    <n v="0"/>
    <x v="0"/>
    <m/>
    <d v="2024-12-31T00:00:00"/>
    <d v="2024-12-31T00:00:00"/>
    <x v="6"/>
    <x v="0"/>
    <d v="2024-12-31T00:00:00"/>
  </r>
  <r>
    <n v="103"/>
    <s v="ADI"/>
    <s v="N/A"/>
    <x v="5"/>
    <x v="18"/>
    <s v="Parques-VII - Grupo 5 Parque Las 5 Estrellas"/>
    <s v="Suroccidente"/>
    <s v="EL RUBÍ"/>
    <s v="C 84B K 37"/>
    <s v=" 10°58'57.53&quot;N  74°49'50.45&quot;O"/>
    <n v="-74.830680555555503"/>
    <n v="10.9826472222222"/>
    <s v="Precontractual"/>
    <s v="Perfeccionamiento_y_Legalización"/>
    <n v="288679132.62018096"/>
    <n v="0"/>
    <n v="0"/>
    <n v="0"/>
    <x v="0"/>
    <m/>
    <d v="2024-12-31T00:00:00"/>
    <d v="2024-12-31T00:00:00"/>
    <x v="6"/>
    <x v="0"/>
    <d v="2024-12-31T00:00:00"/>
  </r>
  <r>
    <n v="104"/>
    <s v="ADI"/>
    <s v="N/A"/>
    <x v="5"/>
    <x v="18"/>
    <s v="Parques-VII - Grupo 6 Parque Siete Bocas"/>
    <s v="Metropolitana"/>
    <s v="SANTO DOMINGO DE GUZMÁN"/>
    <s v="C 62 K 2 Y 2C TRANV. 1C"/>
    <s v="10°56'10.93&quot;N   74°48'57.52&quot;O"/>
    <n v="-74.815977777777803"/>
    <n v="10.9363694444444"/>
    <s v="Precontractual"/>
    <s v="Perfeccionamiento_y_Legalización"/>
    <n v="1855438864.5198522"/>
    <n v="0"/>
    <n v="0"/>
    <n v="0"/>
    <x v="0"/>
    <m/>
    <d v="2024-12-31T00:00:00"/>
    <d v="2024-12-31T00:00:00"/>
    <x v="6"/>
    <x v="0"/>
    <d v="2024-12-31T00:00:00"/>
  </r>
  <r>
    <n v="105"/>
    <s v="ADI"/>
    <s v="N/A"/>
    <x v="5"/>
    <x v="18"/>
    <s v="Parques-VII - Grupo 6 Cancha Las Terrazas - Villa del Rosario"/>
    <s v="Suroccidente"/>
    <s v="EL EDÉN"/>
    <s v="C 83A K 35"/>
    <s v=" 10°58'56.55&quot;N   74°49'36.78&quot;O"/>
    <n v="-74.826883333333299"/>
    <n v="10.982374999999999"/>
    <s v="Precontractual"/>
    <s v="Perfeccionamiento_y_Legalización"/>
    <n v="2150311135.7286506"/>
    <n v="0"/>
    <n v="0"/>
    <n v="0"/>
    <x v="0"/>
    <m/>
    <d v="2024-12-31T00:00:00"/>
    <d v="2024-12-31T00:00:00"/>
    <x v="6"/>
    <x v="0"/>
    <d v="2024-12-31T00:00:00"/>
  </r>
  <r>
    <n v="106"/>
    <s v="ADI"/>
    <s v="N/A"/>
    <x v="5"/>
    <x v="18"/>
    <s v="Parques-VII - Grupo 6 Cancha los Tubos"/>
    <s v="Suroriente"/>
    <s v="CIUDADELA 20 DE JULIO"/>
    <s v="K 1C C41C"/>
    <s v="10°55'49.61&quot;N   74°47'42.80&quot;O"/>
    <n v="-74.795222222222193"/>
    <n v="10.930447222222201"/>
    <s v="Precontractual"/>
    <s v="Perfeccionamiento_y_Legalización"/>
    <n v="1303421269.1883187"/>
    <n v="0"/>
    <n v="0"/>
    <n v="0"/>
    <x v="0"/>
    <m/>
    <d v="2024-12-31T00:00:00"/>
    <d v="2024-12-31T00:00:00"/>
    <x v="6"/>
    <x v="0"/>
    <d v="2024-12-31T00:00:00"/>
  </r>
  <r>
    <n v="107"/>
    <s v="ADI"/>
    <s v="N/A"/>
    <x v="5"/>
    <x v="18"/>
    <s v="Parques-VII - Grupo 6 Cancha el Brasil"/>
    <s v="Metropolitana"/>
    <s v="LA SIERRITA"/>
    <s v="TRANSV. 5C C 55C"/>
    <s v=" 10°56'54.30&quot;N    74°48'45.41&quot;O"/>
    <n v="-74.812613888888905"/>
    <n v="10.9484166666667"/>
    <s v="Precontractual"/>
    <s v="Perfeccionamiento_y_Legalización"/>
    <n v="435426205.71560043"/>
    <n v="0"/>
    <n v="0"/>
    <n v="0"/>
    <x v="0"/>
    <m/>
    <d v="2024-12-31T00:00:00"/>
    <d v="2024-12-31T00:00:00"/>
    <x v="6"/>
    <x v="0"/>
    <d v="2024-12-31T00:00:00"/>
  </r>
  <r>
    <n v="108"/>
    <s v="ADI"/>
    <s v="N/A"/>
    <x v="5"/>
    <x v="18"/>
    <s v="Parques-VII - Grupo 6 Parque La Solución"/>
    <s v="Suroriente"/>
    <s v="LA UNIÓN"/>
    <s v="C 32 K 7D"/>
    <s v=" 10°56'56.36&quot;N     74°47'12.32&quot;O"/>
    <n v="-74.786755555555601"/>
    <n v="10.9489888888889"/>
    <s v="Precontractual"/>
    <s v="Perfeccionamiento_y_Legalización"/>
    <n v="2074588106.7408795"/>
    <n v="0"/>
    <n v="0"/>
    <n v="0"/>
    <x v="0"/>
    <m/>
    <d v="2024-12-31T00:00:00"/>
    <d v="2024-12-31T00:00:00"/>
    <x v="6"/>
    <x v="0"/>
    <d v="2024-12-31T00:00:00"/>
  </r>
  <r>
    <n v="109"/>
    <s v="ADI"/>
    <s v="N/A"/>
    <x v="5"/>
    <x v="18"/>
    <s v="Parques-VII - Grupo 7 Parque La 16"/>
    <s v="Suroriente"/>
    <s v="LA LUZ"/>
    <s v="K 20 C 16"/>
    <s v=" 10°57'27.42&quot;N    74°46'26.23&quot;O"/>
    <n v="-74.773952777777794"/>
    <n v="10.9576166666667"/>
    <s v="Precontractual"/>
    <s v="Perfeccionamiento_y_Legalización"/>
    <n v="954147635.44082379"/>
    <n v="0"/>
    <n v="0"/>
    <n v="0"/>
    <x v="0"/>
    <m/>
    <d v="2024-12-31T00:00:00"/>
    <d v="2024-12-31T00:00:00"/>
    <x v="6"/>
    <x v="0"/>
    <d v="2024-12-31T00:00:00"/>
  </r>
  <r>
    <n v="110"/>
    <s v="ADI"/>
    <s v="N/A"/>
    <x v="5"/>
    <x v="18"/>
    <s v="Parques-VII - Grupo 7 Cancha La Monumental De Happy"/>
    <s v="Metropolitana"/>
    <s v="7 DE ABRIL"/>
    <s v="CALLE 78 CON CARRERA 9SUR"/>
    <s v=" 10°55'42.24&quot;N    74°49'15.20&quot;O"/>
    <n v="-74.820888888888902"/>
    <n v="10.9284"/>
    <s v="Precontractual"/>
    <s v="Perfeccionamiento_y_Legalización"/>
    <n v="1003954131.6572834"/>
    <n v="0"/>
    <n v="0"/>
    <n v="0"/>
    <x v="0"/>
    <m/>
    <d v="2024-12-31T00:00:00"/>
    <d v="2024-12-31T00:00:00"/>
    <x v="6"/>
    <x v="0"/>
    <d v="2024-12-31T00:00:00"/>
  </r>
  <r>
    <n v="111"/>
    <s v="ADI"/>
    <s v="N/A"/>
    <x v="5"/>
    <x v="18"/>
    <s v="Parques-VII - Grupo 7 Parque San Felipe"/>
    <s v="Suroccidente"/>
    <s v="SAN FELIPE"/>
    <s v="C 70C K 24B"/>
    <s v=" 10°58'25.54&quot;N    74°48'36.67&quot;O"/>
    <m/>
    <m/>
    <s v="Precontractual"/>
    <s v="Perfeccionamiento_y_Legalización"/>
    <n v="793364145.06419134"/>
    <n v="0"/>
    <n v="0"/>
    <n v="0"/>
    <x v="0"/>
    <m/>
    <d v="2024-12-31T00:00:00"/>
    <d v="2024-12-31T00:00:00"/>
    <x v="6"/>
    <x v="0"/>
    <d v="2024-12-31T00:00:00"/>
  </r>
  <r>
    <n v="112"/>
    <s v="ADI"/>
    <s v="N/A"/>
    <x v="5"/>
    <x v="18"/>
    <s v="Parques-VII - Grupo 7 Cancha de Minifutbol 7 de Abril"/>
    <s v="Metropolitana"/>
    <s v="7 DE ABRIL"/>
    <s v=" K 15 SUR 73 20"/>
    <s v=" 10°55'28.58&quot;N    74°49'9.95&quot;O"/>
    <n v="-74.819430555555599"/>
    <n v="10.924605555555599"/>
    <s v="Precontractual"/>
    <s v="Perfeccionamiento_y_Legalización"/>
    <n v="885698702.8129307"/>
    <n v="0"/>
    <n v="0"/>
    <n v="0"/>
    <x v="0"/>
    <m/>
    <d v="2024-12-31T00:00:00"/>
    <d v="2024-12-31T00:00:00"/>
    <x v="6"/>
    <x v="0"/>
    <d v="2024-12-31T00:00:00"/>
  </r>
  <r>
    <n v="113"/>
    <s v="ADI"/>
    <s v="N/A"/>
    <x v="5"/>
    <x v="18"/>
    <s v="Parques-VII - Grupo 7 Parque Los Trupillos 2"/>
    <s v="Suroriente"/>
    <s v="LOS TRUPILLOS"/>
    <s v="K 21E C 27B"/>
    <s v=" 10°57'37.10&quot;N    74°46'58.54&quot;O"/>
    <m/>
    <m/>
    <s v="Precontractual"/>
    <s v="Perfeccionamiento_y_Legalización"/>
    <n v="2092110241.6097786"/>
    <n v="0"/>
    <n v="0"/>
    <n v="0"/>
    <x v="0"/>
    <m/>
    <d v="2024-12-31T00:00:00"/>
    <d v="2024-12-31T00:00:00"/>
    <x v="6"/>
    <x v="0"/>
    <d v="2024-12-31T00:00:00"/>
  </r>
  <r>
    <n v="114"/>
    <s v="ADI"/>
    <s v="N/A"/>
    <x v="5"/>
    <x v="18"/>
    <s v="Parques-VII - Grupo 7 Parque Las Nieves II"/>
    <s v="Suroriente"/>
    <s v="LAS NIEVES"/>
    <s v="K15 C24"/>
    <s v=" 10°57'9.17&quot;N    74°46'43.48&quot;O"/>
    <m/>
    <m/>
    <s v="Precontractual"/>
    <s v="Perfeccionamiento_y_Legalización"/>
    <n v="1640605123.3422449"/>
    <n v="0"/>
    <n v="0"/>
    <n v="0"/>
    <x v="0"/>
    <m/>
    <d v="2024-12-31T00:00:00"/>
    <d v="2024-12-31T00:00:00"/>
    <x v="6"/>
    <x v="0"/>
    <d v="2024-12-31T00:00:00"/>
  </r>
  <r>
    <n v="115"/>
    <s v="ADI"/>
    <s v="N/A"/>
    <x v="5"/>
    <x v="18"/>
    <s v="Parques-VII - Grupo 7 Parque Villa Campito"/>
    <s v="Suroriente"/>
    <s v="EL CAMPITO"/>
    <s v="K10 C 36B"/>
    <s v=" 10°57'1.59&quot;N    74°47'30.41&quot;O"/>
    <n v="-74.791780555555505"/>
    <n v="10.9504416666667"/>
    <s v="Precontractual"/>
    <s v="Perfeccionamiento_y_Legalización"/>
    <n v="485739404.40108514"/>
    <n v="0"/>
    <n v="0"/>
    <n v="0"/>
    <x v="0"/>
    <m/>
    <d v="2024-12-31T00:00:00"/>
    <d v="2024-12-31T00:00:00"/>
    <x v="6"/>
    <x v="0"/>
    <d v="2024-12-31T00:00:00"/>
  </r>
  <r>
    <n v="116"/>
    <s v="Siembra+"/>
    <s v="N/A"/>
    <x v="0"/>
    <x v="19"/>
    <s v="Huertas Comunitarias - Juan Mina"/>
    <s v="Varias"/>
    <s v="Juan Mina"/>
    <m/>
    <s v="10°57'20.1&quot;N 74°53'16.7&quot;W"/>
    <m/>
    <m/>
    <s v="Contractual"/>
    <s v="En_Ejecución"/>
    <n v="1190916375"/>
    <n v="0.5"/>
    <n v="0.152"/>
    <n v="-0.34799999999999998"/>
    <x v="2"/>
    <d v="2023-12-07T00:00:00"/>
    <d v="2023-12-31T00:00:00"/>
    <d v="2024-05-24T00:00:00"/>
    <x v="7"/>
    <x v="2"/>
    <d v="2024-09-19T00:00:00"/>
  </r>
  <r>
    <n v="117"/>
    <s v="Siembra+"/>
    <s v="N/A"/>
    <x v="0"/>
    <x v="19"/>
    <s v="Huertas Comunitarias - La Paz"/>
    <s v="Varias"/>
    <s v="La Paz"/>
    <m/>
    <s v="10°57'40.8&quot;N 74°50'03.2&quot;W"/>
    <n v="-74.834222222222195"/>
    <n v="10.9613333333333"/>
    <s v="Contractual"/>
    <s v="En_Ejecución"/>
    <n v="1390916375"/>
    <n v="0.5"/>
    <n v="0.152"/>
    <n v="-0.34799999999999998"/>
    <x v="2"/>
    <d v="2023-12-07T00:00:00"/>
    <d v="2023-12-31T00:00:00"/>
    <d v="2024-05-24T00:00:00"/>
    <x v="7"/>
    <x v="2"/>
    <d v="2024-06-27T00:00:00"/>
  </r>
  <r>
    <n v="118"/>
    <s v="Siembra+"/>
    <s v="N/A"/>
    <x v="0"/>
    <x v="19"/>
    <s v="Huertas Comunitarias - Las Gardenias"/>
    <s v="Varias"/>
    <s v="Gardenias"/>
    <m/>
    <s v="10°56'08.7&quot;N 74°49'41.5&quot;W"/>
    <n v="-74.828194444444406"/>
    <n v="10.935750000000001"/>
    <s v="Contractual"/>
    <s v="En_Ejecución"/>
    <n v="1521916375"/>
    <n v="0.5"/>
    <n v="0.152"/>
    <n v="-0.34799999999999998"/>
    <x v="2"/>
    <d v="2023-12-07T00:00:00"/>
    <d v="2023-12-31T00:00:00"/>
    <d v="2024-05-24T00:00:00"/>
    <x v="7"/>
    <x v="2"/>
    <d v="2024-05-24T00:00:00"/>
  </r>
  <r>
    <n v="119"/>
    <s v="Siembra+"/>
    <s v="N/A"/>
    <x v="11"/>
    <x v="19"/>
    <s v="Huertas Comunitarias - Lipaya"/>
    <s v="Varias"/>
    <s v="Lipaya"/>
    <m/>
    <s v="10°57'39.1&quot;N 74°49'16.0&quot;W"/>
    <n v="-74.821111111111094"/>
    <n v="10.9608611111111"/>
    <s v="Contractual"/>
    <s v="En_Ejecución"/>
    <n v="959916375"/>
    <n v="0.5"/>
    <n v="0.152"/>
    <n v="-0.34799999999999998"/>
    <x v="2"/>
    <d v="2023-12-07T00:00:00"/>
    <d v="2023-12-31T00:00:00"/>
    <d v="2024-05-24T00:00:00"/>
    <x v="7"/>
    <x v="2"/>
    <d v="2024-09-26T00:00:00"/>
  </r>
  <r>
    <n v="120"/>
    <s v="PDO"/>
    <s v="N/A"/>
    <x v="3"/>
    <x v="5"/>
    <s v="Parque Tématico Mallorquín"/>
    <s v="Riomar"/>
    <s v="Corregimiento La Playa, Las Flores"/>
    <m/>
    <s v="11°1'49.70&quot;N 74°51'16.60&quot;W"/>
    <n v="-74.854611111111097"/>
    <n v="11.030472222222199"/>
    <s v="Formulación"/>
    <s v="Proyecto_Fase_I_Prefactibilidad"/>
    <n v="0"/>
    <n v="0"/>
    <n v="0"/>
    <n v="0"/>
    <x v="0"/>
    <m/>
    <m/>
    <m/>
    <x v="8"/>
    <x v="0"/>
    <m/>
  </r>
  <r>
    <n v="121"/>
    <s v="PDO"/>
    <s v="N/A"/>
    <x v="5"/>
    <x v="10"/>
    <s v="Centro Comercial Estadio Metropolitano"/>
    <s v="Metropolitana"/>
    <s v="Ciudadela 20 de Julio"/>
    <m/>
    <s v="10°55'36.9&quot;N 74°48'07.9&quot;W"/>
    <m/>
    <m/>
    <s v="Formulación"/>
    <s v="Proyecto_Fase_I_Prefactibilidad"/>
    <n v="0"/>
    <n v="0"/>
    <n v="0"/>
    <n v="0"/>
    <x v="0"/>
    <m/>
    <m/>
    <m/>
    <x v="8"/>
    <x v="0"/>
    <m/>
  </r>
  <r>
    <n v="122"/>
    <s v="PDO"/>
    <s v="NA"/>
    <x v="2"/>
    <x v="4"/>
    <s v="Movistar Arena"/>
    <s v="Todas"/>
    <s v="Toda la Ciudad"/>
    <m/>
    <m/>
    <m/>
    <m/>
    <s v="Formulación"/>
    <s v="Proyecto_Fase_I_Prefactibilidad"/>
    <n v="0"/>
    <n v="0"/>
    <n v="0"/>
    <n v="0"/>
    <x v="0"/>
    <m/>
    <m/>
    <m/>
    <x v="8"/>
    <x v="0"/>
    <m/>
  </r>
  <r>
    <n v="123"/>
    <s v="PDO"/>
    <s v="NA"/>
    <x v="3"/>
    <x v="20"/>
    <s v="Noria - Gran Malecón"/>
    <s v="Norte_Centro_Histórico"/>
    <s v="Industrial Via 40"/>
    <m/>
    <s v="11°00'54.3&quot;N 74°47'17.6&quot;W"/>
    <n v="-74.788222222222203"/>
    <n v="11.015083333333299"/>
    <s v="Contractual"/>
    <s v="Suspendido"/>
    <n v="0"/>
    <n v="0"/>
    <n v="0"/>
    <n v="0"/>
    <x v="0"/>
    <m/>
    <m/>
    <m/>
    <x v="5"/>
    <x v="0"/>
    <m/>
  </r>
  <r>
    <n v="124"/>
    <s v="PDO"/>
    <s v="NA"/>
    <x v="6"/>
    <x v="21"/>
    <s v="Puerto de Aguas Profundas"/>
    <s v="Todas"/>
    <s v="Toda la Ciudad"/>
    <m/>
    <s v="11°04'21.4&quot;N 74°51'55.4&quot;W"/>
    <m/>
    <m/>
    <s v="Formulación"/>
    <s v="Proyecto_Fase_I_Prefactibilidad"/>
    <n v="0"/>
    <n v="0"/>
    <n v="0"/>
    <n v="0"/>
    <x v="0"/>
    <m/>
    <m/>
    <m/>
    <x v="8"/>
    <x v="0"/>
    <m/>
  </r>
  <r>
    <n v="125"/>
    <s v="PDO"/>
    <s v="CD-06-2021-4220"/>
    <x v="0"/>
    <x v="21"/>
    <s v="Riesgos POT"/>
    <s v="Todas"/>
    <s v="Toda la Ciudad"/>
    <m/>
    <m/>
    <m/>
    <m/>
    <s v="Contractual"/>
    <s v="En_Ejecución"/>
    <n v="3555126190"/>
    <n v="1"/>
    <n v="0.53"/>
    <n v="-0.47"/>
    <x v="2"/>
    <d v="2021-11-29T00:00:00"/>
    <d v="2021-12-31T00:00:00"/>
    <d v="2024-04-30T00:00:00"/>
    <x v="9"/>
    <x v="2"/>
    <d v="2024-04-30T00:00:00"/>
  </r>
  <r>
    <n v="126"/>
    <s v="PDO"/>
    <s v="CD-12-2023-1252"/>
    <x v="3"/>
    <x v="5"/>
    <s v="Ecoparque Mallorquin-1252 - UF-4 Distrito Aventura"/>
    <s v="Riomar"/>
    <s v="Corregimiento La Playa, Las Flores"/>
    <m/>
    <s v="11°1'49.70&quot;N 74°51'16.60&quot;W"/>
    <n v="-74.854611111111097"/>
    <n v="11.030472222222199"/>
    <s v="Contractual"/>
    <s v="En_Ejecución"/>
    <n v="1381702000"/>
    <n v="0.8"/>
    <n v="0.88"/>
    <n v="7.999999999999996E-2"/>
    <x v="0"/>
    <d v="2023-05-11T00:00:00"/>
    <d v="2023-12-31T00:00:00"/>
    <d v="2024-08-20T00:00:00"/>
    <x v="0"/>
    <x v="0"/>
    <d v="2024-08-02T00:00:00"/>
  </r>
  <r>
    <n v="127"/>
    <s v="PDO"/>
    <s v="CD-12-2022-1444"/>
    <x v="0"/>
    <x v="8"/>
    <s v="Recuperación Caños - Ahuyama y Mercado [Estudios y Diseños] (AECID)"/>
    <s v="Suroriente"/>
    <s v="La Luz, La Chinita y Rebolo"/>
    <m/>
    <s v="10°57'04.6&quot;N 74°45'32.1&quot;W"/>
    <m/>
    <m/>
    <s v="Contractual"/>
    <s v="En_Ejecución"/>
    <n v="1568337767"/>
    <n v="0.8"/>
    <n v="0.75"/>
    <n v="-5.0000000000000044E-2"/>
    <x v="1"/>
    <d v="2023-05-10T00:00:00"/>
    <d v="2023-12-31T00:00:00"/>
    <d v="2024-06-14T00:00:00"/>
    <x v="7"/>
    <x v="0"/>
    <d v="2024-05-31T00:00:00"/>
  </r>
  <r>
    <n v="128"/>
    <s v="PDO"/>
    <s v="GRT/BB-18616-CO"/>
    <x v="3"/>
    <x v="5"/>
    <s v="Plan de Recuperación Ambiental Cienaga de Mallorquin"/>
    <s v="Riomar"/>
    <s v="Corregimiento La Playa, Las Flores"/>
    <m/>
    <s v="11°1'49.70&quot;N 74°51'16.60&quot;W"/>
    <n v="-74.854611111111097"/>
    <n v="11.030472222222199"/>
    <s v="Formulación"/>
    <s v="Proyecto_Fase_III_Diseños_definitivos_y_detalles"/>
    <n v="5793000000"/>
    <n v="0.51100000000000001"/>
    <n v="0.49669999999999997"/>
    <n v="-1.4300000000000035E-2"/>
    <x v="0"/>
    <d v="2022-04-01T00:00:00"/>
    <d v="2025-04-30T00:00:00"/>
    <d v="2025-04-30T00:00:00"/>
    <x v="10"/>
    <x v="0"/>
    <d v="2025-04-30T00:00:00"/>
  </r>
  <r>
    <n v="129"/>
    <s v="PDO"/>
    <s v="AFD-CCO 1087 01 S"/>
    <x v="3"/>
    <x v="5"/>
    <s v="Ecoparque Mallorquin-1087 - UF 3 - Tierra (Antiguo Botadero)"/>
    <s v="Riomar"/>
    <s v="Corregimiento La Playa, Las Flores"/>
    <m/>
    <s v="11°02'21.8&quot;N 74°49'56.6&quot;W"/>
    <m/>
    <m/>
    <s v="Contractual"/>
    <s v="En_Ejecución"/>
    <n v="829484000"/>
    <n v="0.85"/>
    <n v="0.85"/>
    <n v="0"/>
    <x v="0"/>
    <d v="2023-01-27T00:00:00"/>
    <d v="2023-12-31T00:00:00"/>
    <d v="2025-03-31T00:00:00"/>
    <x v="0"/>
    <x v="0"/>
    <d v="2024-03-31T00:00:00"/>
  </r>
  <r>
    <n v="130"/>
    <s v="PDO"/>
    <s v="NA"/>
    <x v="0"/>
    <x v="21"/>
    <s v="Hyper Scale Data Center"/>
    <s v="Norte_Centro_Histórico"/>
    <s v="La Bendición de Dios"/>
    <m/>
    <s v="10°59'27.9&quot;N 74°46'04.9&quot;W"/>
    <n v="-74.768027777777803"/>
    <n v="10.9910833333333"/>
    <s v="Formulación"/>
    <s v="Proyecto_Fase_I_Prefactibilidad"/>
    <n v="0"/>
    <n v="0"/>
    <n v="0"/>
    <n v="0"/>
    <x v="0"/>
    <m/>
    <m/>
    <m/>
    <x v="8"/>
    <x v="0"/>
    <m/>
  </r>
  <r>
    <n v="131"/>
    <s v="K-yena"/>
    <s v="CD-01-2021-4482"/>
    <x v="11"/>
    <x v="22"/>
    <s v="INST. EDUC. DIST. TEC. COOPERATIVO JESUS MISERICORDIOSO #1"/>
    <s v="Metropolitana"/>
    <s v="20 de Julio"/>
    <s v="Cra 4 Sur # 99C-46"/>
    <s v="10.9334816431561, -74.83244896463155"/>
    <s v="-74,83244896463150"/>
    <n v="10.933481643156099"/>
    <s v="Contractual"/>
    <s v="En_Ejecución"/>
    <n v="0"/>
    <n v="0.36"/>
    <n v="0.15"/>
    <n v="-0.21"/>
    <x v="2"/>
    <m/>
    <m/>
    <d v="2024-06-24T00:00:00"/>
    <x v="1"/>
    <x v="0"/>
    <d v="2024-06-24T00:00:00"/>
  </r>
  <r>
    <n v="132"/>
    <s v="K-yena"/>
    <s v="CD-01-2021-4482"/>
    <x v="11"/>
    <x v="22"/>
    <s v="P.A.S.O. Santo Domingo"/>
    <s v="Metropolitana"/>
    <s v="Santo Domingo"/>
    <s v="Calle 53 N° 3A-22"/>
    <s v="10.939860501919224, -74.81255286126724"/>
    <n v="-74.812552861267207"/>
    <n v="10.939860501919201"/>
    <s v="Contractual"/>
    <s v="En_Ejecución"/>
    <n v="0"/>
    <n v="0.42"/>
    <n v="0.36"/>
    <n v="-0.06"/>
    <x v="1"/>
    <m/>
    <m/>
    <d v="2024-06-24T00:00:00"/>
    <x v="1"/>
    <x v="0"/>
    <d v="2024-06-24T00:00:00"/>
  </r>
  <r>
    <n v="133"/>
    <s v="K-yena"/>
    <s v="CD-01-2021-4482"/>
    <x v="11"/>
    <x v="22"/>
    <s v="P.A.S.O. NUEVA ERA"/>
    <s v="Suroccidente"/>
    <s v="Mequejo"/>
    <s v="Cra 27 N° 83- 116"/>
    <s v="10.978453036416187, -74.82673293612875"/>
    <n v="-74.826732936128707"/>
    <n v="10.9784530364161"/>
    <s v="Contractual"/>
    <s v="En_Ejecución"/>
    <n v="0"/>
    <n v="0.57999999999999996"/>
    <n v="0.24"/>
    <n v="-0.33999999999999997"/>
    <x v="2"/>
    <m/>
    <m/>
    <d v="2024-06-20T00:00:00"/>
    <x v="1"/>
    <x v="0"/>
    <d v="2024-06-20T00:00:00"/>
  </r>
  <r>
    <n v="134"/>
    <s v="K-yena"/>
    <s v="CD-01-2021-4482"/>
    <x v="11"/>
    <x v="22"/>
    <s v="P.A.S.O. Juan Mina"/>
    <s v="Suroccidente"/>
    <s v="Juan Mina"/>
    <s v="Calle 7 # 6-33"/>
    <s v="10.955728020845568, -74.89336498243144"/>
    <n v="-74.893364982431393"/>
    <n v="10.9557280208455"/>
    <s v="Contractual"/>
    <s v="En_Ejecución"/>
    <n v="0"/>
    <n v="0.42"/>
    <n v="0.24"/>
    <n v="-0.18"/>
    <x v="2"/>
    <m/>
    <m/>
    <d v="2024-07-04T00:00:00"/>
    <x v="1"/>
    <x v="0"/>
    <d v="2024-07-04T00:00:00"/>
  </r>
  <r>
    <n v="135"/>
    <s v="K-yena"/>
    <s v="CD-01-2021-4482"/>
    <x v="11"/>
    <x v="22"/>
    <s v="P.A.S.O. Las Malvinas"/>
    <s v="Suroccidente"/>
    <s v="Las Malvinas"/>
    <s v="Calle 99 C N° 9 C- 33"/>
    <s v="10.956414398616017, -74.83221965113819"/>
    <n v="-74.832219651138104"/>
    <n v="10.956414398615999"/>
    <s v="Contractual"/>
    <s v="En_Ejecución"/>
    <n v="0"/>
    <n v="0.3"/>
    <n v="0.12"/>
    <n v="-0.18"/>
    <x v="2"/>
    <m/>
    <m/>
    <d v="2024-06-24T00:00:00"/>
    <x v="1"/>
    <x v="0"/>
    <d v="2024-06-24T00:00:00"/>
  </r>
  <r>
    <n v="136"/>
    <s v="K-yena"/>
    <s v="CD-01-2021-4482"/>
    <x v="11"/>
    <x v="22"/>
    <s v="P.A.S.O. Rosour"/>
    <s v="Suroccidente"/>
    <s v="Los Rosales"/>
    <s v="Calle 98 N° 9G-10"/>
    <s v="10.958521019951935, -74.82793706311577"/>
    <n v="-74.827937063115698"/>
    <n v="10.958521019951901"/>
    <s v="Contractual"/>
    <s v="En_Ejecución"/>
    <n v="0"/>
    <n v="0.36"/>
    <n v="0.24"/>
    <n v="-0.12"/>
    <x v="2"/>
    <m/>
    <m/>
    <d v="2024-07-02T00:00:00"/>
    <x v="1"/>
    <x v="0"/>
    <d v="2024-07-02T00:00:00"/>
  </r>
  <r>
    <n v="137"/>
    <s v="K-yena"/>
    <s v="CD-01-2021-4482"/>
    <x v="11"/>
    <x v="22"/>
    <s v="P.A.S.O. La Villa"/>
    <s v="Suroccidente"/>
    <s v="El Romance"/>
    <s v="Cra 9G # 97A - 18"/>
    <s v="10.948412293937245, -74.8266061066548"/>
    <n v="-74.826606106654793"/>
    <n v="10.948412293937199"/>
    <s v="Contractual"/>
    <s v="En_Ejecución"/>
    <n v="0"/>
    <n v="0.3"/>
    <n v="0.09"/>
    <n v="-0.21"/>
    <x v="2"/>
    <m/>
    <m/>
    <d v="2024-07-04T00:00:00"/>
    <x v="1"/>
    <x v="0"/>
    <d v="2024-07-04T00:00:00"/>
  </r>
  <r>
    <n v="138"/>
    <s v="K-yena"/>
    <s v="CD-01-2021-4482"/>
    <x v="11"/>
    <x v="22"/>
    <s v="P.A.S.O. Julio Montes"/>
    <s v="Suroriente"/>
    <s v="Montes"/>
    <s v="Carrera 23 # 27-16"/>
    <s v="10.961944416128413, -74.78131354777346"/>
    <n v="-74.781313547773394"/>
    <n v="10.9619444161284"/>
    <s v="Contractual"/>
    <s v="En_Ejecución"/>
    <n v="0"/>
    <n v="0.3"/>
    <n v="0.24"/>
    <n v="-0.06"/>
    <x v="1"/>
    <m/>
    <m/>
    <d v="2024-06-29T00:00:00"/>
    <x v="1"/>
    <x v="0"/>
    <d v="2024-06-29T00:00:00"/>
  </r>
  <r>
    <n v="139"/>
    <s v="K-yena"/>
    <s v="CD-01-2021-4482"/>
    <x v="11"/>
    <x v="22"/>
    <s v="IED DEL BARRIO SIMON BOLIVAR"/>
    <s v="Suroriente"/>
    <s v="La Magdalena"/>
    <s v="Cra. 7d #17 - 89"/>
    <s v="10.947717971490668, -74.77341391519154"/>
    <n v="-74.773413915191497"/>
    <n v="10.947717971490601"/>
    <s v="Contractual"/>
    <s v="En_Ejecución"/>
    <n v="0"/>
    <n v="0.79"/>
    <n v="0.79"/>
    <n v="0"/>
    <x v="0"/>
    <m/>
    <m/>
    <d v="2024-05-21T00:00:00"/>
    <x v="0"/>
    <x v="0"/>
    <d v="2024-05-21T00:00:00"/>
  </r>
  <r>
    <n v="140"/>
    <s v="K-yena"/>
    <s v="CD-01-2021-4482"/>
    <x v="11"/>
    <x v="22"/>
    <s v="IED DE FORMACIÓN INTEGRAL"/>
    <s v="Suroriente"/>
    <s v="Simón Bolívar"/>
    <s v="Cl. 24b #4-02"/>
    <s v="10.941927569135876, -74.77987237660943"/>
    <n v="-74.779872376609404"/>
    <n v="10.9419275691358"/>
    <s v="Contractual"/>
    <s v="En_Ejecución"/>
    <n v="0"/>
    <n v="0.79"/>
    <n v="0.79"/>
    <n v="0"/>
    <x v="0"/>
    <m/>
    <m/>
    <d v="2024-05-21T00:00:00"/>
    <x v="0"/>
    <x v="0"/>
    <d v="2024-05-21T00:00:00"/>
  </r>
  <r>
    <n v="141"/>
    <s v="K-yena"/>
    <s v="CD-01-2021-4482"/>
    <x v="11"/>
    <x v="22"/>
    <s v="IED INMACULADA CONCEPCIÓN (ANT. CEB #005)"/>
    <s v="Metropolitana"/>
    <s v="Santo Domingo de Guzmán"/>
    <s v="Tv. 1f # 88 - 60"/>
    <s v="10.94356042767121, -74.82146137845824"/>
    <n v="-74.821461378458196"/>
    <n v="10.9435604276712"/>
    <s v="Contractual"/>
    <s v="En_Ejecución"/>
    <n v="0"/>
    <n v="0.79"/>
    <n v="0.79"/>
    <n v="0"/>
    <x v="0"/>
    <m/>
    <m/>
    <d v="2024-05-21T00:00:00"/>
    <x v="0"/>
    <x v="0"/>
    <d v="2024-05-21T00:00:00"/>
  </r>
  <r>
    <n v="142"/>
    <s v="K-yena"/>
    <s v="CD-01-2021-4482"/>
    <x v="11"/>
    <x v="22"/>
    <s v="IED DE LAS NIEVES 1"/>
    <s v="Suroriente"/>
    <s v="Las Nieves"/>
    <s v="Cra 15 # 21 - 15"/>
    <s v="10.953778506943493, -74.7774105137422"/>
    <n v="-74.777410513742197"/>
    <n v="10.953778506943401"/>
    <s v="Contractual"/>
    <s v="En_Ejecución"/>
    <n v="0"/>
    <n v="0.79"/>
    <n v="0.79"/>
    <n v="0"/>
    <x v="0"/>
    <m/>
    <m/>
    <d v="2024-05-21T00:00:00"/>
    <x v="0"/>
    <x v="0"/>
    <d v="2024-05-21T00:00:00"/>
  </r>
  <r>
    <n v="143"/>
    <s v="K-yena"/>
    <s v="CD-01-2021-4482"/>
    <x v="11"/>
    <x v="22"/>
    <s v="COLEGIO DISTRITAL JOSE EUSEBIO CARO NIC1 "/>
    <s v="Suroccidente"/>
    <s v="Alfonso López"/>
    <s v="Cra 33 # 45 - 71"/>
    <s v="10.975237106447299, -74.78901314962215"/>
    <n v="-74.789013149622093"/>
    <n v="10.975237106447199"/>
    <s v="Contractual"/>
    <s v="En_Ejecución"/>
    <n v="0"/>
    <n v="1"/>
    <n v="0.21"/>
    <n v="-0.79"/>
    <x v="2"/>
    <m/>
    <m/>
    <d v="2024-05-21T00:00:00"/>
    <x v="7"/>
    <x v="2"/>
    <s v="En reprogramación "/>
  </r>
  <r>
    <n v="144"/>
    <s v="K-yena"/>
    <s v="CD-01-2021-4482"/>
    <x v="11"/>
    <x v="22"/>
    <s v="COLEGIO DISTRITAL SANTO DOMINGO DE GUZMAN CEB # 027"/>
    <s v="Metropolitana"/>
    <s v="Santo Domingo de Guzmán"/>
    <s v="Cra. 2 #78-36"/>
    <s v="10.936611702741422, -74.81981920544513"/>
    <n v="-74.8198192054451"/>
    <n v="10.9366117027414"/>
    <s v="Contractual"/>
    <s v="En_Ejecución"/>
    <n v="0"/>
    <n v="0.79"/>
    <n v="0.79"/>
    <n v="0"/>
    <x v="0"/>
    <m/>
    <m/>
    <d v="2024-05-21T00:00:00"/>
    <x v="0"/>
    <x v="0"/>
    <d v="2024-05-21T00:00:00"/>
  </r>
  <r>
    <n v="145"/>
    <s v="K-yena"/>
    <s v="CD-01-2021-4482"/>
    <x v="11"/>
    <x v="22"/>
    <s v="BOMBEROS TECNOGLASS"/>
    <s v="Riomar"/>
    <s v="Riomar_x000a_"/>
    <s v="Cl. 110 #53-1670"/>
    <s v="11.034847435782128, -74.83047619431485"/>
    <n v="-74.830476194314798"/>
    <n v="11.034847435782099"/>
    <s v="Contractual"/>
    <s v="En_Ejecución"/>
    <n v="0"/>
    <n v="1"/>
    <n v="0.18"/>
    <n v="-0.82000000000000006"/>
    <x v="2"/>
    <m/>
    <m/>
    <d v="2024-05-21T00:00:00"/>
    <x v="7"/>
    <x v="2"/>
    <s v="Pendiente por  reforzamiento "/>
  </r>
  <r>
    <n v="146"/>
    <s v="K-yena"/>
    <s v="CD-01-2021-4482"/>
    <x v="11"/>
    <x v="22"/>
    <s v="BOMBEROS EL EDEN"/>
    <s v="Suroccidente"/>
    <s v="El Edén"/>
    <s v="Calle 83B con 27"/>
    <s v="10.979445103142487, -74.82665999010207"/>
    <n v="-74.826659990102002"/>
    <n v="10.9794451031424"/>
    <s v="Contractual"/>
    <s v="En_Ejecución"/>
    <n v="0"/>
    <n v="0.79"/>
    <n v="0.79"/>
    <n v="0"/>
    <x v="0"/>
    <m/>
    <m/>
    <d v="2024-05-21T00:00:00"/>
    <x v="0"/>
    <x v="0"/>
    <d v="2024-05-21T00:00:00"/>
  </r>
  <r>
    <n v="147"/>
    <s v="K-yena"/>
    <s v="CD-01-2021-4482"/>
    <x v="11"/>
    <x v="22"/>
    <s v="CASA LUDICA LA PAZ"/>
    <s v="Suroccidente"/>
    <s v="La Paz"/>
    <s v="Cl. 104 #14-70"/>
    <s v="10.967760779440802, -74.83190866311567"/>
    <n v="-74.831908663115598"/>
    <n v="10.9677607794408"/>
    <s v="Contractual"/>
    <s v="En_Ejecución"/>
    <n v="0"/>
    <n v="1"/>
    <n v="0.18"/>
    <n v="-0.82000000000000006"/>
    <x v="2"/>
    <m/>
    <m/>
    <d v="2024-05-21T00:00:00"/>
    <x v="7"/>
    <x v="2"/>
    <s v="Pendiente por  reforzamiento "/>
  </r>
  <r>
    <n v="148"/>
    <s v="K-yena"/>
    <s v="CD-01-2021-4482"/>
    <x v="11"/>
    <x v="23"/>
    <s v="SUB PROYECTO EFICIENCIA : ESCUELA NORMAL SUPERIOR DES DISTRITO"/>
    <s v="Norte_Centro_Histórico"/>
    <s v="Centro"/>
    <s v="Calle 47 # 44 - 100"/>
    <s v="10.985870598093532, -74.78623473427974"/>
    <n v="-74.786234734279702"/>
    <n v="10.9858705980935"/>
    <s v="Contractual"/>
    <s v="En_Ejecución"/>
    <n v="0"/>
    <n v="1"/>
    <n v="0.97"/>
    <n v="-3.0000000000000027E-2"/>
    <x v="0"/>
    <m/>
    <m/>
    <d v="2024-04-30T00:00:00"/>
    <x v="0"/>
    <x v="0"/>
    <d v="2024-04-30T00:00:00"/>
  </r>
  <r>
    <n v="149"/>
    <s v="K-yena"/>
    <s v="N/A"/>
    <x v="11"/>
    <x v="24"/>
    <s v="PARQUE SOLAR FOTOVOLTAICO "/>
    <s v="Suroccidente"/>
    <s v="Juan Mina "/>
    <s v="EL REPOSO LT 1"/>
    <s v="10.954943402736093, -74.88635338709783"/>
    <n v="-74.886353387097799"/>
    <n v="10.954943402735999"/>
    <s v="Contractual"/>
    <s v="En_Ejecución"/>
    <n v="0"/>
    <n v="0.42"/>
    <n v="0.22"/>
    <n v="-0.19999999999999998"/>
    <x v="2"/>
    <m/>
    <m/>
    <d v="2024-10-31T00:00:00"/>
    <x v="1"/>
    <x v="0"/>
    <d v="2024-10-3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8">
  <r>
    <x v="0"/>
    <x v="0"/>
    <x v="0"/>
    <s v="Fortalecimiento del servicio público de seguridad y convivencia ciudadana con: Más cobertura, más efectividad, más calidad "/>
  </r>
  <r>
    <x v="0"/>
    <x v="0"/>
    <x v="0"/>
    <s v="Fortalecimiento de la Convivencia Ciudadana: una apuesta de todos"/>
  </r>
  <r>
    <x v="0"/>
    <x v="0"/>
    <x v="0"/>
    <s v="Apoyo a las Barras Populares del Distrito de Barranquilla"/>
  </r>
  <r>
    <x v="0"/>
    <x v="0"/>
    <x v="0"/>
    <s v="Asistencia para la Atención integral a la población de internos (as) en el distrito de Barranquilla"/>
  </r>
  <r>
    <x v="0"/>
    <x v="0"/>
    <x v="0"/>
    <s v="Fortalecimiento para la atención de familias con factores de riesgo de violencia intrafamiliar y convivencia ciudadana a través de Comisarias de familia e Inspecciones de policía"/>
  </r>
  <r>
    <x v="0"/>
    <x v="0"/>
    <x v="0"/>
    <s v="Mantenimiento de la capacidad operativa del cuerpo de Bomberos del distrito de Barranquilla"/>
  </r>
  <r>
    <x v="0"/>
    <x v="0"/>
    <x v="0"/>
    <s v="Operación y fortalecimiento de las casas de justicia garantizando el acceso a tramites y servicios"/>
  </r>
  <r>
    <x v="0"/>
    <x v="0"/>
    <x v="1"/>
    <s v="Fortalecimiento para la participación y desarrollo comunitario"/>
  </r>
  <r>
    <x v="0"/>
    <x v="0"/>
    <x v="1"/>
    <s v="Implementación de la política pública de participación _x000a_ciudadana y fortalecimiento comunal"/>
  </r>
  <r>
    <x v="0"/>
    <x v="0"/>
    <x v="1"/>
    <s v="Apoyo a las instancias de interlocución y coordinación de la Secretaria Distrital de Gobierno en el Distrito de Barranquilla."/>
  </r>
  <r>
    <x v="0"/>
    <x v="0"/>
    <x v="1"/>
    <s v="Fortalecimiento del desarrollo comunitario y social"/>
  </r>
  <r>
    <x v="0"/>
    <x v="0"/>
    <x v="1"/>
    <s v="Transformación de la cultura ciudadana"/>
  </r>
  <r>
    <x v="0"/>
    <x v="1"/>
    <x v="2"/>
    <s v="Prestación del servicio educativo"/>
  </r>
  <r>
    <x v="0"/>
    <x v="1"/>
    <x v="2"/>
    <s v="Apoyo a la contratación de la prestación del servicio"/>
  </r>
  <r>
    <x v="0"/>
    <x v="1"/>
    <x v="2"/>
    <s v="Servicio de transporte escolar "/>
  </r>
  <r>
    <x v="0"/>
    <x v="1"/>
    <x v="2"/>
    <s v="Implementación del programa de Alimentación Escolar"/>
  </r>
  <r>
    <x v="0"/>
    <x v="1"/>
    <x v="3"/>
    <s v="Fortalecimiento de la Educación inclusiva, equitativa y de calidad"/>
  </r>
  <r>
    <x v="0"/>
    <x v="1"/>
    <x v="3"/>
    <s v="Implementación del plan de bilingüismo en Colegios Públicos - Barranquilla es bilingüe"/>
  </r>
  <r>
    <x v="0"/>
    <x v="1"/>
    <x v="3"/>
    <s v="Fortalecimiento de competencias de lectura y escritura - Barranquilla es leer"/>
  </r>
  <r>
    <x v="0"/>
    <x v="1"/>
    <x v="3"/>
    <s v="Fortalecimiento de la Convivencia Escolar"/>
  </r>
  <r>
    <x v="0"/>
    <x v="1"/>
    <x v="3"/>
    <s v="Desarrollo profesional docente"/>
  </r>
  <r>
    <x v="0"/>
    <x v="1"/>
    <x v="3"/>
    <s v="Fortalecimiento de la cultura de Evaluación Formativa"/>
  </r>
  <r>
    <x v="0"/>
    <x v="1"/>
    <x v="3"/>
    <s v="Inversiones para la Exposición, Inmersión y Aprendizaje de habilidades digitales en las IED"/>
  </r>
  <r>
    <x v="0"/>
    <x v="1"/>
    <x v="3"/>
    <s v="Fortalecimiento de los ambientes de aprendizaje mediante la provisión de dotación tecnológica para la enseñanza de tecnología e Informática en las IED"/>
  </r>
  <r>
    <x v="0"/>
    <x v="1"/>
    <x v="3"/>
    <s v="Fortalecimiento de usos, valores, costumbres, saberes, prácticas, tradicionales, investigaciones y empoderamiento de la comunidad afrocolombiana del Distrito de Barranquilla"/>
  </r>
  <r>
    <x v="0"/>
    <x v="1"/>
    <x v="3"/>
    <s v="Innovación y vinculación con el sector productivo"/>
  </r>
  <r>
    <x v="0"/>
    <x v="1"/>
    <x v="3"/>
    <s v="Fortalecimiento de competencias en matemáticas en estudiantes - Matemáticas Didácticas"/>
  </r>
  <r>
    <x v="0"/>
    <x v="1"/>
    <x v="3"/>
    <s v="Modernización de la infraestructura educativa"/>
  </r>
  <r>
    <x v="0"/>
    <x v="1"/>
    <x v="4"/>
    <s v="Apoyo para el acceso y permanencia en la educación superior mediante Becas educativas de alto impacto"/>
  </r>
  <r>
    <x v="0"/>
    <x v="1"/>
    <x v="4"/>
    <s v="Implementación del modelo educativo de Doble Titulación"/>
  </r>
  <r>
    <x v="0"/>
    <x v="1"/>
    <x v="4"/>
    <s v="Fortalecimiento de la Universidad Distrital "/>
  </r>
  <r>
    <x v="0"/>
    <x v="2"/>
    <x v="5"/>
    <s v="Fortalecimiento del Aseguramiento de los ciudadanos al sistema general de seguridad social en salud"/>
  </r>
  <r>
    <x v="0"/>
    <x v="2"/>
    <x v="5"/>
    <s v="Modernización del Centro Regulador de Urgencias y Emergencias -(CRUE) y Sistema de Emergencias Médicas (SEM)"/>
  </r>
  <r>
    <x v="0"/>
    <x v="2"/>
    <x v="5"/>
    <s v="Optimización de la Calidad del aseguramiento con enfoque de riesgo"/>
  </r>
  <r>
    <x v="0"/>
    <x v="2"/>
    <x v="5"/>
    <s v="Servicio del Centro Regulador de Urgencias y Emergencias (CRUE) y Sistema de Emergencias Médicas (SEM)"/>
  </r>
  <r>
    <x v="0"/>
    <x v="2"/>
    <x v="5"/>
    <s v="Fortalecimiento de la Unidad de reacción inmediata en salud (URISA)"/>
  </r>
  <r>
    <x v="0"/>
    <x v="2"/>
    <x v="6"/>
    <s v="Fortalecimiento de acciones de Promoción y mantenimiento de la salud"/>
  </r>
  <r>
    <x v="0"/>
    <x v="2"/>
    <x v="6"/>
    <s v="Optimización de la Gestión operativa y funcional del plan territorial de salud "/>
  </r>
  <r>
    <x v="0"/>
    <x v="2"/>
    <x v="6"/>
    <s v="Implementación del Modelo de Gestión del Riesgo en Salud "/>
  </r>
  <r>
    <x v="0"/>
    <x v="2"/>
    <x v="6"/>
    <s v="Transformación e Intervención de los Determinantes ambientales"/>
  </r>
  <r>
    <x v="0"/>
    <x v="2"/>
    <x v="6"/>
    <s v="Prevención y control de la salud mental"/>
  </r>
  <r>
    <x v="0"/>
    <x v="2"/>
    <x v="6"/>
    <s v="Asistencia para la Promoción y Fomento de la Salud sexual y reproductiva "/>
  </r>
  <r>
    <x v="0"/>
    <x v="2"/>
    <x v="6"/>
    <s v="Implementación de la estrategia Salud a mi Casa"/>
  </r>
  <r>
    <x v="0"/>
    <x v="2"/>
    <x v="6"/>
    <s v="Implementación de la estrategia Salud al Colegio"/>
  </r>
  <r>
    <x v="0"/>
    <x v="2"/>
    <x v="6"/>
    <s v="Fortalecimiento del Sistema de Vigilancia epidemiológica en el distrito de Barranquilla"/>
  </r>
  <r>
    <x v="0"/>
    <x v="2"/>
    <x v="7"/>
    <s v="Implementación de la modalidad hospital dia en salud mental en el Distrito de Barranquilla"/>
  </r>
  <r>
    <x v="0"/>
    <x v="2"/>
    <x v="7"/>
    <s v="Adecuación de la infraestructura en salud"/>
  </r>
  <r>
    <x v="0"/>
    <x v="2"/>
    <x v="7"/>
    <s v="Fortalecimiento de la Atención integral en salud a población con enfoque diferencial"/>
  </r>
  <r>
    <x v="0"/>
    <x v="2"/>
    <x v="7"/>
    <s v="Optimización del sistema de Garantía de la Calidad en Salud"/>
  </r>
  <r>
    <x v="0"/>
    <x v="2"/>
    <x v="7"/>
    <s v="Construcción y Adecuación de una morgue en el Distrito de Barranquilla"/>
  </r>
  <r>
    <x v="0"/>
    <x v="3"/>
    <x v="8"/>
    <s v="Mejoramiento de viviendas"/>
  </r>
  <r>
    <x v="0"/>
    <x v="3"/>
    <x v="8"/>
    <s v="Titulación de predios fiscales en los asentamientos humanos de origen informal"/>
  </r>
  <r>
    <x v="0"/>
    <x v="3"/>
    <x v="8"/>
    <s v="Generación de mecanismos para el acceso a Vivienda Nueva"/>
  </r>
  <r>
    <x v="0"/>
    <x v="3"/>
    <x v="8"/>
    <s v="Servicio de Acompañamiento Social para Beneficiarios de Programas de Vivienda"/>
  </r>
  <r>
    <x v="0"/>
    <x v="3"/>
    <x v="8"/>
    <s v="Asistencia para el Reasentamiento de hogares localizados en zonas de alto riesgo no mitigable"/>
  </r>
  <r>
    <x v="0"/>
    <x v="3"/>
    <x v="9"/>
    <s v="Elaboración del estudio para la nueva estratificación urbana del Distrito"/>
  </r>
  <r>
    <x v="0"/>
    <x v="3"/>
    <x v="9"/>
    <s v="Apoyo a la Gestión de instrumentos de planificación"/>
  </r>
  <r>
    <x v="0"/>
    <x v="3"/>
    <x v="9"/>
    <s v="Apoyo para la Legalización Urbanística"/>
  </r>
  <r>
    <x v="0"/>
    <x v="3"/>
    <x v="9"/>
    <s v="Revisión del Plan de Ordenamiento Territorial"/>
  </r>
  <r>
    <x v="0"/>
    <x v="3"/>
    <x v="10"/>
    <s v="Actualización e implementación del Plan Integral de Gestión de Residuos Sólidos - PGIRS"/>
  </r>
  <r>
    <x v="0"/>
    <x v="3"/>
    <x v="10"/>
    <s v="Plan Maestro de Acueducto y Alcantarillado"/>
  </r>
  <r>
    <x v="0"/>
    <x v="3"/>
    <x v="10"/>
    <s v="Administración, operación y mantenimiento del Sistema de Alumbrado Público de Barranquilla"/>
  </r>
  <r>
    <x v="0"/>
    <x v="3"/>
    <x v="10"/>
    <s v="Construcción del colector de alcantarillado de la zona occidental del Distrito de Barranquilla"/>
  </r>
  <r>
    <x v="0"/>
    <x v="3"/>
    <x v="10"/>
    <s v="Construcción del sistema de acueducto regional del norte en el Distrito de Barranquilla"/>
  </r>
  <r>
    <x v="0"/>
    <x v="3"/>
    <x v="10"/>
    <s v="Saneamiento de la zona nororiental de Barranquilla (Ciudad del río)"/>
  </r>
  <r>
    <x v="0"/>
    <x v="3"/>
    <x v="10"/>
    <s v="Apoyo a la eficiencia energética en edificaciones distritales"/>
  </r>
  <r>
    <x v="0"/>
    <x v="3"/>
    <x v="10"/>
    <s v="Implementación de soluciones energéticas sostenibles a Hogares"/>
  </r>
  <r>
    <x v="0"/>
    <x v="3"/>
    <x v="10"/>
    <s v="Asistencia, capacitación y fomento del uso racional de la energía - Ilumina tu ahorro"/>
  </r>
  <r>
    <x v="0"/>
    <x v="3"/>
    <x v="10"/>
    <s v="Generación y utilización de fuentes de energía renovables y limpias en el Distrito de Barranquilla"/>
  </r>
  <r>
    <x v="0"/>
    <x v="3"/>
    <x v="10"/>
    <s v="Normalización de redes eléctricas"/>
  </r>
  <r>
    <x v="0"/>
    <x v="3"/>
    <x v="10"/>
    <s v="Generación DE ENERGÍA solar"/>
  </r>
  <r>
    <x v="0"/>
    <x v="3"/>
    <x v="10"/>
    <s v="Mejoramiento de redes eléctricas internas para viviendas de estratos I y 11 - Renueva tu energía"/>
  </r>
  <r>
    <x v="0"/>
    <x v="3"/>
    <x v="10"/>
    <s v="Prestación de los subsidios de servicios públicos domiciliarios"/>
  </r>
  <r>
    <x v="0"/>
    <x v="4"/>
    <x v="11"/>
    <s v="Implementación de la política pública de primera infancia"/>
  </r>
  <r>
    <x v="0"/>
    <x v="4"/>
    <x v="12"/>
    <s v="Apoyo en el hogar de paso"/>
  </r>
  <r>
    <x v="0"/>
    <x v="4"/>
    <x v="12"/>
    <s v="Prevención y erradicación del trabajo infantil y sus peores formas en Barranquilla"/>
  </r>
  <r>
    <x v="0"/>
    <x v="4"/>
    <x v="12"/>
    <s v="Apoyo a la Promoción de la participación de la infancia y la adolescencia"/>
  </r>
  <r>
    <x v="0"/>
    <x v="4"/>
    <x v="12"/>
    <s v="Apoyo al proyecto Lúdica para la prevención"/>
  </r>
  <r>
    <x v="0"/>
    <x v="4"/>
    <x v="13"/>
    <s v="Implementación de la Escuela de Liderazgo"/>
  </r>
  <r>
    <x v="0"/>
    <x v="4"/>
    <x v="13"/>
    <s v="Fortalecimiento de la Participación juvenil"/>
  </r>
  <r>
    <x v="0"/>
    <x v="4"/>
    <x v="14"/>
    <s v="Prestación de servicios de atención en los Centros de Bienestar"/>
  </r>
  <r>
    <x v="0"/>
    <x v="4"/>
    <x v="14"/>
    <s v="Servicio de Atención en los Centros de Vida"/>
  </r>
  <r>
    <x v="0"/>
    <x v="4"/>
    <x v="14"/>
    <s v="Formulación de la política pública del adulto mayor"/>
  </r>
  <r>
    <x v="0"/>
    <x v="4"/>
    <x v="15"/>
    <s v="Apoyo en centro de acogida para habitantes de calle en el Distrito de Barranquilla"/>
  </r>
  <r>
    <x v="0"/>
    <x v="4"/>
    <x v="15"/>
    <s v="Recuperación integral de los habitantes de calles del Distrito de Barranquilla"/>
  </r>
  <r>
    <x v="0"/>
    <x v="4"/>
    <x v="16"/>
    <s v="Servicio de Atención a las familias vulnerables del Distrito"/>
  </r>
  <r>
    <x v="0"/>
    <x v="4"/>
    <x v="16"/>
    <s v="Desarrollo social ambiental y productivo"/>
  </r>
  <r>
    <x v="0"/>
    <x v="4"/>
    <x v="16"/>
    <s v="Desarrollo, gestión de acuerdos y cooperación para población vulnerable"/>
  </r>
  <r>
    <x v="0"/>
    <x v="4"/>
    <x v="16"/>
    <s v="Implementación de la estrategia integral para el apoyo a la población vulnerable"/>
  </r>
  <r>
    <x v="0"/>
    <x v="4"/>
    <x v="16"/>
    <s v="Implementación de Comedores Comunitarios"/>
  </r>
  <r>
    <x v="0"/>
    <x v="4"/>
    <x v="16"/>
    <s v="mplementación y oferta de la gestión integral de servicios por medio de la estrategia ferias Pa'La Calle"/>
  </r>
  <r>
    <x v="0"/>
    <x v="4"/>
    <x v="16"/>
    <s v="Implementación del Estímulo Social de Transporte"/>
  </r>
  <r>
    <x v="0"/>
    <x v="4"/>
    <x v="17"/>
    <s v="Consolidación de una Ciudad libre de violencias y discriminaciones por razones de sexo y género"/>
  </r>
  <r>
    <x v="0"/>
    <x v="4"/>
    <x v="17"/>
    <s v="Protección, garantía de derechos y generación de oportunidades para las mujeres - Barranquilla con mirada equitativa"/>
  </r>
  <r>
    <x v="0"/>
    <x v="4"/>
    <x v="17"/>
    <s v="Apoyo a la Inclusión, Respeto Y Garantía Para El Goce Pleno De Los Derechos De Las Personas LGTBIQ+"/>
  </r>
  <r>
    <x v="0"/>
    <x v="4"/>
    <x v="18"/>
    <s v="Mejoramiento de la Calidad de vida para las personas en condición de discapacidad y sus cuidadores"/>
  </r>
  <r>
    <x v="0"/>
    <x v="4"/>
    <x v="18"/>
    <s v="Generación del Sistema distrital de cuidado de personas con discapacidad y sus cuidadores"/>
  </r>
  <r>
    <x v="0"/>
    <x v="4"/>
    <x v="19"/>
    <s v="Fortalecimiento a la identidad cultural, cabildos indígenas en contexto de ciudad"/>
  </r>
  <r>
    <x v="0"/>
    <x v="4"/>
    <x v="20"/>
    <s v="Fortalecimiento para la inclusión de estrategias y acciones afirmativas para el desarrollo integral de las poblaciones negras, afrocolombianas, raizales y palenqueras del distrito de barranquilla"/>
  </r>
  <r>
    <x v="0"/>
    <x v="4"/>
    <x v="21"/>
    <s v="Servicio de Atención integral a la población migrante del distrito de Barranquilla"/>
  </r>
  <r>
    <x v="0"/>
    <x v="4"/>
    <x v="22"/>
    <s v="Apoyo en Acompañamiento Psicosocial y Construcción De Memoria Histórica - medidas de satisfacción"/>
  </r>
  <r>
    <x v="0"/>
    <x v="4"/>
    <x v="22"/>
    <s v="Apoyo a la implementación de estrategias para el fortalecimiento de los Derechos Humanos y paz en el Distrito de Barranquilla"/>
  </r>
  <r>
    <x v="0"/>
    <x v="4"/>
    <x v="22"/>
    <s v="Asistencia, atención integral a las victimas del conflicto y dinamización de la política pública"/>
  </r>
  <r>
    <x v="0"/>
    <x v="4"/>
    <x v="22"/>
    <s v="Prevención del reclutamiento forzado, uso y utilización y participación efectiva de Niños, Niñas, Adolescentes y Jóvenes - NNAJ"/>
  </r>
  <r>
    <x v="0"/>
    <x v="4"/>
    <x v="22"/>
    <s v="Reparación Integral: Procesos de retorno y reubicación -integración comunitaria y arraigo territorial "/>
  </r>
  <r>
    <x v="0"/>
    <x v="4"/>
    <x v="23"/>
    <s v="Implementación de estrategias de Reintegración y Reinserción"/>
  </r>
  <r>
    <x v="0"/>
    <x v="5"/>
    <x v="24"/>
    <s v="Aprovechamiento del tiempo libre"/>
  </r>
  <r>
    <x v="0"/>
    <x v="5"/>
    <x v="24"/>
    <s v="Apoyo a la Promoción de la Actividad física"/>
  </r>
  <r>
    <x v="0"/>
    <x v="5"/>
    <x v="25"/>
    <s v="Apoyo para el desarrollo y la práctica de actividad física, de recreación y deporte para personas con discapacidad"/>
  </r>
  <r>
    <x v="0"/>
    <x v="5"/>
    <x v="25"/>
    <s v="Desarrollo y fortalecimiento institucional del deporte y la recreación en el distrito de Barranquilla"/>
  </r>
  <r>
    <x v="0"/>
    <x v="5"/>
    <x v="25"/>
    <s v="Fortalecimiento de Escuelas de formación deportiva"/>
  </r>
  <r>
    <x v="0"/>
    <x v="5"/>
    <x v="25"/>
    <s v="Apoyo a los Juegos lntercolegiados"/>
  </r>
  <r>
    <x v="0"/>
    <x v="5"/>
    <x v="25"/>
    <s v="Apoyo a la Promoción del deporte social, comunitario, formativo y asociado"/>
  </r>
  <r>
    <x v="0"/>
    <x v="5"/>
    <x v="25"/>
    <s v="Apoyo a la Promoción y desarrollo de las actividades de recreación y deporte a la población con enfoque diferencial"/>
  </r>
  <r>
    <x v="0"/>
    <x v="5"/>
    <x v="25"/>
    <s v="Apoyo para el desarrollo y la práctica de actividad física de recreación y deporte para personas de las comunidades negras, afrocolombianas, raizales y palequenqueras (NARP)"/>
  </r>
  <r>
    <x v="0"/>
    <x v="5"/>
    <x v="26"/>
    <s v="Apoyo a deportistas"/>
  </r>
  <r>
    <x v="0"/>
    <x v="5"/>
    <x v="26"/>
    <s v="Apoyo logístico a eventos deportivos locales, nacionales e internacionales"/>
  </r>
  <r>
    <x v="0"/>
    <x v="5"/>
    <x v="26"/>
    <s v="Construcción de escenarios deportivos"/>
  </r>
  <r>
    <x v="0"/>
    <x v="5"/>
    <x v="26"/>
    <s v="Mantenimiento, adecuación y administración de los escenarios deportivos"/>
  </r>
  <r>
    <x v="1"/>
    <x v="6"/>
    <x v="27"/>
    <s v="Estudios de la ciudadanía cultural y solidaria de Barranquilla"/>
  </r>
  <r>
    <x v="1"/>
    <x v="6"/>
    <x v="27"/>
    <s v="Fortalecimiento y estímulo a las prácticas de ciudadanía cultural y solidaría"/>
  </r>
  <r>
    <x v="1"/>
    <x v="6"/>
    <x v="27"/>
    <s v="Apoyo al Fomento de la gestión partícípatíva de la cultura y el patrimonio"/>
  </r>
  <r>
    <x v="1"/>
    <x v="6"/>
    <x v="28"/>
    <s v="Implementación del Sistema Distrital de Formación Artística y Cultural"/>
  </r>
  <r>
    <x v="1"/>
    <x v="6"/>
    <x v="28"/>
    <s v="Apoyo a la promoción de la lectura, escritura y oralidad y el servicio público de bibliotecas"/>
  </r>
  <r>
    <x v="1"/>
    <x v="6"/>
    <x v="28"/>
    <s v="Fortalecimiento de espacios culturales locales, inclusivos y sostenibles"/>
  </r>
  <r>
    <x v="1"/>
    <x v="6"/>
    <x v="28"/>
    <s v="Consolidación del Sistema Distrital de Estímulos para la creación, investigación y gestión sostenible de las artes, las culturas y el patrimonio cultural"/>
  </r>
  <r>
    <x v="1"/>
    <x v="6"/>
    <x v="28"/>
    <s v="Estudios para la Creación de un Espacio Multipropósito para Grandes Eventos"/>
  </r>
  <r>
    <x v="1"/>
    <x v="6"/>
    <x v="29"/>
    <s v="Servicios de protección y apoyo a la gestión del Patrimonio Cultural Material - PEMP"/>
  </r>
  <r>
    <x v="1"/>
    <x v="6"/>
    <x v="29"/>
    <s v="poyo al cuidado y ejercicio de la salvaguardia de la memoria y los saberes tradicionales - Plan Especial de Salvaguardia (PES)"/>
  </r>
  <r>
    <x v="1"/>
    <x v="6"/>
    <x v="30"/>
    <s v="Apoyo a Barranquilla creativa y sostenible"/>
  </r>
  <r>
    <x v="1"/>
    <x v="7"/>
    <x v="31"/>
    <s v="Asistencia a la generación y fortalecimiento a unidades productivas sostenibles, innovadoras y competitivas"/>
  </r>
  <r>
    <x v="1"/>
    <x v="7"/>
    <x v="31"/>
    <s v="Consolidación de estrategias innovadoras para el trabajo en la ciudad de Barranquilla"/>
  </r>
  <r>
    <x v="1"/>
    <x v="7"/>
    <x v="31"/>
    <s v="Fortalecimiento del territorio para grandes eventos e inversiones en Barranquilla"/>
  </r>
  <r>
    <x v="1"/>
    <x v="7"/>
    <x v="32"/>
    <s v="Desarrollo y Potencialización del sector portuario y sus contextos en la ciudad"/>
  </r>
  <r>
    <x v="1"/>
    <x v="7"/>
    <x v="32"/>
    <s v="Fortalecimiento de la internacionalización de Barranquilla"/>
  </r>
  <r>
    <x v="1"/>
    <x v="7"/>
    <x v="32"/>
    <s v="Elaboración de lineamientos técnicos para la transformación del Distrito de Barranquilla en HUB de Aviación"/>
  </r>
  <r>
    <x v="1"/>
    <x v="7"/>
    <x v="33"/>
    <s v="Servicio de Internet universal y de alta velocidad para viviendas con bajas condiciones socioeconómicas de Barranquilla"/>
  </r>
  <r>
    <x v="1"/>
    <x v="7"/>
    <x v="33"/>
    <s v="Mantenimiento del acceso a Internet wifi en sitios públicos para los usuarios"/>
  </r>
  <r>
    <x v="1"/>
    <x v="7"/>
    <x v="33"/>
    <s v="Implementación de Oferta de capacitación en temas relacionados con tecnologías de la información"/>
  </r>
  <r>
    <x v="1"/>
    <x v="7"/>
    <x v="33"/>
    <s v="Apoyo en la Estructuración de Barranquilla como Super puerto Digital para Latinoamérica"/>
  </r>
  <r>
    <x v="1"/>
    <x v="8"/>
    <x v="34"/>
    <s v="Construcción del Malecón del Suroriente"/>
  </r>
  <r>
    <x v="1"/>
    <x v="8"/>
    <x v="34"/>
    <s v="Construcción Parque Lineal Caño de la Ahuyama"/>
  </r>
  <r>
    <x v="1"/>
    <x v="8"/>
    <x v="34"/>
    <s v="Fortalecimiento de los procesos de inspección, vigilancia y control y los mecanismos de concientización del buen uso del control urbano y el espacio público"/>
  </r>
  <r>
    <x v="1"/>
    <x v="8"/>
    <x v="34"/>
    <s v="Fortalecimiento del ordenamiento del espacio público"/>
  </r>
  <r>
    <x v="1"/>
    <x v="8"/>
    <x v="34"/>
    <s v="Fortalecimiento productivo de los vendedores informales y reubicados"/>
  </r>
  <r>
    <x v="1"/>
    <x v="8"/>
    <x v="34"/>
    <s v="Implementación de herramientas técnicas y jurídicas para el control y seguimiento del cableado en desuso, inactivo y destensado del distrito de Barranquilla"/>
  </r>
  <r>
    <x v="1"/>
    <x v="8"/>
    <x v="34"/>
    <s v="Recuperación y mejoramiento de Todos al parque"/>
  </r>
  <r>
    <x v="1"/>
    <x v="8"/>
    <x v="34"/>
    <s v="Trasformación de Entornos Urbanos -TEU"/>
  </r>
  <r>
    <x v="1"/>
    <x v="8"/>
    <x v="35"/>
    <s v="Implementación del programa Barrios a la Obra"/>
  </r>
  <r>
    <x v="1"/>
    <x v="8"/>
    <x v="35"/>
    <s v="Mantenimiento y Recuperación de la malla vial Distrital"/>
  </r>
  <r>
    <x v="1"/>
    <x v="8"/>
    <x v="35"/>
    <s v="Construcción de la Calle 82 entre carrera 74 y Avenida del Ria"/>
  </r>
  <r>
    <x v="1"/>
    <x v="8"/>
    <x v="35"/>
    <s v="Construcción de Obras de Urbanismo en el Gran Malecón del Río"/>
  </r>
  <r>
    <x v="1"/>
    <x v="8"/>
    <x v="35"/>
    <s v="Recuperación y construcción de mercados"/>
  </r>
  <r>
    <x v="1"/>
    <x v="9"/>
    <x v="36"/>
    <s v="Actualización y adopción del Plan Maestro de Movilidad Sostenible y Segura distrital y metropolitano"/>
  </r>
  <r>
    <x v="1"/>
    <x v="9"/>
    <x v="36"/>
    <s v="Control y regulación del tránsito y el transporte en el Distrito de Barranquilla"/>
  </r>
  <r>
    <x v="1"/>
    <x v="9"/>
    <x v="36"/>
    <s v="Implementación de Estrategias para la seguridad vial"/>
  </r>
  <r>
    <x v="1"/>
    <x v="9"/>
    <x v="36"/>
    <s v="Fortalecimiento del monitoreo para la gestión del tránsito"/>
  </r>
  <r>
    <x v="1"/>
    <x v="9"/>
    <x v="36"/>
    <s v="Implementación de Medidas de gestión del tránsito para una Barranquilla con vias seguras"/>
  </r>
  <r>
    <x v="1"/>
    <x v="9"/>
    <x v="37"/>
    <s v="Mejoramiento de la infraestructura para la prestación del servicio de transporte publico"/>
  </r>
  <r>
    <x v="1"/>
    <x v="9"/>
    <x v="37"/>
    <s v="Mejoramiento del parque automotor de servicio de Transporte Publico"/>
  </r>
  <r>
    <x v="1"/>
    <x v="9"/>
    <x v="37"/>
    <s v="Identificación y verificación del parque automotor de Transporte Público Individual de Pasajeros"/>
  </r>
  <r>
    <x v="1"/>
    <x v="9"/>
    <x v="37"/>
    <s v="Implementación de un sistema de medidas y tarifas para el transporte público individual"/>
  </r>
  <r>
    <x v="1"/>
    <x v="9"/>
    <x v="37"/>
    <s v="Construcción e implementación de Terminales Satélite para el transporte público"/>
  </r>
  <r>
    <x v="1"/>
    <x v="9"/>
    <x v="38"/>
    <s v="Implementación de acciones de Cultura ciudadana para actores viales"/>
  </r>
  <r>
    <x v="1"/>
    <x v="9"/>
    <x v="38"/>
    <s v="Implementación de acciones de Cultura ciudadana para el transporte publico"/>
  </r>
  <r>
    <x v="1"/>
    <x v="9"/>
    <x v="38"/>
    <s v="Transformación cultural para una movilidad sostenible e incluyente"/>
  </r>
  <r>
    <x v="2"/>
    <x v="10"/>
    <x v="39"/>
    <s v="Elaboración del Plan Integral de Gestión del Cambio Climático Territorial - PIGCCT"/>
  </r>
  <r>
    <x v="2"/>
    <x v="10"/>
    <x v="39"/>
    <s v="Formulación del Plan de descontaminación por ruido del Distrito de Barranquilla"/>
  </r>
  <r>
    <x v="2"/>
    <x v="10"/>
    <x v="39"/>
    <s v="Instalación de la Red Distrital Hidrometereológica"/>
  </r>
  <r>
    <x v="2"/>
    <x v="10"/>
    <x v="39"/>
    <s v="Operación del sistema de vigilancia de la calidad del aire del Distrito de Barranquilla"/>
  </r>
  <r>
    <x v="2"/>
    <x v="10"/>
    <x v="40"/>
    <s v="Construcción del Centro de Atención y Valoración de Fauna Silvestre- CAV"/>
  </r>
  <r>
    <x v="2"/>
    <x v="10"/>
    <x v="40"/>
    <s v="Servicio de atención integral a los animales domésticos en condición de vulnerabilidad a través del Centro de Bienestar Animal"/>
  </r>
  <r>
    <x v="2"/>
    <x v="10"/>
    <x v="40"/>
    <s v="Implementación y Mantenimiento del Proyecto Siembra Barranquilla"/>
  </r>
  <r>
    <x v="2"/>
    <x v="11"/>
    <x v="41"/>
    <s v="Construcción de obras de Drenaje Pluvial Efectivo"/>
  </r>
  <r>
    <x v="2"/>
    <x v="11"/>
    <x v="41"/>
    <s v="Recuperación integral de la Ciénaga de Mallorquín"/>
  </r>
  <r>
    <x v="2"/>
    <x v="11"/>
    <x v="41"/>
    <s v="Recuperación integral de rondas de caños, arroyos y cuerpos de agua"/>
  </r>
  <r>
    <x v="2"/>
    <x v="11"/>
    <x v="41"/>
    <s v="Diagnóstico sobre la ocupación indebida real del espacio público alrededor de caños, arroyos y cuerpos de agua en el Distrito de Barranquilla"/>
  </r>
  <r>
    <x v="2"/>
    <x v="11"/>
    <x v="42"/>
    <s v="Formulación del Plan de Ordenamiento del Recurso Hidrico del Distrito"/>
  </r>
  <r>
    <x v="2"/>
    <x v="11"/>
    <x v="42"/>
    <s v="Formulación del Plan de manejo ambiental de la Microcuenca del Distrito"/>
  </r>
  <r>
    <x v="2"/>
    <x v="11"/>
    <x v="43"/>
    <s v="Identificación, análisis, evaluación y monitoreo del riesgo de desastres en el territorio urbano del Distrito de Barranquilla"/>
  </r>
  <r>
    <x v="2"/>
    <x v="11"/>
    <x v="43"/>
    <s v="Fortalecimiento y apropiación del conocimiento de riesgo de desastres en el distrito de Barranquilla"/>
  </r>
  <r>
    <x v="2"/>
    <x v="11"/>
    <x v="43"/>
    <s v="Desarrollo de un Sistema de Alertas Tempranas"/>
  </r>
  <r>
    <x v="2"/>
    <x v="11"/>
    <x v="43"/>
    <s v="sistencia y atención humanitaria para la rehabilitación y la recuperación de las condiciones de normalidad en el Distrito de Barranquilla"/>
  </r>
  <r>
    <x v="2"/>
    <x v="11"/>
    <x v="43"/>
    <s v="Implementación de acciones para Mitigación de deslizamiento en laderas"/>
  </r>
  <r>
    <x v="3"/>
    <x v="12"/>
    <x v="44"/>
    <s v="Fortalecimiento del Talento Humano"/>
  </r>
  <r>
    <x v="3"/>
    <x v="12"/>
    <x v="44"/>
    <s v="Actualización de los trámites en los sistemas de información de los registros de tránsito"/>
  </r>
  <r>
    <x v="3"/>
    <x v="12"/>
    <x v="44"/>
    <s v="Implementación del plan estratégico de Comunicaciones institucionales"/>
  </r>
  <r>
    <x v="3"/>
    <x v="12"/>
    <x v="44"/>
    <s v="Apoyo a la Defensa jurídica"/>
  </r>
  <r>
    <x v="3"/>
    <x v="12"/>
    <x v="44"/>
    <s v="Fortalecimiento de los sistemas de gestión en el Distrito de Barranquilla"/>
  </r>
  <r>
    <x v="3"/>
    <x v="12"/>
    <x v="44"/>
    <s v="Fortalecimiento del sistema de gestión disciplinaria de la Alcaldía Distrital de Barranquilla"/>
  </r>
  <r>
    <x v="3"/>
    <x v="12"/>
    <x v="44"/>
    <s v="Mejoramiento de las condiciones administrativas y logísticas para la prestación del servicio al ciudadano"/>
  </r>
  <r>
    <x v="3"/>
    <x v="12"/>
    <x v="44"/>
    <s v="Modernización de los sistemas de información Distrital"/>
  </r>
  <r>
    <x v="3"/>
    <x v="12"/>
    <x v="44"/>
    <s v="Innovación y mantenimiento de la infraestructura tecnológica de la entidad"/>
  </r>
  <r>
    <x v="3"/>
    <x v="12"/>
    <x v="44"/>
    <s v="Mejoramiento del Archivo y Custodia de los Expedientes de los Registros de Tránsito"/>
  </r>
  <r>
    <x v="3"/>
    <x v="12"/>
    <x v="44"/>
    <s v="Mejoramiento del Sistema de Control Interno desde el proceso de evaluación independiente de la Alcaldía Distrital de Barranquilla"/>
  </r>
  <r>
    <x v="3"/>
    <x v="12"/>
    <x v="45"/>
    <s v="Actualización y optimización de los Sistemas de Información para la Planeación"/>
  </r>
  <r>
    <x v="3"/>
    <x v="12"/>
    <x v="45"/>
    <s v="Actualización del Catastro más fácil"/>
  </r>
  <r>
    <x v="3"/>
    <x v="12"/>
    <x v="45"/>
    <s v="Difusión catastral"/>
  </r>
  <r>
    <x v="3"/>
    <x v="12"/>
    <x v="45"/>
    <s v="Actualización de la Infraestructura de Datos Espaciales"/>
  </r>
  <r>
    <x v="3"/>
    <x v="12"/>
    <x v="45"/>
    <s v="Consolidación de la Gestión de información y producción del conocimiento"/>
  </r>
  <r>
    <x v="3"/>
    <x v="12"/>
    <x v="45"/>
    <s v="Optimización del proceso contravencional"/>
  </r>
  <r>
    <x v="3"/>
    <x v="12"/>
    <x v="45"/>
    <s v="Apoyo a la Promoción y coordinación institucional para la construcción y seguimiento de planes de intervenciones comunitarias"/>
  </r>
  <r>
    <x v="3"/>
    <x v="12"/>
    <x v="45"/>
    <s v="Actualización y mantenimiento del Sistema de Información de Potenciales Beneficiarios - SISBEN"/>
  </r>
  <r>
    <x v="3"/>
    <x v="12"/>
    <x v="46"/>
    <s v="Administración, Efectividad y estabilidad del sistema tributario"/>
  </r>
  <r>
    <x v="3"/>
    <x v="12"/>
    <x v="46"/>
    <s v="Fortalecimiento del proceso de recuperación de cartera en la Secretaría de Tránsito y Seguridad Vial Barranquilla"/>
  </r>
  <r>
    <x v="3"/>
    <x v="12"/>
    <x v="46"/>
    <s v="Consolidación de Fuentes alternativas de financiamiento público"/>
  </r>
  <r>
    <x v="3"/>
    <x v="12"/>
    <x v="46"/>
    <s v="Desarrollo del Sistema de monitoreo de la inversión pública"/>
  </r>
  <r>
    <x v="3"/>
    <x v="12"/>
    <x v="46"/>
    <s v="Administración de la Sostenibilidad financie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C24F6-F2BA-4D8F-AB0F-52AF9C06E00B}" name="TablaDinámica2"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214:C279" firstHeaderRow="1" firstDataRow="1" firstDataCol="1"/>
  <pivotFields count="4">
    <pivotField axis="axisRow" showAll="0">
      <items count="5">
        <item x="1"/>
        <item x="0"/>
        <item x="2"/>
        <item x="3"/>
        <item t="default"/>
      </items>
    </pivotField>
    <pivotField axis="axisRow" showAll="0">
      <items count="14">
        <item x="6"/>
        <item x="2"/>
        <item x="1"/>
        <item x="4"/>
        <item x="0"/>
        <item x="5"/>
        <item x="3"/>
        <item x="7"/>
        <item x="8"/>
        <item x="9"/>
        <item x="10"/>
        <item x="11"/>
        <item x="12"/>
        <item t="default"/>
      </items>
    </pivotField>
    <pivotField axis="axisRow" showAll="0">
      <items count="48">
        <item x="14"/>
        <item x="21"/>
        <item x="5"/>
        <item x="17"/>
        <item x="30"/>
        <item x="27"/>
        <item x="22"/>
        <item x="0"/>
        <item x="1"/>
        <item x="16"/>
        <item x="6"/>
        <item x="29"/>
        <item x="15"/>
        <item x="19"/>
        <item x="20"/>
        <item x="12"/>
        <item x="7"/>
        <item x="18"/>
        <item x="26"/>
        <item x="25"/>
        <item x="3"/>
        <item x="2"/>
        <item x="4"/>
        <item x="28"/>
        <item x="24"/>
        <item x="9"/>
        <item x="11"/>
        <item x="13"/>
        <item x="23"/>
        <item x="10"/>
        <item x="8"/>
        <item x="31"/>
        <item x="32"/>
        <item x="33"/>
        <item x="34"/>
        <item x="35"/>
        <item x="36"/>
        <item x="37"/>
        <item x="38"/>
        <item x="39"/>
        <item x="40"/>
        <item x="41"/>
        <item x="42"/>
        <item x="43"/>
        <item x="44"/>
        <item x="45"/>
        <item x="46"/>
        <item t="default"/>
      </items>
    </pivotField>
    <pivotField dataField="1" showAll="0"/>
  </pivotFields>
  <rowFields count="3">
    <field x="0"/>
    <field x="1"/>
    <field x="2"/>
  </rowFields>
  <rowItems count="65">
    <i>
      <x/>
    </i>
    <i r="1">
      <x/>
    </i>
    <i r="2">
      <x v="4"/>
    </i>
    <i r="2">
      <x v="5"/>
    </i>
    <i r="2">
      <x v="11"/>
    </i>
    <i r="2">
      <x v="23"/>
    </i>
    <i r="1">
      <x v="7"/>
    </i>
    <i r="2">
      <x v="31"/>
    </i>
    <i r="2">
      <x v="32"/>
    </i>
    <i r="2">
      <x v="33"/>
    </i>
    <i r="1">
      <x v="8"/>
    </i>
    <i r="2">
      <x v="34"/>
    </i>
    <i r="2">
      <x v="35"/>
    </i>
    <i r="1">
      <x v="9"/>
    </i>
    <i r="2">
      <x v="36"/>
    </i>
    <i r="2">
      <x v="37"/>
    </i>
    <i r="2">
      <x v="38"/>
    </i>
    <i>
      <x v="1"/>
    </i>
    <i r="1">
      <x v="1"/>
    </i>
    <i r="2">
      <x v="2"/>
    </i>
    <i r="2">
      <x v="10"/>
    </i>
    <i r="2">
      <x v="16"/>
    </i>
    <i r="1">
      <x v="2"/>
    </i>
    <i r="2">
      <x v="20"/>
    </i>
    <i r="2">
      <x v="21"/>
    </i>
    <i r="2">
      <x v="22"/>
    </i>
    <i r="1">
      <x v="3"/>
    </i>
    <i r="2">
      <x/>
    </i>
    <i r="2">
      <x v="1"/>
    </i>
    <i r="2">
      <x v="3"/>
    </i>
    <i r="2">
      <x v="6"/>
    </i>
    <i r="2">
      <x v="9"/>
    </i>
    <i r="2">
      <x v="12"/>
    </i>
    <i r="2">
      <x v="13"/>
    </i>
    <i r="2">
      <x v="14"/>
    </i>
    <i r="2">
      <x v="15"/>
    </i>
    <i r="2">
      <x v="17"/>
    </i>
    <i r="2">
      <x v="26"/>
    </i>
    <i r="2">
      <x v="27"/>
    </i>
    <i r="2">
      <x v="28"/>
    </i>
    <i r="1">
      <x v="4"/>
    </i>
    <i r="2">
      <x v="7"/>
    </i>
    <i r="2">
      <x v="8"/>
    </i>
    <i r="1">
      <x v="5"/>
    </i>
    <i r="2">
      <x v="18"/>
    </i>
    <i r="2">
      <x v="19"/>
    </i>
    <i r="2">
      <x v="24"/>
    </i>
    <i r="1">
      <x v="6"/>
    </i>
    <i r="2">
      <x v="25"/>
    </i>
    <i r="2">
      <x v="29"/>
    </i>
    <i r="2">
      <x v="30"/>
    </i>
    <i>
      <x v="2"/>
    </i>
    <i r="1">
      <x v="10"/>
    </i>
    <i r="2">
      <x v="39"/>
    </i>
    <i r="2">
      <x v="40"/>
    </i>
    <i r="1">
      <x v="11"/>
    </i>
    <i r="2">
      <x v="41"/>
    </i>
    <i r="2">
      <x v="42"/>
    </i>
    <i r="2">
      <x v="43"/>
    </i>
    <i>
      <x v="3"/>
    </i>
    <i r="1">
      <x v="12"/>
    </i>
    <i r="2">
      <x v="44"/>
    </i>
    <i r="2">
      <x v="45"/>
    </i>
    <i r="2">
      <x v="46"/>
    </i>
    <i t="grand">
      <x/>
    </i>
  </rowItems>
  <colItems count="1">
    <i/>
  </colItems>
  <dataFields count="1">
    <dataField name="Cuenta de Proyecto" fld="3" subtotal="count" baseField="0" baseItem="0"/>
  </dataFields>
  <formats count="13">
    <format dxfId="264">
      <pivotArea type="all" dataOnly="0" outline="0" fieldPosition="0"/>
    </format>
    <format dxfId="263">
      <pivotArea field="0" type="button" dataOnly="0" labelOnly="1" outline="0" axis="axisRow" fieldPosition="0"/>
    </format>
    <format dxfId="262">
      <pivotArea dataOnly="0" labelOnly="1" fieldPosition="0">
        <references count="1">
          <reference field="0" count="0"/>
        </references>
      </pivotArea>
    </format>
    <format dxfId="261">
      <pivotArea dataOnly="0" labelOnly="1" grandRow="1" outline="0" fieldPosition="0"/>
    </format>
    <format dxfId="260">
      <pivotArea dataOnly="0" labelOnly="1" fieldPosition="0">
        <references count="2">
          <reference field="0" count="1" selected="0">
            <x v="0"/>
          </reference>
          <reference field="1" count="1">
            <x v="0"/>
          </reference>
        </references>
      </pivotArea>
    </format>
    <format dxfId="259">
      <pivotArea dataOnly="0" labelOnly="1" fieldPosition="0">
        <references count="2">
          <reference field="0" count="1" selected="0">
            <x v="1"/>
          </reference>
          <reference field="1" count="6">
            <x v="1"/>
            <x v="2"/>
            <x v="3"/>
            <x v="4"/>
            <x v="5"/>
            <x v="6"/>
          </reference>
        </references>
      </pivotArea>
    </format>
    <format dxfId="258">
      <pivotArea dataOnly="0" labelOnly="1" fieldPosition="0">
        <references count="3">
          <reference field="0" count="1" selected="0">
            <x v="0"/>
          </reference>
          <reference field="1" count="1" selected="0">
            <x v="0"/>
          </reference>
          <reference field="2" count="4">
            <x v="4"/>
            <x v="5"/>
            <x v="11"/>
            <x v="23"/>
          </reference>
        </references>
      </pivotArea>
    </format>
    <format dxfId="257">
      <pivotArea dataOnly="0" labelOnly="1" fieldPosition="0">
        <references count="3">
          <reference field="0" count="1" selected="0">
            <x v="1"/>
          </reference>
          <reference field="1" count="1" selected="0">
            <x v="1"/>
          </reference>
          <reference field="2" count="3">
            <x v="2"/>
            <x v="10"/>
            <x v="16"/>
          </reference>
        </references>
      </pivotArea>
    </format>
    <format dxfId="256">
      <pivotArea dataOnly="0" labelOnly="1" fieldPosition="0">
        <references count="3">
          <reference field="0" count="1" selected="0">
            <x v="1"/>
          </reference>
          <reference field="1" count="1" selected="0">
            <x v="2"/>
          </reference>
          <reference field="2" count="3">
            <x v="20"/>
            <x v="21"/>
            <x v="22"/>
          </reference>
        </references>
      </pivotArea>
    </format>
    <format dxfId="255">
      <pivotArea dataOnly="0" labelOnly="1" fieldPosition="0">
        <references count="3">
          <reference field="0" count="1" selected="0">
            <x v="1"/>
          </reference>
          <reference field="1" count="1" selected="0">
            <x v="3"/>
          </reference>
          <reference field="2" count="13">
            <x v="0"/>
            <x v="1"/>
            <x v="3"/>
            <x v="6"/>
            <x v="9"/>
            <x v="12"/>
            <x v="13"/>
            <x v="14"/>
            <x v="15"/>
            <x v="17"/>
            <x v="26"/>
            <x v="27"/>
            <x v="28"/>
          </reference>
        </references>
      </pivotArea>
    </format>
    <format dxfId="254">
      <pivotArea dataOnly="0" labelOnly="1" fieldPosition="0">
        <references count="3">
          <reference field="0" count="1" selected="0">
            <x v="1"/>
          </reference>
          <reference field="1" count="1" selected="0">
            <x v="4"/>
          </reference>
          <reference field="2" count="2">
            <x v="7"/>
            <x v="8"/>
          </reference>
        </references>
      </pivotArea>
    </format>
    <format dxfId="253">
      <pivotArea dataOnly="0" labelOnly="1" fieldPosition="0">
        <references count="3">
          <reference field="0" count="1" selected="0">
            <x v="1"/>
          </reference>
          <reference field="1" count="1" selected="0">
            <x v="5"/>
          </reference>
          <reference field="2" count="3">
            <x v="18"/>
            <x v="19"/>
            <x v="24"/>
          </reference>
        </references>
      </pivotArea>
    </format>
    <format dxfId="252">
      <pivotArea dataOnly="0" labelOnly="1" fieldPosition="0">
        <references count="3">
          <reference field="0" count="1" selected="0">
            <x v="1"/>
          </reference>
          <reference field="1" count="1" selected="0">
            <x v="6"/>
          </reference>
          <reference field="2" count="3">
            <x v="25"/>
            <x v="29"/>
            <x v="3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70379E-C9F0-43DF-8D8B-517DDEFAD41D}" name="TablaDiná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9:I21"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axis="axisRow" dataField="1" showAll="0">
      <items count="13">
        <item x="7"/>
        <item m="1" x="11"/>
        <item x="4"/>
        <item x="9"/>
        <item x="5"/>
        <item x="2"/>
        <item x="1"/>
        <item x="8"/>
        <item x="10"/>
        <item x="0"/>
        <item x="6"/>
        <item x="3"/>
        <item t="default"/>
      </items>
    </pivotField>
    <pivotField showAll="0"/>
    <pivotField showAll="0"/>
  </pivotFields>
  <rowFields count="1">
    <field x="22"/>
  </rowFields>
  <rowItems count="12">
    <i>
      <x/>
    </i>
    <i>
      <x v="2"/>
    </i>
    <i>
      <x v="3"/>
    </i>
    <i>
      <x v="4"/>
    </i>
    <i>
      <x v="5"/>
    </i>
    <i>
      <x v="6"/>
    </i>
    <i>
      <x v="7"/>
    </i>
    <i>
      <x v="8"/>
    </i>
    <i>
      <x v="9"/>
    </i>
    <i>
      <x v="10"/>
    </i>
    <i>
      <x v="11"/>
    </i>
    <i t="grand">
      <x/>
    </i>
  </rowItems>
  <colItems count="1">
    <i/>
  </colItems>
  <dataFields count="1">
    <dataField name="Cuenta de Semáforo Fecha Terminación" fld="22" subtotal="count" baseField="0" baseItem="0"/>
  </dataFields>
  <formats count="30">
    <format dxfId="73">
      <pivotArea type="all" dataOnly="0" outline="0" fieldPosition="0"/>
    </format>
    <format dxfId="72">
      <pivotArea outline="0" collapsedLevelsAreSubtotals="1" fieldPosition="0"/>
    </format>
    <format dxfId="71">
      <pivotArea dataOnly="0" labelOnly="1" fieldPosition="0">
        <references count="1">
          <reference field="22" count="0"/>
        </references>
      </pivotArea>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fieldPosition="0">
        <references count="1">
          <reference field="22" count="0"/>
        </references>
      </pivotArea>
    </format>
    <format dxfId="66">
      <pivotArea dataOnly="0" labelOnly="1" outline="0" axis="axisValues" fieldPosition="0"/>
    </format>
    <format dxfId="65">
      <pivotArea outline="0" collapsedLevelsAreSubtotals="1" fieldPosition="0"/>
    </format>
    <format dxfId="64">
      <pivotArea dataOnly="0" labelOnly="1" outline="0" axis="axisValues" fieldPosition="0"/>
    </format>
    <format dxfId="63">
      <pivotArea outline="0" collapsedLevelsAreSubtotals="1" fieldPosition="0"/>
    </format>
    <format dxfId="62">
      <pivotArea dataOnly="0" labelOnly="1" outline="0" axis="axisValues" fieldPosition="0"/>
    </format>
    <format dxfId="61">
      <pivotArea collapsedLevelsAreSubtotals="1" fieldPosition="0">
        <references count="1">
          <reference field="22" count="1">
            <x v="6"/>
          </reference>
        </references>
      </pivotArea>
    </format>
    <format dxfId="60">
      <pivotArea dataOnly="0" labelOnly="1" fieldPosition="0">
        <references count="1">
          <reference field="22" count="1">
            <x v="6"/>
          </reference>
        </references>
      </pivotArea>
    </format>
    <format dxfId="59">
      <pivotArea dataOnly="0" fieldPosition="0">
        <references count="1">
          <reference field="22" count="1">
            <x v="3"/>
          </reference>
        </references>
      </pivotArea>
    </format>
    <format dxfId="58">
      <pivotArea dataOnly="0" fieldPosition="0">
        <references count="1">
          <reference field="22" count="1">
            <x v="0"/>
          </reference>
        </references>
      </pivotArea>
    </format>
    <format dxfId="57">
      <pivotArea type="all" dataOnly="0" outline="0" fieldPosition="0"/>
    </format>
    <format dxfId="56">
      <pivotArea outline="0" collapsedLevelsAreSubtotals="1" fieldPosition="0"/>
    </format>
    <format dxfId="55">
      <pivotArea field="22" type="button" dataOnly="0" labelOnly="1" outline="0" axis="axisRow" fieldPosition="0"/>
    </format>
    <format dxfId="54">
      <pivotArea dataOnly="0" labelOnly="1" fieldPosition="0">
        <references count="1">
          <reference field="22" count="0"/>
        </references>
      </pivotArea>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22" type="button" dataOnly="0" labelOnly="1" outline="0" axis="axisRow" fieldPosition="0"/>
    </format>
    <format dxfId="48">
      <pivotArea dataOnly="0" labelOnly="1" fieldPosition="0">
        <references count="1">
          <reference field="22" count="0"/>
        </references>
      </pivotArea>
    </format>
    <format dxfId="47">
      <pivotArea dataOnly="0" labelOnly="1" grandRow="1" outline="0" fieldPosition="0"/>
    </format>
    <format dxfId="46">
      <pivotArea dataOnly="0" labelOnly="1" outline="0" axis="axisValues" fieldPosition="0"/>
    </format>
    <format dxfId="45">
      <pivotArea field="22" type="button" dataOnly="0" labelOnly="1" outline="0" axis="axisRow" fieldPosition="0"/>
    </format>
    <format dxfId="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EC10B-B79B-49F3-ABA9-77DDA0000C1E}"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3:I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axis="axisRow" dataField="1" showAll="0">
      <items count="4">
        <item x="1"/>
        <item x="2"/>
        <item x="0"/>
        <item t="default"/>
      </items>
    </pivotField>
    <pivotField showAll="0"/>
    <pivotField showAll="0"/>
    <pivotField showAll="0"/>
    <pivotField showAll="0"/>
    <pivotField showAll="0"/>
    <pivotField showAll="0"/>
  </pivotFields>
  <rowFields count="1">
    <field x="18"/>
  </rowFields>
  <rowItems count="4">
    <i>
      <x/>
    </i>
    <i>
      <x v="1"/>
    </i>
    <i>
      <x v="2"/>
    </i>
    <i t="grand">
      <x/>
    </i>
  </rowItems>
  <colItems count="1">
    <i/>
  </colItems>
  <dataFields count="1">
    <dataField name="Cuenta de Semáforo Cronograma" fld="18" subtotal="count" baseField="0" baseItem="0"/>
  </dataFields>
  <formats count="38">
    <format dxfId="111">
      <pivotArea type="all" dataOnly="0" outline="0" fieldPosition="0"/>
    </format>
    <format dxfId="110">
      <pivotArea outline="0" collapsedLevelsAreSubtotals="1" fieldPosition="0"/>
    </format>
    <format dxfId="109">
      <pivotArea dataOnly="0" labelOnly="1" fieldPosition="0">
        <references count="1">
          <reference field="18" count="0"/>
        </references>
      </pivotArea>
    </format>
    <format dxfId="108">
      <pivotArea dataOnly="0" labelOnly="1" outline="0" axis="axisValues" fieldPosition="0"/>
    </format>
    <format dxfId="107">
      <pivotArea type="all" dataOnly="0" outline="0" fieldPosition="0"/>
    </format>
    <format dxfId="106">
      <pivotArea outline="0" collapsedLevelsAreSubtotals="1" fieldPosition="0"/>
    </format>
    <format dxfId="105">
      <pivotArea dataOnly="0" labelOnly="1" fieldPosition="0">
        <references count="1">
          <reference field="18" count="0"/>
        </references>
      </pivotArea>
    </format>
    <format dxfId="104">
      <pivotArea dataOnly="0" labelOnly="1" outline="0" axis="axisValues" fieldPosition="0"/>
    </format>
    <format dxfId="103">
      <pivotArea outline="0" collapsedLevelsAreSubtotals="1" fieldPosition="0"/>
    </format>
    <format dxfId="102">
      <pivotArea dataOnly="0" labelOnly="1" outline="0" axis="axisValues" fieldPosition="0"/>
    </format>
    <format dxfId="101">
      <pivotArea outline="0" collapsedLevelsAreSubtotals="1" fieldPosition="0"/>
    </format>
    <format dxfId="100">
      <pivotArea dataOnly="0" labelOnly="1" outline="0" axis="axisValues" fieldPosition="0"/>
    </format>
    <format dxfId="99">
      <pivotArea dataOnly="0" labelOnly="1" fieldPosition="0">
        <references count="1">
          <reference field="18" count="1">
            <x v="0"/>
          </reference>
        </references>
      </pivotArea>
    </format>
    <format dxfId="98">
      <pivotArea dataOnly="0" labelOnly="1" fieldPosition="0">
        <references count="1">
          <reference field="18" count="1">
            <x v="1"/>
          </reference>
        </references>
      </pivotArea>
    </format>
    <format dxfId="97">
      <pivotArea dataOnly="0" labelOnly="1" fieldPosition="0">
        <references count="1">
          <reference field="18" count="1">
            <x v="2"/>
          </reference>
        </references>
      </pivotArea>
    </format>
    <format dxfId="96">
      <pivotArea type="all" dataOnly="0" outline="0" fieldPosition="0"/>
    </format>
    <format dxfId="95">
      <pivotArea outline="0" collapsedLevelsAreSubtotals="1" fieldPosition="0"/>
    </format>
    <format dxfId="94">
      <pivotArea field="18" type="button" dataOnly="0" labelOnly="1" outline="0" axis="axisRow" fieldPosition="0"/>
    </format>
    <format dxfId="93">
      <pivotArea dataOnly="0" labelOnly="1" fieldPosition="0">
        <references count="1">
          <reference field="18"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18" type="button" dataOnly="0" labelOnly="1" outline="0" axis="axisRow" fieldPosition="0"/>
    </format>
    <format dxfId="87">
      <pivotArea dataOnly="0" labelOnly="1" fieldPosition="0">
        <references count="1">
          <reference field="18" count="0"/>
        </references>
      </pivotArea>
    </format>
    <format dxfId="86">
      <pivotArea dataOnly="0" labelOnly="1" grandRow="1" outline="0" fieldPosition="0"/>
    </format>
    <format dxfId="85">
      <pivotArea dataOnly="0" labelOnly="1" outline="0" axis="axisValues" fieldPosition="0"/>
    </format>
    <format dxfId="84">
      <pivotArea collapsedLevelsAreSubtotals="1" fieldPosition="0">
        <references count="1">
          <reference field="18" count="1">
            <x v="0"/>
          </reference>
        </references>
      </pivotArea>
    </format>
    <format dxfId="83">
      <pivotArea collapsedLevelsAreSubtotals="1" fieldPosition="0">
        <references count="1">
          <reference field="18" count="1">
            <x v="1"/>
          </reference>
        </references>
      </pivotArea>
    </format>
    <format dxfId="82">
      <pivotArea collapsedLevelsAreSubtotals="1" fieldPosition="0">
        <references count="1">
          <reference field="18" count="1">
            <x v="2"/>
          </reference>
        </references>
      </pivotArea>
    </format>
    <format dxfId="81">
      <pivotArea collapsedLevelsAreSubtotals="1" fieldPosition="0">
        <references count="1">
          <reference field="18" count="1">
            <x v="2"/>
          </reference>
        </references>
      </pivotArea>
    </format>
    <format dxfId="80">
      <pivotArea dataOnly="0" labelOnly="1" fieldPosition="0">
        <references count="1">
          <reference field="18" count="1">
            <x v="2"/>
          </reference>
        </references>
      </pivotArea>
    </format>
    <format dxfId="79">
      <pivotArea field="18" type="button" dataOnly="0" labelOnly="1" outline="0" axis="axisRow" fieldPosition="0"/>
    </format>
    <format dxfId="78">
      <pivotArea dataOnly="0" labelOnly="1" outline="0" axis="axisValues" fieldPosition="0"/>
    </format>
    <format dxfId="77">
      <pivotArea field="18" type="button" dataOnly="0" labelOnly="1" outline="0" axis="axisRow" fieldPosition="0"/>
    </format>
    <format dxfId="76">
      <pivotArea dataOnly="0" labelOnly="1" outline="0" axis="axisValues" fieldPosition="0"/>
    </format>
    <format dxfId="75">
      <pivotArea field="18" type="button" dataOnly="0" labelOnly="1" outline="0" axis="axisRow" fieldPosition="0"/>
    </format>
    <format dxfId="7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D795E-E657-4F72-ACF9-ABE57D796DE3}"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H23:I27"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s>
  <rowFields count="1">
    <field x="23"/>
  </rowFields>
  <rowItems count="4">
    <i>
      <x/>
    </i>
    <i>
      <x v="1"/>
    </i>
    <i>
      <x v="2"/>
    </i>
    <i t="grand">
      <x/>
    </i>
  </rowItems>
  <colItems count="1">
    <i/>
  </colItems>
  <dataFields count="1">
    <dataField name="Cuenta de Semáforo Críticos" fld="23" subtotal="count" baseField="0" baseItem="0"/>
  </dataFields>
  <formats count="28">
    <format dxfId="139">
      <pivotArea type="all" dataOnly="0" outline="0" fieldPosition="0"/>
    </format>
    <format dxfId="138">
      <pivotArea outline="0" collapsedLevelsAreSubtotals="1" fieldPosition="0"/>
    </format>
    <format dxfId="137">
      <pivotArea dataOnly="0" labelOnly="1" fieldPosition="0">
        <references count="1">
          <reference field="23" count="0"/>
        </references>
      </pivotArea>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fieldPosition="0">
        <references count="1">
          <reference field="23" count="0"/>
        </references>
      </pivotArea>
    </format>
    <format dxfId="132">
      <pivotArea dataOnly="0" labelOnly="1" outline="0" axis="axisValues" fieldPosition="0"/>
    </format>
    <format dxfId="131">
      <pivotArea outline="0" collapsedLevelsAreSubtotals="1" fieldPosition="0"/>
    </format>
    <format dxfId="130">
      <pivotArea dataOnly="0" labelOnly="1" outline="0" axis="axisValues" fieldPosition="0"/>
    </format>
    <format dxfId="129">
      <pivotArea outline="0" collapsedLevelsAreSubtotals="1" fieldPosition="0"/>
    </format>
    <format dxfId="128">
      <pivotArea dataOnly="0" labelOnly="1" outline="0" axis="axisValues" fieldPosition="0"/>
    </format>
    <format dxfId="127">
      <pivotArea collapsedLevelsAreSubtotals="1" fieldPosition="0">
        <references count="1">
          <reference field="23" count="1">
            <x v="1"/>
          </reference>
        </references>
      </pivotArea>
    </format>
    <format dxfId="126">
      <pivotArea dataOnly="0" labelOnly="1" fieldPosition="0">
        <references count="1">
          <reference field="23" count="1">
            <x v="1"/>
          </reference>
        </references>
      </pivotArea>
    </format>
    <format dxfId="125">
      <pivotArea type="all" dataOnly="0" outline="0" fieldPosition="0"/>
    </format>
    <format dxfId="124">
      <pivotArea outline="0" collapsedLevelsAreSubtotals="1" fieldPosition="0"/>
    </format>
    <format dxfId="123">
      <pivotArea field="23" type="button" dataOnly="0" labelOnly="1" outline="0" axis="axisRow" fieldPosition="0"/>
    </format>
    <format dxfId="122">
      <pivotArea dataOnly="0" labelOnly="1" fieldPosition="0">
        <references count="1">
          <reference field="23" count="0"/>
        </references>
      </pivotArea>
    </format>
    <format dxfId="121">
      <pivotArea dataOnly="0" labelOnly="1" grandRow="1" outline="0" fieldPosition="0"/>
    </format>
    <format dxfId="120">
      <pivotArea dataOnly="0" labelOnly="1" outline="0" axis="axisValues" fieldPosition="0"/>
    </format>
    <format dxfId="119">
      <pivotArea type="all" dataOnly="0" outline="0" fieldPosition="0"/>
    </format>
    <format dxfId="118">
      <pivotArea outline="0" collapsedLevelsAreSubtotals="1" fieldPosition="0"/>
    </format>
    <format dxfId="117">
      <pivotArea field="23" type="button" dataOnly="0" labelOnly="1" outline="0" axis="axisRow" fieldPosition="0"/>
    </format>
    <format dxfId="116">
      <pivotArea dataOnly="0" labelOnly="1" fieldPosition="0">
        <references count="1">
          <reference field="23" count="0"/>
        </references>
      </pivotArea>
    </format>
    <format dxfId="115">
      <pivotArea dataOnly="0" labelOnly="1" grandRow="1" outline="0" fieldPosition="0"/>
    </format>
    <format dxfId="114">
      <pivotArea dataOnly="0" labelOnly="1" outline="0" axis="axisValues" fieldPosition="0"/>
    </format>
    <format dxfId="113">
      <pivotArea field="23" type="button" dataOnly="0" labelOnly="1" outline="0" axis="axisRow" fieldPosition="0"/>
    </format>
    <format dxfId="1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64E64F-DEAB-457A-A731-54381E861CF1}"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2:F42" firstHeaderRow="1" firstDataRow="1" firstDataCol="1"/>
  <pivotFields count="25">
    <pivotField showAll="0"/>
    <pivotField showAll="0"/>
    <pivotField showAll="0"/>
    <pivotField axis="axisRow" dataField="1" showAll="0">
      <items count="14">
        <item x="4"/>
        <item x="10"/>
        <item x="2"/>
        <item x="0"/>
        <item x="3"/>
        <item x="7"/>
        <item x="5"/>
        <item x="8"/>
        <item x="1"/>
        <item x="6"/>
        <item x="9"/>
        <item m="1" x="12"/>
        <item x="11"/>
        <item t="default"/>
      </items>
    </pivotField>
    <pivotField axis="axisRow" showAll="0">
      <items count="29">
        <item x="9"/>
        <item x="17"/>
        <item x="11"/>
        <item x="1"/>
        <item x="12"/>
        <item x="2"/>
        <item x="5"/>
        <item x="10"/>
        <item x="13"/>
        <item x="19"/>
        <item x="3"/>
        <item x="16"/>
        <item x="15"/>
        <item x="18"/>
        <item x="14"/>
        <item x="0"/>
        <item x="7"/>
        <item x="8"/>
        <item x="6"/>
        <item x="4"/>
        <item x="20"/>
        <item x="21"/>
        <item m="1" x="25"/>
        <item m="1" x="26"/>
        <item m="1" x="27"/>
        <item x="22"/>
        <item x="23"/>
        <item x="24"/>
        <item t="default"/>
      </items>
    </pivotField>
    <pivotField showAll="0"/>
    <pivotField showAll="0"/>
    <pivotField showAll="0"/>
    <pivotField showAll="0"/>
    <pivotField showAll="0"/>
    <pivotField showAll="0"/>
    <pivotField showAll="0"/>
    <pivotField showAll="0"/>
    <pivotField showAll="0"/>
    <pivotField numFmtId="44" showAll="0"/>
    <pivotField showAll="0"/>
    <pivotField showAll="0"/>
    <pivotField showAll="0"/>
    <pivotField showAll="0"/>
    <pivotField showAll="0"/>
    <pivotField showAll="0"/>
    <pivotField showAll="0"/>
    <pivotField showAll="0"/>
    <pivotField showAll="0"/>
    <pivotField showAll="0"/>
  </pivotFields>
  <rowFields count="2">
    <field x="3"/>
    <field x="4"/>
  </rowFields>
  <rowItems count="40">
    <i>
      <x/>
    </i>
    <i r="1">
      <x/>
    </i>
    <i>
      <x v="1"/>
    </i>
    <i r="1">
      <x v="1"/>
    </i>
    <i>
      <x v="2"/>
    </i>
    <i r="1">
      <x v="5"/>
    </i>
    <i r="1">
      <x v="19"/>
    </i>
    <i>
      <x v="3"/>
    </i>
    <i r="1">
      <x v="9"/>
    </i>
    <i r="1">
      <x v="10"/>
    </i>
    <i r="1">
      <x v="15"/>
    </i>
    <i r="1">
      <x v="17"/>
    </i>
    <i r="1">
      <x v="21"/>
    </i>
    <i>
      <x v="4"/>
    </i>
    <i r="1">
      <x v="6"/>
    </i>
    <i r="1">
      <x v="16"/>
    </i>
    <i r="1">
      <x v="18"/>
    </i>
    <i r="1">
      <x v="20"/>
    </i>
    <i>
      <x v="5"/>
    </i>
    <i r="1">
      <x v="4"/>
    </i>
    <i>
      <x v="6"/>
    </i>
    <i r="1">
      <x v="7"/>
    </i>
    <i r="1">
      <x v="13"/>
    </i>
    <i>
      <x v="7"/>
    </i>
    <i r="1">
      <x v="8"/>
    </i>
    <i r="1">
      <x v="14"/>
    </i>
    <i>
      <x v="8"/>
    </i>
    <i r="1">
      <x v="3"/>
    </i>
    <i>
      <x v="9"/>
    </i>
    <i r="1">
      <x v="2"/>
    </i>
    <i r="1">
      <x v="11"/>
    </i>
    <i r="1">
      <x v="21"/>
    </i>
    <i>
      <x v="10"/>
    </i>
    <i r="1">
      <x v="12"/>
    </i>
    <i>
      <x v="12"/>
    </i>
    <i r="1">
      <x v="9"/>
    </i>
    <i r="1">
      <x v="25"/>
    </i>
    <i r="1">
      <x v="26"/>
    </i>
    <i r="1">
      <x v="27"/>
    </i>
    <i t="grand">
      <x/>
    </i>
  </rowItems>
  <colItems count="1">
    <i/>
  </colItems>
  <dataFields count="1">
    <dataField name="Cuenta de Sectores " fld="3" subtotal="count" baseField="0" baseItem="0"/>
  </dataFields>
  <formats count="27">
    <format dxfId="166">
      <pivotArea type="all" dataOnly="0" outline="0" fieldPosition="0"/>
    </format>
    <format dxfId="165">
      <pivotArea outline="0" collapsedLevelsAreSubtotals="1" fieldPosition="0"/>
    </format>
    <format dxfId="164">
      <pivotArea field="3" type="button" dataOnly="0" labelOnly="1" outline="0" axis="axisRow" fieldPosition="0"/>
    </format>
    <format dxfId="163">
      <pivotArea dataOnly="0" labelOnly="1" outline="0" axis="axisValues" fieldPosition="0"/>
    </format>
    <format dxfId="162">
      <pivotArea outline="0" collapsedLevelsAreSubtotals="1" fieldPosition="0"/>
    </format>
    <format dxfId="161">
      <pivotArea field="3" type="button" dataOnly="0" labelOnly="1" outline="0" axis="axisRow" fieldPosition="0"/>
    </format>
    <format dxfId="160">
      <pivotArea dataOnly="0" labelOnly="1" outline="0" axis="axisValues" fieldPosition="0"/>
    </format>
    <format dxfId="159">
      <pivotArea field="3" type="button" dataOnly="0" labelOnly="1" outline="0" axis="axisRow" fieldPosition="0"/>
    </format>
    <format dxfId="158">
      <pivotArea dataOnly="0" labelOnly="1" outline="0" axis="axisValues" fieldPosition="0"/>
    </format>
    <format dxfId="157">
      <pivotArea field="3" type="button" dataOnly="0" labelOnly="1" outline="0" axis="axisRow" fieldPosition="0"/>
    </format>
    <format dxfId="156">
      <pivotArea dataOnly="0" outline="0" axis="axisValues" fieldPosition="0"/>
    </format>
    <format dxfId="155">
      <pivotArea type="all" dataOnly="0" outline="0" fieldPosition="0"/>
    </format>
    <format dxfId="154">
      <pivotArea outline="0" collapsedLevelsAreSubtotals="1" fieldPosition="0"/>
    </format>
    <format dxfId="153">
      <pivotArea field="3" type="button" dataOnly="0" labelOnly="1" outline="0" axis="axisRow" fieldPosition="0"/>
    </format>
    <format dxfId="152">
      <pivotArea dataOnly="0" labelOnly="1" fieldPosition="0">
        <references count="1">
          <reference field="3"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3" type="button" dataOnly="0" labelOnly="1" outline="0" axis="axisRow" fieldPosition="0"/>
    </format>
    <format dxfId="146">
      <pivotArea dataOnly="0" labelOnly="1" fieldPosition="0">
        <references count="1">
          <reference field="3" count="0"/>
        </references>
      </pivotArea>
    </format>
    <format dxfId="145">
      <pivotArea dataOnly="0" labelOnly="1" grandRow="1" outline="0" fieldPosition="0"/>
    </format>
    <format dxfId="144">
      <pivotArea dataOnly="0" labelOnly="1" outline="0" axis="axisValues" fieldPosition="0"/>
    </format>
    <format dxfId="143">
      <pivotArea outline="0" collapsedLevelsAreSubtotals="1" fieldPosition="0"/>
    </format>
    <format dxfId="142">
      <pivotArea dataOnly="0" labelOnly="1" outline="0" axis="axisValues" fieldPosition="0"/>
    </format>
    <format dxfId="141">
      <pivotArea outline="0" collapsedLevelsAreSubtotals="1" fieldPosition="0"/>
    </format>
    <format dxfId="1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609228-35F4-49BA-A0A5-5C9481B061B3}"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2:D19"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name="Estado Proyecto2" showAll="0"/>
    <pivotField showAll="0"/>
    <pivotField numFmtId="44" showAll="0"/>
    <pivotField showAll="0"/>
    <pivotField showAll="0"/>
    <pivotField showAll="0"/>
    <pivotField showAll="0"/>
    <pivotField showAll="0"/>
    <pivotField showAll="0"/>
    <pivotField showAll="0"/>
    <pivotField showAll="0"/>
    <pivotField showAll="0"/>
    <pivotField showAll="0"/>
  </pivotFields>
  <formats count="12">
    <format dxfId="178">
      <pivotArea type="all" dataOnly="0" outline="0" fieldPosition="0"/>
    </format>
    <format dxfId="177">
      <pivotArea outline="0" collapsedLevelsAreSubtotals="1" fieldPosition="0"/>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dataOnly="0" labelOnly="1" grandRow="1" outline="0" fieldPosition="0"/>
    </format>
    <format dxfId="171">
      <pivotArea dataOnly="0" labelOnly="1" outline="0" axis="axisValues" fieldPosition="0"/>
    </format>
    <format dxfId="170">
      <pivotArea outline="0" collapsedLevelsAreSubtotals="1" fieldPosition="0"/>
    </format>
    <format dxfId="169">
      <pivotArea dataOnly="0" labelOnly="1" outline="0" axis="axisValues" fieldPosition="0"/>
    </format>
    <format dxfId="168">
      <pivotArea outline="0" collapsedLevelsAreSubtotals="1" fieldPosition="0"/>
    </format>
    <format dxfId="1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CC1D3D-A69D-4B63-A9AB-97B3796AAF64}" name="TablaDiná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43:W51" firstHeaderRow="1" firstDataRow="1" firstDataCol="1" rowPageCount="2" colPageCount="1"/>
  <pivotFields count="20">
    <pivotField showAll="0"/>
    <pivotField showAll="0"/>
    <pivotField axis="axisRow" showAll="0">
      <items count="161">
        <item x="67"/>
        <item x="68"/>
        <item x="69"/>
        <item x="26"/>
        <item x="35"/>
        <item x="36"/>
        <item x="37"/>
        <item x="27"/>
        <item x="28"/>
        <item x="29"/>
        <item x="30"/>
        <item x="31"/>
        <item x="32"/>
        <item x="33"/>
        <item x="34"/>
        <item x="47"/>
        <item x="48"/>
        <item x="49"/>
        <item x="50"/>
        <item x="51"/>
        <item x="52"/>
        <item x="53"/>
        <item x="54"/>
        <item x="55"/>
        <item x="3"/>
        <item x="2"/>
        <item x="4"/>
        <item x="118"/>
        <item m="1" x="154"/>
        <item x="5"/>
        <item x="8"/>
        <item x="126"/>
        <item x="123"/>
        <item x="9"/>
        <item x="7"/>
        <item x="25"/>
        <item x="6"/>
        <item x="113"/>
        <item x="114"/>
        <item x="115"/>
        <item x="116"/>
        <item x="127"/>
        <item x="41"/>
        <item x="39"/>
        <item x="40"/>
        <item x="42"/>
        <item x="38"/>
        <item x="44"/>
        <item x="45"/>
        <item m="1" x="155"/>
        <item m="1" x="153"/>
        <item x="64"/>
        <item x="65"/>
        <item x="66"/>
        <item x="46"/>
        <item x="56"/>
        <item x="57"/>
        <item x="58"/>
        <item x="59"/>
        <item x="60"/>
        <item x="61"/>
        <item x="62"/>
        <item x="63"/>
        <item x="119"/>
        <item x="1"/>
        <item x="0"/>
        <item x="13"/>
        <item x="16"/>
        <item x="14"/>
        <item x="12"/>
        <item x="11"/>
        <item x="15"/>
        <item x="120"/>
        <item x="131"/>
        <item x="135"/>
        <item m="1" x="152"/>
        <item x="132"/>
        <item m="1" x="151"/>
        <item x="130"/>
        <item m="1" x="147"/>
        <item x="129"/>
        <item x="117"/>
        <item x="75"/>
        <item x="73"/>
        <item x="74"/>
        <item x="76"/>
        <item x="77"/>
        <item x="70"/>
        <item x="71"/>
        <item x="72"/>
        <item x="78"/>
        <item m="1" x="156"/>
        <item m="1" x="148"/>
        <item m="1" x="157"/>
        <item m="1" x="149"/>
        <item m="1" x="158"/>
        <item m="1" x="150"/>
        <item m="1" x="159"/>
        <item x="125"/>
        <item x="10"/>
        <item x="121"/>
        <item x="124"/>
        <item x="24"/>
        <item x="122"/>
        <item x="21"/>
        <item x="22"/>
        <item x="17"/>
        <item x="19"/>
        <item x="23"/>
        <item x="18"/>
        <item x="20"/>
        <item x="43"/>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28"/>
        <item x="133"/>
        <item x="134"/>
        <item x="136"/>
        <item x="137"/>
        <item x="138"/>
        <item x="139"/>
        <item x="140"/>
        <item x="141"/>
        <item x="142"/>
        <item x="143"/>
        <item x="144"/>
        <item x="145"/>
        <item x="146"/>
        <item t="default"/>
      </items>
    </pivotField>
    <pivotField showAll="0"/>
    <pivotField showAll="0"/>
    <pivotField showAll="0"/>
    <pivotField showAll="0"/>
    <pivotField axis="axisPage" multipleItemSelectionAllowed="1" showAll="0">
      <items count="5">
        <item x="0"/>
        <item h="1" x="3"/>
        <item h="1" x="1"/>
        <item h="1" x="2"/>
        <item t="default"/>
      </items>
    </pivotField>
    <pivotField showAll="0"/>
    <pivotField showAll="0"/>
    <pivotField showAll="0"/>
    <pivotField showAll="0"/>
    <pivotField showAll="0"/>
    <pivotField axis="axisPage" multipleItemSelectionAllowed="1" showAll="0">
      <items count="4">
        <item x="1"/>
        <item h="1" x="2"/>
        <item h="1" x="0"/>
        <item t="default"/>
      </items>
    </pivotField>
    <pivotField showAll="0"/>
    <pivotField showAll="0"/>
    <pivotField showAll="0"/>
    <pivotField showAll="0"/>
    <pivotField showAll="0"/>
    <pivotField showAll="0"/>
  </pivotFields>
  <rowFields count="1">
    <field x="2"/>
  </rowFields>
  <rowItems count="8">
    <i>
      <x v="7"/>
    </i>
    <i>
      <x v="26"/>
    </i>
    <i>
      <x v="53"/>
    </i>
    <i>
      <x v="64"/>
    </i>
    <i>
      <x v="84"/>
    </i>
    <i>
      <x v="101"/>
    </i>
    <i>
      <x v="109"/>
    </i>
    <i t="grand">
      <x/>
    </i>
  </rowItems>
  <colItems count="1">
    <i/>
  </colItems>
  <pageFields count="2">
    <pageField fld="7" hier="-1"/>
    <pageField fld="13" hier="-1"/>
  </pageFields>
  <formats count="2">
    <format dxfId="42">
      <pivotArea dataOnly="0" labelOnly="1" outline="0" fieldPosition="0">
        <references count="1">
          <reference field="13" count="0"/>
        </references>
      </pivotArea>
    </format>
    <format dxfId="41">
      <pivotArea dataOnly="0" labelOnly="1" fieldPosition="0">
        <references count="1">
          <reference field="2" count="24">
            <x v="4"/>
            <x v="5"/>
            <x v="8"/>
            <x v="9"/>
            <x v="11"/>
            <x v="13"/>
            <x v="14"/>
            <x v="24"/>
            <x v="25"/>
            <x v="26"/>
            <x v="42"/>
            <x v="43"/>
            <x v="45"/>
            <x v="46"/>
            <x v="52"/>
            <x v="66"/>
            <x v="70"/>
            <x v="82"/>
            <x v="83"/>
            <x v="87"/>
            <x v="99"/>
            <x v="102"/>
            <x v="103"/>
            <x v="1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DAB9BD-AF37-464D-BDCE-B128977B8EB2}" name="TablaDiná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76:W85" firstHeaderRow="1" firstDataRow="1" firstDataCol="1" rowPageCount="1" colPageCount="1"/>
  <pivotFields count="20">
    <pivotField showAll="0"/>
    <pivotField showAll="0"/>
    <pivotField axis="axisRow" showAll="0">
      <items count="161">
        <item x="67"/>
        <item x="68"/>
        <item x="69"/>
        <item x="26"/>
        <item x="35"/>
        <item x="36"/>
        <item x="37"/>
        <item x="27"/>
        <item x="28"/>
        <item x="29"/>
        <item x="30"/>
        <item x="31"/>
        <item x="32"/>
        <item x="33"/>
        <item x="34"/>
        <item x="47"/>
        <item x="48"/>
        <item x="49"/>
        <item x="50"/>
        <item x="51"/>
        <item x="52"/>
        <item x="53"/>
        <item x="54"/>
        <item x="55"/>
        <item x="3"/>
        <item x="2"/>
        <item x="4"/>
        <item x="118"/>
        <item m="1" x="154"/>
        <item x="5"/>
        <item x="8"/>
        <item x="126"/>
        <item x="123"/>
        <item x="9"/>
        <item x="7"/>
        <item x="25"/>
        <item x="6"/>
        <item x="113"/>
        <item x="114"/>
        <item x="115"/>
        <item x="116"/>
        <item x="127"/>
        <item x="41"/>
        <item x="39"/>
        <item x="40"/>
        <item x="42"/>
        <item x="38"/>
        <item x="44"/>
        <item x="45"/>
        <item m="1" x="155"/>
        <item m="1" x="153"/>
        <item x="64"/>
        <item x="65"/>
        <item x="66"/>
        <item x="46"/>
        <item x="56"/>
        <item x="57"/>
        <item x="58"/>
        <item x="59"/>
        <item x="60"/>
        <item x="61"/>
        <item x="62"/>
        <item x="63"/>
        <item x="119"/>
        <item x="1"/>
        <item x="0"/>
        <item x="13"/>
        <item x="16"/>
        <item x="14"/>
        <item x="12"/>
        <item x="11"/>
        <item x="15"/>
        <item x="120"/>
        <item x="131"/>
        <item x="135"/>
        <item m="1" x="152"/>
        <item x="132"/>
        <item m="1" x="151"/>
        <item x="130"/>
        <item m="1" x="147"/>
        <item x="129"/>
        <item x="117"/>
        <item x="75"/>
        <item x="73"/>
        <item x="74"/>
        <item x="76"/>
        <item x="77"/>
        <item x="70"/>
        <item x="71"/>
        <item x="72"/>
        <item x="78"/>
        <item m="1" x="156"/>
        <item m="1" x="148"/>
        <item m="1" x="157"/>
        <item m="1" x="149"/>
        <item m="1" x="158"/>
        <item m="1" x="150"/>
        <item m="1" x="159"/>
        <item x="125"/>
        <item x="10"/>
        <item x="121"/>
        <item x="124"/>
        <item x="24"/>
        <item x="122"/>
        <item x="21"/>
        <item x="22"/>
        <item x="17"/>
        <item x="19"/>
        <item x="23"/>
        <item x="18"/>
        <item x="20"/>
        <item x="43"/>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28"/>
        <item x="133"/>
        <item x="134"/>
        <item x="136"/>
        <item x="137"/>
        <item x="138"/>
        <item x="139"/>
        <item x="140"/>
        <item x="141"/>
        <item x="142"/>
        <item x="143"/>
        <item x="144"/>
        <item x="145"/>
        <item x="14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3">
        <item h="1" x="0"/>
        <item x="1"/>
        <item t="default"/>
      </items>
    </pivotField>
    <pivotField showAll="0"/>
  </pivotFields>
  <rowFields count="1">
    <field x="2"/>
  </rowFields>
  <rowItems count="9">
    <i>
      <x v="7"/>
    </i>
    <i>
      <x v="37"/>
    </i>
    <i>
      <x v="38"/>
    </i>
    <i>
      <x v="39"/>
    </i>
    <i>
      <x v="40"/>
    </i>
    <i>
      <x v="99"/>
    </i>
    <i>
      <x v="102"/>
    </i>
    <i>
      <x v="103"/>
    </i>
    <i t="grand">
      <x/>
    </i>
  </rowItems>
  <colItems count="1">
    <i/>
  </colItems>
  <pageFields count="1">
    <pageField fld="18" hier="-1"/>
  </pageFields>
  <formats count="1">
    <format dxfId="43">
      <pivotArea dataOnly="0" labelOnly="1" outline="0"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D6BE17A-9986-41CD-A1B3-87A871C33D0D}"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W95:W103" firstHeaderRow="1" firstDataRow="1" firstDataCol="1" rowPageCount="1" colPageCount="1"/>
  <pivotFields count="20">
    <pivotField showAll="0"/>
    <pivotField showAll="0"/>
    <pivotField axis="axisRow" showAll="0">
      <items count="161">
        <item x="67"/>
        <item x="68"/>
        <item x="69"/>
        <item x="26"/>
        <item x="35"/>
        <item x="36"/>
        <item x="37"/>
        <item x="27"/>
        <item x="28"/>
        <item x="29"/>
        <item x="30"/>
        <item x="31"/>
        <item x="32"/>
        <item x="33"/>
        <item x="34"/>
        <item x="47"/>
        <item x="48"/>
        <item x="49"/>
        <item x="50"/>
        <item x="51"/>
        <item x="52"/>
        <item x="53"/>
        <item x="54"/>
        <item x="55"/>
        <item x="3"/>
        <item x="2"/>
        <item x="4"/>
        <item x="118"/>
        <item m="1" x="154"/>
        <item x="5"/>
        <item x="8"/>
        <item x="126"/>
        <item x="123"/>
        <item x="9"/>
        <item x="7"/>
        <item x="25"/>
        <item x="6"/>
        <item x="113"/>
        <item x="114"/>
        <item x="115"/>
        <item x="116"/>
        <item x="127"/>
        <item x="41"/>
        <item x="39"/>
        <item x="40"/>
        <item x="42"/>
        <item x="38"/>
        <item x="44"/>
        <item x="45"/>
        <item m="1" x="155"/>
        <item m="1" x="153"/>
        <item x="64"/>
        <item x="65"/>
        <item x="66"/>
        <item x="46"/>
        <item x="56"/>
        <item x="57"/>
        <item x="58"/>
        <item x="59"/>
        <item x="60"/>
        <item x="61"/>
        <item x="62"/>
        <item x="63"/>
        <item x="119"/>
        <item x="1"/>
        <item x="0"/>
        <item x="13"/>
        <item x="16"/>
        <item x="14"/>
        <item x="12"/>
        <item x="11"/>
        <item x="15"/>
        <item x="120"/>
        <item x="131"/>
        <item x="135"/>
        <item m="1" x="152"/>
        <item x="132"/>
        <item m="1" x="151"/>
        <item x="130"/>
        <item m="1" x="147"/>
        <item x="129"/>
        <item x="117"/>
        <item x="75"/>
        <item x="73"/>
        <item x="74"/>
        <item x="76"/>
        <item x="77"/>
        <item x="70"/>
        <item x="71"/>
        <item x="72"/>
        <item x="78"/>
        <item m="1" x="156"/>
        <item m="1" x="148"/>
        <item m="1" x="157"/>
        <item m="1" x="149"/>
        <item m="1" x="158"/>
        <item m="1" x="150"/>
        <item m="1" x="159"/>
        <item x="125"/>
        <item x="10"/>
        <item x="121"/>
        <item x="124"/>
        <item x="24"/>
        <item x="122"/>
        <item x="21"/>
        <item x="22"/>
        <item x="17"/>
        <item x="19"/>
        <item x="23"/>
        <item x="18"/>
        <item x="20"/>
        <item x="43"/>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28"/>
        <item x="133"/>
        <item x="134"/>
        <item x="136"/>
        <item x="137"/>
        <item x="138"/>
        <item x="139"/>
        <item x="140"/>
        <item x="141"/>
        <item x="142"/>
        <item x="143"/>
        <item x="144"/>
        <item x="145"/>
        <item x="146"/>
        <item t="default"/>
      </items>
    </pivotField>
    <pivotField showAll="0"/>
    <pivotField showAll="0"/>
    <pivotField showAll="0"/>
    <pivotField showAll="0"/>
    <pivotField showAll="0"/>
    <pivotField axis="axisPage" multipleItemSelectionAllowed="1" showAll="0">
      <items count="9">
        <item h="1" x="5"/>
        <item h="1" x="0"/>
        <item h="1" x="2"/>
        <item h="1" x="6"/>
        <item h="1" x="7"/>
        <item x="3"/>
        <item h="1" x="1"/>
        <item h="1" x="4"/>
        <item t="default"/>
      </items>
    </pivotField>
    <pivotField showAll="0"/>
    <pivotField showAll="0"/>
    <pivotField showAll="0"/>
    <pivotField showAll="0"/>
    <pivotField showAll="0"/>
    <pivotField showAll="0"/>
    <pivotField showAll="0"/>
    <pivotField showAll="0"/>
    <pivotField showAll="0"/>
    <pivotField multipleItemSelectionAllowed="1" showAll="0"/>
    <pivotField showAll="0"/>
  </pivotFields>
  <rowFields count="1">
    <field x="2"/>
  </rowFields>
  <rowItems count="8">
    <i>
      <x/>
    </i>
    <i>
      <x v="1"/>
    </i>
    <i>
      <x v="2"/>
    </i>
    <i>
      <x v="7"/>
    </i>
    <i>
      <x v="12"/>
    </i>
    <i>
      <x v="35"/>
    </i>
    <i>
      <x v="72"/>
    </i>
    <i t="grand">
      <x/>
    </i>
  </rowItems>
  <colItems count="1">
    <i/>
  </colItems>
  <pageFields count="1">
    <pageField fld="8"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321F533-D3B9-4D4D-AF4A-F1DAB5993972}" name="TablaProyectos" displayName="TablaProyectos" ref="AE1:BA344" totalsRowShown="0" headerRowDxfId="314" dataDxfId="312" headerRowBorderDxfId="313" tableBorderDxfId="311" dataCellStyle="Moneda">
  <autoFilter ref="AE1:BA344" xr:uid="{E321F533-D3B9-4D4D-AF4A-F1DAB599397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8" xr3:uid="{4921BDA3-7792-4B84-B41E-E83902040448}" name="Miembros Consorcios o UT " dataDxfId="310" totalsRowDxfId="309" dataCellStyle="Porcentaje" totalsRowCellStyle="Porcentaje">
      <calculatedColumnFormula>+'Proyectos Base digitable'!#REF!</calculatedColumnFormula>
    </tableColumn>
    <tableColumn id="29" xr3:uid="{90312220-C033-42D1-A6B9-ABB010404420}" name="Representante Legal" dataDxfId="308" totalsRowDxfId="307" dataCellStyle="Porcentaje" totalsRowCellStyle="Porcentaje">
      <calculatedColumnFormula>+'Proyectos Base digitable'!#REF!</calculatedColumnFormula>
    </tableColumn>
    <tableColumn id="30" xr3:uid="{4D31E417-7166-4F0B-816D-971719AFF89E}" name="No. Contrato Interventoría" dataDxfId="306" totalsRowDxfId="305">
      <calculatedColumnFormula>+'Proyectos Base digitable'!#REF!</calculatedColumnFormula>
    </tableColumn>
    <tableColumn id="31" xr3:uid="{76EA9E90-66C8-4014-A2A6-D908C13C9099}" name="Nombre Contratista Interventoría" dataDxfId="304" totalsRowDxfId="303" dataCellStyle="Porcentaje" totalsRowCellStyle="Porcentaje">
      <calculatedColumnFormula>+'Proyectos Base digitable'!#REF!</calculatedColumnFormula>
    </tableColumn>
    <tableColumn id="32" xr3:uid="{1A2DCA1D-7E42-4A54-B3B6-CEDB945D69DD}" name="Miembros Consorcios o UT 2" dataDxfId="302" totalsRowDxfId="301" dataCellStyle="Porcentaje" totalsRowCellStyle="Porcentaje">
      <calculatedColumnFormula>+'Proyectos Base digitable'!#REF!</calculatedColumnFormula>
    </tableColumn>
    <tableColumn id="33" xr3:uid="{4C86A606-C8DB-4768-B6D5-70455E170A4B}" name="Representante Legal3" dataDxfId="300" totalsRowDxfId="299" dataCellStyle="Porcentaje" totalsRowCellStyle="Porcentaje">
      <calculatedColumnFormula>+'Proyectos Base digitable'!#REF!</calculatedColumnFormula>
    </tableColumn>
    <tableColumn id="34" xr3:uid="{EB66D41D-D31B-41E3-A9C7-8FA848D43953}" name="Valor inicial de Obra" dataDxfId="298" totalsRowDxfId="297" dataCellStyle="Moneda" totalsRowCellStyle="Moneda">
      <calculatedColumnFormula>+'Proyectos Base digitable'!#REF!</calculatedColumnFormula>
    </tableColumn>
    <tableColumn id="35" xr3:uid="{3CC2F542-FFCF-433C-BFC3-E4DF018A9694}" name="Valor total adicionado de obra" dataDxfId="296" totalsRowDxfId="295" dataCellStyle="Moneda" totalsRowCellStyle="Moneda">
      <calculatedColumnFormula>+'Proyectos Base digitable'!#REF!</calculatedColumnFormula>
    </tableColumn>
    <tableColumn id="36" xr3:uid="{5314B875-9F66-412B-8F10-6EBAF583B18D}" name="Valor total de Obra " dataDxfId="294" totalsRowDxfId="293" dataCellStyle="Moneda" totalsRowCellStyle="Moneda">
      <calculatedColumnFormula>+'Proyectos Base digitable'!#REF!</calculatedColumnFormula>
    </tableColumn>
    <tableColumn id="37" xr3:uid="{39D745A3-AB7F-4B7A-A437-95D610874E41}" name="Valor total Facturadode Obra" dataDxfId="292" totalsRowDxfId="291" dataCellStyle="Moneda" totalsRowCellStyle="Moneda">
      <calculatedColumnFormula>+'Proyectos Base digitable'!#REF!</calculatedColumnFormula>
    </tableColumn>
    <tableColumn id="38" xr3:uid="{CC144BD8-0495-4A7D-AB5C-6B2A7D749F8F}" name="Valor total Pagado de Obra" dataDxfId="290" totalsRowDxfId="289" dataCellStyle="Moneda" totalsRowCellStyle="Moneda">
      <calculatedColumnFormula>+'Proyectos Base digitable'!#REF!</calculatedColumnFormula>
    </tableColumn>
    <tableColumn id="39" xr3:uid="{F4E5F808-2FE1-4B8F-8BBA-D54976CC7215}" name="Valor inicial de Interventoría" dataDxfId="288" totalsRowDxfId="287" dataCellStyle="Moneda" totalsRowCellStyle="Moneda">
      <calculatedColumnFormula>+'Proyectos Base digitable'!#REF!</calculatedColumnFormula>
    </tableColumn>
    <tableColumn id="40" xr3:uid="{A2A29B4D-5ED0-4C47-9689-6C2A7AAEB62E}" name="Valor total adicionado de Interventoría" dataDxfId="286" totalsRowDxfId="285" dataCellStyle="Moneda" totalsRowCellStyle="Moneda">
      <calculatedColumnFormula>+'Proyectos Base digitable'!#REF!</calculatedColumnFormula>
    </tableColumn>
    <tableColumn id="41" xr3:uid="{0FB4BF35-AFCA-4164-A596-636A4CE4ABF9}" name="Valor total de Interventoría" dataDxfId="284" totalsRowDxfId="283" dataCellStyle="Moneda" totalsRowCellStyle="Moneda">
      <calculatedColumnFormula>+'Proyectos Base digitable'!#REF!</calculatedColumnFormula>
    </tableColumn>
    <tableColumn id="42" xr3:uid="{4C5F7FAF-3E1A-4FF2-9058-5B80434B229F}" name="Valor total Facturado de Interventoría" dataDxfId="282" totalsRowDxfId="281" dataCellStyle="Moneda" totalsRowCellStyle="Moneda">
      <calculatedColumnFormula>+'Proyectos Base digitable'!#REF!</calculatedColumnFormula>
    </tableColumn>
    <tableColumn id="43" xr3:uid="{9BD32499-5FD3-4205-B44B-8994210F2474}" name="Valor total Pagado de Interventoría" dataDxfId="280" totalsRowDxfId="279" dataCellStyle="Moneda" totalsRowCellStyle="Moneda">
      <calculatedColumnFormula>+'Proyectos Base digitable'!#REF!</calculatedColumnFormula>
    </tableColumn>
    <tableColumn id="50" xr3:uid="{3F91951F-6AC2-4533-9EC2-645857D80AA3}" name="Población Beneficiada_x000a_[ Indicar cantidad y tipo de población. Ej: 100 Estudiantes ]" dataDxfId="278" totalsRowDxfId="277" dataCellStyle="Moneda" totalsRowCellStyle="Moneda">
      <calculatedColumnFormula>+'Proyectos Base digitable'!#REF!</calculatedColumnFormula>
    </tableColumn>
    <tableColumn id="51" xr3:uid="{A176BFF6-8E5C-45BE-A08C-934E7499362C}" name="Indicador 1" dataDxfId="276" totalsRowDxfId="275" dataCellStyle="Moneda" totalsRowCellStyle="Moneda">
      <calculatedColumnFormula>+'Proyectos Base digitable'!#REF!</calculatedColumnFormula>
    </tableColumn>
    <tableColumn id="52" xr3:uid="{31250A5A-F12C-4BD4-BF85-3DBC4B2BEC85}" name="Indicador 2" dataDxfId="274" totalsRowDxfId="273" dataCellStyle="Moneda" totalsRowCellStyle="Moneda">
      <calculatedColumnFormula>+'Proyectos Base digitable'!#REF!</calculatedColumnFormula>
    </tableColumn>
    <tableColumn id="53" xr3:uid="{50D8CD31-B542-4832-B52E-65FE44266276}" name="Indicador 3" dataDxfId="272" totalsRowDxfId="271" dataCellStyle="Moneda" totalsRowCellStyle="Moneda">
      <calculatedColumnFormula>+'Proyectos Base digitable'!#REF!</calculatedColumnFormula>
    </tableColumn>
    <tableColumn id="44" xr3:uid="{B9018698-BDD4-4BFB-B064-9263D4AFE358}" name="Actividades Ejecutadas ultima semana" dataDxfId="270" totalsRowDxfId="269">
      <calculatedColumnFormula>+'Proyectos Base digitable'!#REF!</calculatedColumnFormula>
    </tableColumn>
    <tableColumn id="46" xr3:uid="{BF716172-F834-4334-8A7E-8DDEE5B97743}" name="Observaciones de acciones ejecutivas" dataDxfId="268" totalsRowDxfId="267">
      <calculatedColumnFormula>+'Proyectos Base digitable'!#REF!</calculatedColumnFormula>
    </tableColumn>
    <tableColumn id="45" xr3:uid="{7292277E-FEA1-4CD1-BB8F-2DF3904D5ED0}" name="Emblemático Gerente" dataDxfId="266" totalsRowDxfId="265">
      <calculatedColumnFormula>+'Proyectos Base digitable'!#REF!</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8EB6805-BEA2-4161-A628-4443BBA54BCE}" name="RegistroFotografico" displayName="RegistroFotografico" ref="A1:B1048575" totalsRowShown="0" headerRowDxfId="251" dataDxfId="250">
  <autoFilter ref="A1:B1048575" xr:uid="{08EB6805-BEA2-4161-A628-4443BBA54BCE}"/>
  <tableColumns count="2">
    <tableColumn id="1" xr3:uid="{509E7CB5-41B1-4CB0-99D4-14BC530DD4ED}" name="PROYECTO" dataDxfId="249"/>
    <tableColumn id="2" xr3:uid="{9E1D7A3E-C522-4554-83EE-52F3E13E2D0A}" name="IMG" dataDxfId="24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2315B-651E-4900-8533-45573ADEDDF3}" name="Precontractual" displayName="Precontractual" ref="H2:H6" totalsRowShown="0" headerRowDxfId="247" dataDxfId="246">
  <autoFilter ref="H2:H6" xr:uid="{FFE2315B-651E-4900-8533-45573ADEDDF3}"/>
  <tableColumns count="1">
    <tableColumn id="1" xr3:uid="{EF140E81-9EDF-4DC1-A354-26FD14D96ED5}" name="Precontractual" dataDxfId="2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314012-DE43-4E52-B8E3-8189A59B4D2A}" name="Contractual" displayName="Contractual" ref="I2:I5" totalsRowShown="0" headerRowDxfId="244" dataDxfId="243">
  <autoFilter ref="I2:I5" xr:uid="{08314012-DE43-4E52-B8E3-8189A59B4D2A}"/>
  <tableColumns count="1">
    <tableColumn id="1" xr3:uid="{6ED5F67D-5147-4033-B553-6455DB986F6F}" name="Contractual" dataDxfId="24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2B08A3C-FB11-402A-9929-CE41F87E3DB3}" name="Postcontractual" displayName="Postcontractual" ref="J2:J5" totalsRowShown="0" headerRowDxfId="241" dataDxfId="240">
  <autoFilter ref="J2:J5" xr:uid="{E2B08A3C-FB11-402A-9929-CE41F87E3DB3}"/>
  <tableColumns count="1">
    <tableColumn id="1" xr3:uid="{59D2CD60-5F3B-4979-8042-6EC44E11A1A2}" name="Postcontractual" dataDxfId="23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A5832E9-2B33-4850-888F-65E980A25F90}" name="Formulación" displayName="Formulación" ref="G2:G6" totalsRowShown="0" headerRowDxfId="238" tableBorderDxfId="237">
  <autoFilter ref="G2:G6" xr:uid="{7A5832E9-2B33-4850-888F-65E980A25F90}"/>
  <tableColumns count="1">
    <tableColumn id="1" xr3:uid="{EA6E9BAB-B67C-4A46-BE73-E7C70D6C8D6C}" name="Formulació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2B9F57-EADA-4351-9557-3B9E2A565386}" name="Agua_potable_y_saneamiento_básico" displayName="Agua_potable_y_saneamiento_básico" ref="S2:S4" totalsRowShown="0" headerRowDxfId="236" headerRowBorderDxfId="235" tableBorderDxfId="234">
  <autoFilter ref="S2:S4" xr:uid="{4A2B9F57-EADA-4351-9557-3B9E2A565386}"/>
  <tableColumns count="1">
    <tableColumn id="1" xr3:uid="{74461555-C581-48C6-825A-CDC7C2A48532}" name="Agua_potable_y_saneamiento_básic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DECA913-FB1C-4663-96E8-DEFB8A06E38B}" name="Arroyos" displayName="Arroyos" ref="T2:T4" totalsRowShown="0" headerRowDxfId="233" dataDxfId="231" headerRowBorderDxfId="232" tableBorderDxfId="230">
  <autoFilter ref="T2:T4" xr:uid="{8DECA913-FB1C-4663-96E8-DEFB8A06E38B}"/>
  <tableColumns count="1">
    <tableColumn id="1" xr3:uid="{7EB413A2-0B95-4EB2-9427-891F29465EAF}" name="Arroyos" dataDxfId="22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AB631EE6-22AB-4781-BF08-072A87C7A57A}" name="Cultura" displayName="Cultura" ref="U2:U5" totalsRowShown="0" headerRowDxfId="228" dataDxfId="226" headerRowBorderDxfId="227" tableBorderDxfId="225">
  <autoFilter ref="U2:U5" xr:uid="{AB631EE6-22AB-4781-BF08-072A87C7A57A}"/>
  <tableColumns count="1">
    <tableColumn id="1" xr3:uid="{ADB2892F-D37D-4E5C-BE7B-F8CCD1F9A331}" name="Cultura" dataDxfId="2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2370B2-319D-1D4E-9AEF-40DB2BEC7BB5}" name="Desarrollo_urbano" displayName="Desarrollo_urbano" ref="V2:V8" totalsRowShown="0" headerRowDxfId="223" dataDxfId="221" headerRowBorderDxfId="222" tableBorderDxfId="220">
  <autoFilter ref="V2:V8" xr:uid="{F82370B2-319D-1D4E-9AEF-40DB2BEC7BB5}"/>
  <sortState xmlns:xlrd2="http://schemas.microsoft.com/office/spreadsheetml/2017/richdata2" ref="V3:V6">
    <sortCondition ref="V3:V6"/>
  </sortState>
  <tableColumns count="1">
    <tableColumn id="1" xr3:uid="{522BBDC5-7630-EE46-BA9A-F53A3AC80DDD}" name="Desarrollo_urbano" dataDxfId="2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7E35CC1-847D-A340-A12E-507BE41EE8DD}" name="Educación" displayName="Educación" ref="W2:W7" totalsRowShown="0" headerRowDxfId="218" dataDxfId="216" headerRowBorderDxfId="217" tableBorderDxfId="215">
  <autoFilter ref="W2:W7" xr:uid="{77E35CC1-847D-A340-A12E-507BE41EE8DD}"/>
  <tableColumns count="1">
    <tableColumn id="1" xr3:uid="{E04E7DED-115D-A24C-AC83-AE65CCDCDD30}" name="Educación" dataDxfId="21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3F9BE5C-457A-3240-A5A4-06861A995D5A}" name="EcoTurismo" displayName="EcoTurismo" ref="X2:X8" totalsRowShown="0" headerRowDxfId="213" dataDxfId="211" headerRowBorderDxfId="212" tableBorderDxfId="210">
  <autoFilter ref="X2:X8" xr:uid="{23F9BE5C-457A-3240-A5A4-06861A995D5A}"/>
  <tableColumns count="1">
    <tableColumn id="1" xr3:uid="{E1DF2804-9FCD-F941-8E81-05652247D5D4}" name="EcoTurismo" dataDxfId="20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D334ACB-38B8-5A43-ACBA-02E624BD0460}" name="Recreación_y_Deporte" displayName="Recreación_y_Deporte" ref="Z2:Z5" totalsRowShown="0" headerRowDxfId="208" dataDxfId="206" headerRowBorderDxfId="207" tableBorderDxfId="205">
  <autoFilter ref="Z2:Z5" xr:uid="{1D334ACB-38B8-5A43-ACBA-02E624BD0460}"/>
  <tableColumns count="1">
    <tableColumn id="1" xr3:uid="{32CB4347-60C5-DF45-9A82-9987D60EB651}" name="Recreación_y_Deporte" dataDxfId="20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6AF2DA-37C0-4A4C-95C3-4C87EEFE6CF1}" name="Salud" displayName="Salud" ref="AA2:AA5" totalsRowShown="0" headerRowDxfId="203" dataDxfId="201" headerRowBorderDxfId="202" tableBorderDxfId="200">
  <autoFilter ref="AA2:AA5" xr:uid="{6C6AF2DA-37C0-4A4C-95C3-4C87EEFE6CF1}"/>
  <tableColumns count="1">
    <tableColumn id="1" xr3:uid="{590D3697-6C16-8341-AAD2-5D3C758E65D3}" name="Salud" dataDxfId="19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595B7D-EE70-D743-981B-AEF9C846A362}" name="Seguridad" displayName="Seguridad" ref="AB2:AB6" totalsRowShown="0" headerRowDxfId="198" dataDxfId="196" headerRowBorderDxfId="197" tableBorderDxfId="195">
  <autoFilter ref="AB2:AB6" xr:uid="{FA595B7D-EE70-D743-981B-AEF9C846A362}"/>
  <tableColumns count="1">
    <tableColumn id="1" xr3:uid="{A6B4B0AF-B1F9-C148-BBE7-A911D96DAA02}" name="Seguridad" dataDxfId="19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AB2F4B-F596-3545-BEFD-D35617A66F4A}" name="Trasporte" displayName="Trasporte" ref="AC2:AC7" totalsRowShown="0" headerRowDxfId="193" dataDxfId="191" headerRowBorderDxfId="192" tableBorderDxfId="190">
  <autoFilter ref="AC2:AC7" xr:uid="{E0AB2F4B-F596-3545-BEFD-D35617A66F4A}"/>
  <tableColumns count="1">
    <tableColumn id="1" xr3:uid="{D5214F82-181E-4744-AA68-70780A1F255E}" name="Trasporte" dataDxfId="18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236E492-97DC-674C-8E6F-5B9318E512EF}" name="Vivienda" displayName="Vivienda" ref="AD2:AD4" totalsRowShown="0" headerRowDxfId="188" dataDxfId="186" headerRowBorderDxfId="187" tableBorderDxfId="185">
  <autoFilter ref="AD2:AD4" xr:uid="{4236E492-97DC-674C-8E6F-5B9318E512EF}"/>
  <tableColumns count="1">
    <tableColumn id="1" xr3:uid="{C0F49948-162C-964F-9B2F-EA81022CEA50}" name="Vivienda" dataDxfId="18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450C08F-8D22-485C-9EC5-A25464B5183C}" name="Energía_Sostenible" displayName="Energía_Sostenible" ref="Y2:Y4" totalsRowShown="0" headerRowDxfId="183" dataDxfId="181" headerRowBorderDxfId="182" tableBorderDxfId="180">
  <autoFilter ref="Y2:Y4" xr:uid="{1450C08F-8D22-485C-9EC5-A25464B5183C}"/>
  <tableColumns count="1">
    <tableColumn id="1" xr3:uid="{8D832677-87CF-4B21-82C0-7E4237BD5F01}" name="Energía_Sostenible" dataDxfId="179"/>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namedSheetView" Target="../namedSheetViews/namedSheetView1.xm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hyperlink" Target="https://cdn.pixabay.com/photo/2014/03/11/23/21/site-285645_1280.jpg" TargetMode="External"/><Relationship Id="rId2" Type="http://schemas.openxmlformats.org/officeDocument/2006/relationships/hyperlink" Target="https://cdn.pixabay.com/photo/2017/06/08/04/44/mason-2382518_1280.jpg" TargetMode="External"/><Relationship Id="rId1" Type="http://schemas.openxmlformats.org/officeDocument/2006/relationships/hyperlink" Target="https://lh3.googleusercontent.com/u/0/drive-viewer/AKGpihZObs_C8LL1g7wXXS8Wpqk7u2MIEd-EQFUZ2IPFqMfrVZ8kjKh-Nk_K8hvtIJS3UHa5SBiUwCkwObOithAqebXpBubmFiDDHPs=w1920-h919-rw-v1" TargetMode="Externa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6.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769E5-7F27-4085-A972-0C66C101D6D8}">
  <sheetPr>
    <tabColor rgb="FFED7D31"/>
  </sheetPr>
  <dimension ref="B1:W14"/>
  <sheetViews>
    <sheetView showGridLines="0" topLeftCell="D4" zoomScaleNormal="55" zoomScaleSheetLayoutView="100" workbookViewId="0">
      <selection activeCell="G8" sqref="G8"/>
    </sheetView>
  </sheetViews>
  <sheetFormatPr baseColWidth="10" defaultColWidth="11" defaultRowHeight="14.5" outlineLevelCol="1"/>
  <cols>
    <col min="1" max="1" width="2.58203125" style="1" customWidth="1"/>
    <col min="2" max="2" width="5.08203125" style="1" customWidth="1"/>
    <col min="3" max="3" width="21.58203125" style="1" customWidth="1"/>
    <col min="4" max="7" width="23.08203125" style="1" customWidth="1" outlineLevel="1"/>
    <col min="8" max="8" width="2.5" style="1" customWidth="1"/>
    <col min="9" max="9" width="15.5" style="2" customWidth="1" outlineLevel="1"/>
    <col min="10" max="11" width="16.5" style="2" customWidth="1" outlineLevel="1"/>
    <col min="12" max="12" width="1.08203125" style="1" customWidth="1"/>
    <col min="13" max="21" width="17" style="2" customWidth="1"/>
    <col min="22" max="22" width="1.08203125" style="1" customWidth="1"/>
    <col min="23" max="23" width="50.58203125" style="90" customWidth="1"/>
    <col min="24" max="30" width="14.58203125" style="1" customWidth="1"/>
    <col min="31" max="33" width="11" style="1"/>
    <col min="34" max="34" width="16.08203125" style="1" customWidth="1"/>
    <col min="35" max="35" width="12.5" style="1" customWidth="1"/>
    <col min="36" max="16384" width="11" style="1"/>
  </cols>
  <sheetData>
    <row r="1" spans="2:23">
      <c r="D1" s="1" t="s">
        <v>0</v>
      </c>
    </row>
    <row r="2" spans="2:23" ht="18.5">
      <c r="B2" s="342" t="s">
        <v>1</v>
      </c>
      <c r="C2" s="342"/>
      <c r="D2" s="342"/>
      <c r="E2" s="342"/>
      <c r="F2" s="342"/>
      <c r="G2" s="342"/>
      <c r="H2" s="8"/>
      <c r="I2" s="30"/>
      <c r="J2" s="30"/>
      <c r="K2" s="30"/>
      <c r="L2" s="8"/>
      <c r="M2" s="342" t="s">
        <v>2</v>
      </c>
      <c r="N2" s="342"/>
      <c r="O2" s="342"/>
      <c r="P2" s="342"/>
      <c r="Q2" s="342"/>
      <c r="R2" s="342"/>
      <c r="S2" s="342"/>
      <c r="T2" s="342"/>
      <c r="U2" s="342"/>
      <c r="V2" s="8"/>
      <c r="W2" s="78"/>
    </row>
    <row r="3" spans="2:23" s="3" customFormat="1" ht="88.5">
      <c r="B3" s="28" t="s">
        <v>3</v>
      </c>
      <c r="C3" s="28" t="s">
        <v>4</v>
      </c>
      <c r="D3" s="29" t="s">
        <v>5</v>
      </c>
      <c r="E3" s="29" t="s">
        <v>6</v>
      </c>
      <c r="F3" s="29" t="s">
        <v>7</v>
      </c>
      <c r="G3" s="29" t="s">
        <v>8</v>
      </c>
      <c r="H3" s="9"/>
      <c r="I3" s="5" t="s">
        <v>9</v>
      </c>
      <c r="J3" s="5" t="s">
        <v>10</v>
      </c>
      <c r="K3" s="5" t="s">
        <v>11</v>
      </c>
      <c r="L3" s="9"/>
      <c r="M3" s="5" t="s">
        <v>12</v>
      </c>
      <c r="N3" s="5" t="s">
        <v>13</v>
      </c>
      <c r="O3" s="6" t="s">
        <v>14</v>
      </c>
      <c r="P3" s="10" t="s">
        <v>15</v>
      </c>
      <c r="Q3" s="10" t="s">
        <v>16</v>
      </c>
      <c r="R3" s="10" t="s">
        <v>17</v>
      </c>
      <c r="S3" s="5" t="s">
        <v>18</v>
      </c>
      <c r="T3" s="5" t="s">
        <v>19</v>
      </c>
      <c r="U3" s="5" t="s">
        <v>20</v>
      </c>
      <c r="V3" s="9"/>
      <c r="W3" s="4" t="s">
        <v>21</v>
      </c>
    </row>
    <row r="4" spans="2:23">
      <c r="B4" s="79">
        <v>1</v>
      </c>
      <c r="C4" s="80" t="s">
        <v>22</v>
      </c>
      <c r="D4" s="81" t="s">
        <v>23</v>
      </c>
      <c r="E4" s="81" t="s">
        <v>24</v>
      </c>
      <c r="F4" s="81" t="s">
        <v>25</v>
      </c>
      <c r="G4" s="81" t="s">
        <v>26</v>
      </c>
      <c r="H4" s="81"/>
      <c r="I4" s="13">
        <v>44327</v>
      </c>
      <c r="J4" s="13">
        <v>44561</v>
      </c>
      <c r="K4" s="13">
        <v>45382</v>
      </c>
      <c r="L4" s="81"/>
      <c r="M4" s="82">
        <f>+P4+S4</f>
        <v>133184208608</v>
      </c>
      <c r="N4" s="81"/>
      <c r="O4" s="82">
        <f>+M4+N4</f>
        <v>133184208608</v>
      </c>
      <c r="P4" s="83">
        <v>2420000000</v>
      </c>
      <c r="Q4" s="83">
        <v>2178000000</v>
      </c>
      <c r="R4" s="83">
        <f>Q4</f>
        <v>2178000000</v>
      </c>
      <c r="S4" s="83">
        <v>130764208608</v>
      </c>
      <c r="T4" s="83">
        <v>111379166352.60001</v>
      </c>
      <c r="U4" s="83">
        <v>108777910670.21001</v>
      </c>
      <c r="V4" s="84"/>
      <c r="W4" s="81"/>
    </row>
    <row r="5" spans="2:23">
      <c r="B5" s="79">
        <v>2</v>
      </c>
      <c r="C5" s="80" t="s">
        <v>27</v>
      </c>
      <c r="D5" s="81" t="s">
        <v>28</v>
      </c>
      <c r="E5" s="81" t="s">
        <v>29</v>
      </c>
      <c r="F5" s="81" t="s">
        <v>30</v>
      </c>
      <c r="G5" s="81" t="s">
        <v>31</v>
      </c>
      <c r="H5" s="84"/>
      <c r="I5" s="13">
        <v>44544</v>
      </c>
      <c r="J5" s="13">
        <v>45121</v>
      </c>
      <c r="K5" s="13" t="s">
        <v>32</v>
      </c>
      <c r="L5" s="81"/>
      <c r="M5" s="14">
        <f>121408845503.32+508517168</f>
        <v>121917362671.32001</v>
      </c>
      <c r="N5" s="14"/>
      <c r="O5" s="14">
        <f>+M5</f>
        <v>121917362671.32001</v>
      </c>
      <c r="P5" s="15">
        <v>5738099569.3199997</v>
      </c>
      <c r="Q5" s="15">
        <v>4303574676.9899998</v>
      </c>
      <c r="R5" s="15">
        <v>4303574676.9899998</v>
      </c>
      <c r="S5" s="16">
        <f>115670745934+508517168</f>
        <v>116179263102</v>
      </c>
      <c r="T5" s="15">
        <v>97371767220.490005</v>
      </c>
      <c r="U5" s="15">
        <v>97371767220.490005</v>
      </c>
      <c r="V5" s="84"/>
      <c r="W5" s="81"/>
    </row>
    <row r="6" spans="2:23">
      <c r="B6" s="79">
        <v>3</v>
      </c>
      <c r="C6" s="80" t="s">
        <v>33</v>
      </c>
      <c r="D6" s="81" t="s">
        <v>23</v>
      </c>
      <c r="E6" s="81" t="s">
        <v>34</v>
      </c>
      <c r="F6" s="81" t="s">
        <v>25</v>
      </c>
      <c r="G6" s="81" t="s">
        <v>35</v>
      </c>
      <c r="H6" s="84"/>
      <c r="I6" s="13">
        <v>44531</v>
      </c>
      <c r="J6" s="13">
        <v>44926</v>
      </c>
      <c r="K6" s="13">
        <v>45337</v>
      </c>
      <c r="L6" s="81"/>
      <c r="M6" s="82">
        <v>26776981596.099998</v>
      </c>
      <c r="N6" s="17"/>
      <c r="O6" s="14">
        <f>+M6+N6</f>
        <v>26776981596.099998</v>
      </c>
      <c r="P6" s="15">
        <v>1195400964.0999999</v>
      </c>
      <c r="Q6" s="15">
        <v>1069219751.2</v>
      </c>
      <c r="R6" s="16">
        <f>1069219751.2-112898979.92</f>
        <v>956320771.28000009</v>
      </c>
      <c r="S6" s="16">
        <f>23091329705+1673561307</f>
        <v>24764891012</v>
      </c>
      <c r="T6" s="16">
        <f>13753311978.97+850671212</f>
        <v>14603983190.969999</v>
      </c>
      <c r="U6" s="16">
        <f>+(13753311978.97-2014528783)+850671212</f>
        <v>12589454407.969999</v>
      </c>
      <c r="V6" s="84"/>
      <c r="W6" s="81" t="s">
        <v>36</v>
      </c>
    </row>
    <row r="7" spans="2:23">
      <c r="B7" s="79">
        <v>4</v>
      </c>
      <c r="C7" s="85" t="s">
        <v>37</v>
      </c>
      <c r="D7" s="81" t="s">
        <v>23</v>
      </c>
      <c r="E7" s="81" t="s">
        <v>38</v>
      </c>
      <c r="F7" s="81" t="s">
        <v>39</v>
      </c>
      <c r="G7" s="81" t="s">
        <v>40</v>
      </c>
      <c r="H7" s="84"/>
      <c r="I7" s="13">
        <v>44328</v>
      </c>
      <c r="J7" s="13">
        <v>44561</v>
      </c>
      <c r="K7" s="13">
        <v>45504</v>
      </c>
      <c r="L7" s="84"/>
      <c r="M7" s="14">
        <v>6700000000</v>
      </c>
      <c r="N7" s="18">
        <v>116385587968.25</v>
      </c>
      <c r="O7" s="14">
        <f>+M7+N7</f>
        <v>123085587968.25</v>
      </c>
      <c r="P7" s="18">
        <v>9923878904.1800003</v>
      </c>
      <c r="Q7" s="18">
        <v>8931491013.7600002</v>
      </c>
      <c r="R7" s="18">
        <f>+Q7</f>
        <v>8931491013.7600002</v>
      </c>
      <c r="S7" s="14">
        <v>113161709064.07001</v>
      </c>
      <c r="T7" s="14">
        <v>92628532727.219208</v>
      </c>
      <c r="U7" s="18">
        <v>80310588216.789185</v>
      </c>
      <c r="V7" s="86"/>
      <c r="W7" s="87"/>
    </row>
    <row r="8" spans="2:23">
      <c r="B8" s="79">
        <v>5</v>
      </c>
      <c r="C8" s="80" t="s">
        <v>41</v>
      </c>
      <c r="D8" s="81" t="s">
        <v>23</v>
      </c>
      <c r="E8" s="19" t="s">
        <v>42</v>
      </c>
      <c r="F8" s="81" t="s">
        <v>25</v>
      </c>
      <c r="G8" s="19"/>
      <c r="H8" s="19"/>
      <c r="I8" s="20">
        <v>44706</v>
      </c>
      <c r="J8" s="20">
        <v>44926</v>
      </c>
      <c r="K8" s="20">
        <v>45504</v>
      </c>
      <c r="L8" s="19"/>
      <c r="M8" s="21">
        <v>30000000000</v>
      </c>
      <c r="N8" s="22"/>
      <c r="O8" s="21">
        <v>30000000000</v>
      </c>
      <c r="P8" s="23">
        <v>1926605505</v>
      </c>
      <c r="Q8" s="23">
        <v>1643936687.76</v>
      </c>
      <c r="R8" s="23">
        <v>1643936687.76</v>
      </c>
      <c r="S8" s="23">
        <v>28068651772</v>
      </c>
      <c r="T8" s="23">
        <v>24449905435</v>
      </c>
      <c r="U8" s="23">
        <v>24449905435</v>
      </c>
      <c r="V8" s="19"/>
      <c r="W8" s="88"/>
    </row>
    <row r="9" spans="2:23">
      <c r="B9" s="79">
        <v>6</v>
      </c>
      <c r="C9" s="80" t="s">
        <v>43</v>
      </c>
      <c r="D9" s="88" t="s">
        <v>28</v>
      </c>
      <c r="E9" s="88" t="s">
        <v>44</v>
      </c>
      <c r="F9" s="81" t="s">
        <v>30</v>
      </c>
      <c r="G9" s="88" t="s">
        <v>45</v>
      </c>
      <c r="H9" s="88"/>
      <c r="I9" s="20">
        <v>44529</v>
      </c>
      <c r="J9" s="20">
        <v>45045</v>
      </c>
      <c r="K9" s="20">
        <v>45504</v>
      </c>
      <c r="L9" s="88"/>
      <c r="M9" s="24">
        <f>+S9+O9</f>
        <v>104727429596.00999</v>
      </c>
      <c r="N9" s="25"/>
      <c r="O9" s="24">
        <v>4747433502.0100002</v>
      </c>
      <c r="P9" s="25">
        <v>4747433502.0100002</v>
      </c>
      <c r="Q9" s="25">
        <v>3560575126.5100002</v>
      </c>
      <c r="R9" s="25">
        <v>3560575126.5100002</v>
      </c>
      <c r="S9" s="25">
        <f>93425142894+6554853200</f>
        <v>99979996094</v>
      </c>
      <c r="T9" s="25">
        <v>55051036024.919998</v>
      </c>
      <c r="U9" s="25">
        <v>54560733005.559998</v>
      </c>
      <c r="V9" s="19"/>
      <c r="W9" s="88"/>
    </row>
    <row r="10" spans="2:23">
      <c r="B10" s="79">
        <v>7</v>
      </c>
      <c r="C10" s="80" t="s">
        <v>46</v>
      </c>
      <c r="D10" s="81" t="s">
        <v>23</v>
      </c>
      <c r="E10" s="81" t="s">
        <v>47</v>
      </c>
      <c r="F10" s="81" t="s">
        <v>25</v>
      </c>
      <c r="G10" s="81" t="s">
        <v>26</v>
      </c>
      <c r="H10" s="84"/>
      <c r="I10" s="13">
        <v>44525</v>
      </c>
      <c r="J10" s="13">
        <v>44926</v>
      </c>
      <c r="K10" s="13">
        <v>45412</v>
      </c>
      <c r="L10" s="84"/>
      <c r="M10" s="14">
        <v>33759879336.75</v>
      </c>
      <c r="N10" s="18"/>
      <c r="O10" s="14">
        <f>+M10+N10</f>
        <v>33759879336.75</v>
      </c>
      <c r="P10" s="18">
        <v>1607613301</v>
      </c>
      <c r="Q10" s="18">
        <v>1446851970.9200001</v>
      </c>
      <c r="R10" s="18">
        <v>1446851970.9200001</v>
      </c>
      <c r="S10" s="18">
        <v>31980740561.16</v>
      </c>
      <c r="T10" s="18">
        <v>28779232093.529999</v>
      </c>
      <c r="U10" s="18">
        <v>28779232093.529999</v>
      </c>
      <c r="V10" s="84"/>
      <c r="W10" s="81"/>
    </row>
    <row r="11" spans="2:23">
      <c r="B11" s="79">
        <v>8</v>
      </c>
      <c r="C11" s="80" t="s">
        <v>48</v>
      </c>
      <c r="D11" s="81" t="s">
        <v>23</v>
      </c>
      <c r="E11" s="19" t="s">
        <v>49</v>
      </c>
      <c r="F11" s="81" t="s">
        <v>25</v>
      </c>
      <c r="G11" s="19" t="s">
        <v>50</v>
      </c>
      <c r="H11" s="19"/>
      <c r="I11" s="13">
        <v>42524</v>
      </c>
      <c r="J11" s="13">
        <v>45657</v>
      </c>
      <c r="K11" s="13">
        <v>45657</v>
      </c>
      <c r="L11" s="19"/>
      <c r="M11" s="21">
        <v>164361579387</v>
      </c>
      <c r="N11" s="21">
        <f>900213284+6000000000+2494297665+19170000000+28750000000</f>
        <v>57314510949</v>
      </c>
      <c r="O11" s="21">
        <f>+M11+N11</f>
        <v>221676090336</v>
      </c>
      <c r="P11" s="14">
        <v>0</v>
      </c>
      <c r="Q11" s="21">
        <v>0</v>
      </c>
      <c r="R11" s="21">
        <v>0</v>
      </c>
      <c r="S11" s="26">
        <f>+O11</f>
        <v>221676090336</v>
      </c>
      <c r="T11" s="21">
        <f>149768557393.23+13623178167.94</f>
        <v>163391735561.17001</v>
      </c>
      <c r="U11" s="21">
        <f>149768557393.23+13055502565.61</f>
        <v>162824059958.84003</v>
      </c>
      <c r="V11" s="19"/>
      <c r="W11" s="88"/>
    </row>
    <row r="12" spans="2:23">
      <c r="B12" s="79">
        <v>9</v>
      </c>
      <c r="C12" s="80" t="s">
        <v>51</v>
      </c>
      <c r="D12" s="81" t="s">
        <v>23</v>
      </c>
      <c r="E12" s="81" t="s">
        <v>52</v>
      </c>
      <c r="F12" s="81" t="s">
        <v>25</v>
      </c>
      <c r="G12" s="81" t="s">
        <v>53</v>
      </c>
      <c r="H12" s="84"/>
      <c r="I12" s="13">
        <v>44442</v>
      </c>
      <c r="J12" s="13">
        <v>44561</v>
      </c>
      <c r="K12" s="13">
        <v>45656</v>
      </c>
      <c r="L12" s="84"/>
      <c r="M12" s="14">
        <v>110625302170</v>
      </c>
      <c r="N12" s="18">
        <v>71726921600</v>
      </c>
      <c r="O12" s="14">
        <f>+M12+N12</f>
        <v>182352223770</v>
      </c>
      <c r="P12" s="18">
        <v>7883906190</v>
      </c>
      <c r="Q12" s="18">
        <v>5418242843.333333</v>
      </c>
      <c r="R12" s="18">
        <v>5333717843</v>
      </c>
      <c r="S12" s="18">
        <v>173745194193</v>
      </c>
      <c r="T12" s="18">
        <v>123515581561.36</v>
      </c>
      <c r="U12" s="18">
        <v>122598679976.78</v>
      </c>
      <c r="V12" s="86"/>
      <c r="W12" s="81" t="s">
        <v>54</v>
      </c>
    </row>
    <row r="13" spans="2:23">
      <c r="B13" s="79">
        <v>10</v>
      </c>
      <c r="C13" s="89" t="s">
        <v>55</v>
      </c>
      <c r="D13" s="81" t="s">
        <v>23</v>
      </c>
      <c r="E13" s="81" t="s">
        <v>56</v>
      </c>
      <c r="F13" s="81" t="s">
        <v>25</v>
      </c>
      <c r="G13" s="81" t="s">
        <v>26</v>
      </c>
      <c r="H13" s="84"/>
      <c r="I13" s="13">
        <v>44757</v>
      </c>
      <c r="J13" s="13">
        <v>44926</v>
      </c>
      <c r="K13" s="27">
        <v>45382</v>
      </c>
      <c r="L13" s="84"/>
      <c r="M13" s="14">
        <v>30000000000</v>
      </c>
      <c r="N13" s="18"/>
      <c r="O13" s="14">
        <f>+M13+N13</f>
        <v>30000000000</v>
      </c>
      <c r="P13" s="18">
        <v>2392620000</v>
      </c>
      <c r="Q13" s="18">
        <v>2033727000</v>
      </c>
      <c r="R13" s="18">
        <f>+Q13</f>
        <v>2033727000</v>
      </c>
      <c r="S13" s="18">
        <f>25672996396.61+1349952660</f>
        <v>27022949056.610001</v>
      </c>
      <c r="T13" s="18">
        <f>17405858399.13+874384041.14</f>
        <v>18280242440.27</v>
      </c>
      <c r="U13" s="18">
        <f>1934476065.17+4224296240.76+2964678266.08+2350000000+323844203</f>
        <v>11797294775.01</v>
      </c>
      <c r="V13" s="84"/>
      <c r="W13" s="81" t="s">
        <v>57</v>
      </c>
    </row>
    <row r="14" spans="2:23">
      <c r="B14" s="79">
        <v>11</v>
      </c>
      <c r="C14" s="89" t="s">
        <v>58</v>
      </c>
      <c r="D14" s="81" t="s">
        <v>23</v>
      </c>
      <c r="E14" s="81" t="s">
        <v>59</v>
      </c>
      <c r="F14" s="81" t="s">
        <v>25</v>
      </c>
      <c r="G14" s="81" t="s">
        <v>26</v>
      </c>
      <c r="H14" s="84"/>
      <c r="I14" s="13">
        <v>45070</v>
      </c>
      <c r="J14" s="13">
        <v>45291</v>
      </c>
      <c r="K14" s="27">
        <v>45503</v>
      </c>
      <c r="L14" s="84"/>
      <c r="M14" s="14">
        <v>10000000000</v>
      </c>
      <c r="N14" s="18"/>
      <c r="O14" s="14">
        <f>+M14+N14</f>
        <v>10000000000</v>
      </c>
      <c r="P14" s="18">
        <v>800000000</v>
      </c>
      <c r="Q14" s="18">
        <v>720000000</v>
      </c>
      <c r="R14" s="18">
        <f>+Q14</f>
        <v>720000000</v>
      </c>
      <c r="S14" s="18">
        <v>9200000000</v>
      </c>
      <c r="T14" s="18">
        <v>1596051256.5599999</v>
      </c>
      <c r="U14" s="18">
        <v>0</v>
      </c>
      <c r="V14" s="84"/>
      <c r="W14" s="81" t="s">
        <v>60</v>
      </c>
    </row>
  </sheetData>
  <mergeCells count="2">
    <mergeCell ref="M2:U2"/>
    <mergeCell ref="B2:G2"/>
  </mergeCells>
  <dataValidations count="1">
    <dataValidation type="list" showInputMessage="1" showErrorMessage="1" sqref="N9 N5:N6" xr:uid="{3488CB26-32C1-43F7-A010-8C20D39C1680}">
      <formula1>INDIRECT($M5)</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A8AA0-3D89-43DF-813C-2626ABCC0E5A}">
  <sheetPr>
    <tabColor rgb="FFED7D31"/>
  </sheetPr>
  <dimension ref="A1:BF326"/>
  <sheetViews>
    <sheetView showGridLines="0" tabSelected="1" topLeftCell="D1" zoomScale="84" zoomScaleNormal="70" zoomScaleSheetLayoutView="100" workbookViewId="0">
      <pane ySplit="1" topLeftCell="A70" activePane="bottomLeft" state="frozen"/>
      <selection pane="bottomLeft" activeCell="Q328" sqref="Q328"/>
    </sheetView>
  </sheetViews>
  <sheetFormatPr baseColWidth="10" defaultColWidth="9" defaultRowHeight="13.5" customHeight="1" outlineLevelCol="1"/>
  <cols>
    <col min="1" max="1" width="11" style="50" customWidth="1" outlineLevel="1"/>
    <col min="2" max="2" width="19.58203125" style="50" customWidth="1" outlineLevel="1"/>
    <col min="3" max="3" width="19.08203125" style="50" customWidth="1" outlineLevel="1"/>
    <col min="4" max="4" width="41" style="50" customWidth="1" outlineLevel="1"/>
    <col min="5" max="5" width="33.08203125" style="50" customWidth="1" outlineLevel="1"/>
    <col min="6" max="6" width="32.5" style="50" customWidth="1" outlineLevel="1"/>
    <col min="7" max="7" width="54.58203125" style="61" customWidth="1"/>
    <col min="8" max="8" width="20.58203125" style="51" customWidth="1" outlineLevel="1"/>
    <col min="9" max="9" width="22.58203125" style="51" customWidth="1" outlineLevel="1"/>
    <col min="10" max="10" width="41.58203125" style="51" customWidth="1" outlineLevel="1"/>
    <col min="11" max="11" width="22.58203125" style="51" customWidth="1" outlineLevel="1"/>
    <col min="12" max="12" width="18.58203125" style="51" customWidth="1" outlineLevel="1"/>
    <col min="13" max="13" width="28.08203125" style="51" customWidth="1" outlineLevel="1"/>
    <col min="14" max="14" width="13.58203125" style="54" customWidth="1" outlineLevel="1"/>
    <col min="15" max="15" width="14.58203125" style="51" customWidth="1" outlineLevel="1"/>
    <col min="16" max="16" width="19.58203125" style="179" customWidth="1" outlineLevel="1"/>
    <col min="17" max="20" width="11" style="53" customWidth="1" outlineLevel="1"/>
    <col min="21" max="21" width="12.58203125" style="62" customWidth="1" outlineLevel="1"/>
    <col min="22" max="24" width="11" style="62" customWidth="1" outlineLevel="1"/>
    <col min="25" max="25" width="14.58203125" style="62" customWidth="1" outlineLevel="1"/>
    <col min="26" max="26" width="33" style="54" customWidth="1" outlineLevel="1"/>
    <col min="27" max="27" width="17.08203125" style="54" customWidth="1" outlineLevel="1"/>
    <col min="28" max="29" width="11" style="54" customWidth="1" outlineLevel="1"/>
    <col min="30" max="30" width="11" style="62" customWidth="1" outlineLevel="1"/>
    <col min="31" max="31" width="28" style="51" customWidth="1"/>
    <col min="32" max="32" width="28.58203125" style="51" customWidth="1" outlineLevel="1"/>
    <col min="33" max="33" width="33.08203125" style="54" customWidth="1" outlineLevel="1"/>
    <col min="34" max="34" width="21" style="54" customWidth="1" outlineLevel="1"/>
    <col min="35" max="35" width="11" style="51" customWidth="1"/>
    <col min="36" max="36" width="34.58203125" style="51" customWidth="1"/>
    <col min="37" max="37" width="11" style="54" customWidth="1"/>
    <col min="38" max="38" width="15.5" style="54" customWidth="1"/>
    <col min="39" max="39" width="19.58203125" style="179" customWidth="1"/>
    <col min="40" max="40" width="17.5" style="179" customWidth="1"/>
    <col min="41" max="41" width="19.58203125" style="179" customWidth="1"/>
    <col min="42" max="42" width="20.08203125" style="179" customWidth="1"/>
    <col min="43" max="43" width="19.58203125" style="179" customWidth="1"/>
    <col min="44" max="44" width="17.58203125" style="179" customWidth="1"/>
    <col min="45" max="48" width="18.58203125" style="179" customWidth="1"/>
    <col min="49" max="52" width="11" style="179" customWidth="1"/>
    <col min="53" max="53" width="22.08203125" style="51" customWidth="1"/>
    <col min="54" max="54" width="24.08203125" style="51" customWidth="1"/>
    <col min="55" max="55" width="11" style="51" customWidth="1"/>
    <col min="56" max="16384" width="9" style="50"/>
  </cols>
  <sheetData>
    <row r="1" spans="1:55" s="55" customFormat="1" ht="40.4" customHeight="1">
      <c r="A1" s="211" t="s">
        <v>61</v>
      </c>
      <c r="B1" s="212" t="s">
        <v>62</v>
      </c>
      <c r="C1" s="212" t="s">
        <v>63</v>
      </c>
      <c r="D1" s="246" t="s">
        <v>64</v>
      </c>
      <c r="E1" s="212" t="s">
        <v>65</v>
      </c>
      <c r="F1" s="212" t="s">
        <v>66</v>
      </c>
      <c r="G1" s="213" t="s">
        <v>67</v>
      </c>
      <c r="H1" s="212" t="s">
        <v>68</v>
      </c>
      <c r="I1" s="212" t="s">
        <v>69</v>
      </c>
      <c r="J1" s="212" t="s">
        <v>70</v>
      </c>
      <c r="K1" s="212" t="s">
        <v>71</v>
      </c>
      <c r="L1" s="212" t="s">
        <v>72</v>
      </c>
      <c r="M1" s="212" t="s">
        <v>73</v>
      </c>
      <c r="N1" s="212" t="s">
        <v>74</v>
      </c>
      <c r="O1" s="212" t="s">
        <v>75</v>
      </c>
      <c r="P1" s="218" t="s">
        <v>76</v>
      </c>
      <c r="Q1" s="214" t="s">
        <v>77</v>
      </c>
      <c r="R1" s="214" t="s">
        <v>78</v>
      </c>
      <c r="S1" s="214" t="s">
        <v>79</v>
      </c>
      <c r="T1" s="214" t="s">
        <v>80</v>
      </c>
      <c r="U1" s="247" t="s">
        <v>81</v>
      </c>
      <c r="V1" s="247" t="s">
        <v>82</v>
      </c>
      <c r="W1" s="215" t="s">
        <v>83</v>
      </c>
      <c r="X1" s="215" t="s">
        <v>84</v>
      </c>
      <c r="Y1" s="215" t="s">
        <v>85</v>
      </c>
      <c r="Z1" s="216" t="s">
        <v>86</v>
      </c>
      <c r="AA1" s="216" t="s">
        <v>87</v>
      </c>
      <c r="AB1" s="216" t="s">
        <v>88</v>
      </c>
      <c r="AC1" s="216" t="s">
        <v>89</v>
      </c>
      <c r="AD1" s="217" t="s">
        <v>90</v>
      </c>
      <c r="AE1" s="212" t="s">
        <v>91</v>
      </c>
      <c r="AF1" s="212" t="s">
        <v>92</v>
      </c>
      <c r="AG1" s="216" t="s">
        <v>93</v>
      </c>
      <c r="AH1" s="216" t="s">
        <v>94</v>
      </c>
      <c r="AI1" s="212" t="s">
        <v>95</v>
      </c>
      <c r="AJ1" s="212" t="s">
        <v>96</v>
      </c>
      <c r="AK1" s="216" t="s">
        <v>97</v>
      </c>
      <c r="AL1" s="216" t="s">
        <v>98</v>
      </c>
      <c r="AM1" s="218" t="s">
        <v>99</v>
      </c>
      <c r="AN1" s="218" t="s">
        <v>100</v>
      </c>
      <c r="AO1" s="218" t="s">
        <v>101</v>
      </c>
      <c r="AP1" s="218" t="s">
        <v>102</v>
      </c>
      <c r="AQ1" s="218" t="s">
        <v>103</v>
      </c>
      <c r="AR1" s="218" t="s">
        <v>104</v>
      </c>
      <c r="AS1" s="218" t="s">
        <v>105</v>
      </c>
      <c r="AT1" s="218" t="s">
        <v>106</v>
      </c>
      <c r="AU1" s="218" t="s">
        <v>107</v>
      </c>
      <c r="AV1" s="218" t="s">
        <v>108</v>
      </c>
      <c r="AW1" s="248" t="s">
        <v>109</v>
      </c>
      <c r="AX1" s="248" t="s">
        <v>110</v>
      </c>
      <c r="AY1" s="248" t="s">
        <v>111</v>
      </c>
      <c r="AZ1" s="248" t="s">
        <v>112</v>
      </c>
      <c r="BA1" s="274" t="s">
        <v>113</v>
      </c>
      <c r="BB1" s="212" t="s">
        <v>114</v>
      </c>
      <c r="BC1" s="219" t="s">
        <v>115</v>
      </c>
    </row>
    <row r="2" spans="1:55" ht="12.5">
      <c r="A2" s="220">
        <v>1</v>
      </c>
      <c r="B2" s="221" t="s">
        <v>116</v>
      </c>
      <c r="C2" s="221" t="s">
        <v>117</v>
      </c>
      <c r="D2" s="221" t="s">
        <v>118</v>
      </c>
      <c r="E2" s="310" t="s">
        <v>119</v>
      </c>
      <c r="F2" s="221" t="s">
        <v>120</v>
      </c>
      <c r="G2" s="222" t="s">
        <v>2480</v>
      </c>
      <c r="H2" s="221" t="s">
        <v>122</v>
      </c>
      <c r="I2" s="221" t="s">
        <v>123</v>
      </c>
      <c r="J2" s="221" t="s">
        <v>124</v>
      </c>
      <c r="K2" s="221" t="s">
        <v>125</v>
      </c>
      <c r="L2" s="221">
        <v>-74.781333333333293</v>
      </c>
      <c r="M2" s="221">
        <v>10.968527777777799</v>
      </c>
      <c r="N2" s="223" t="s">
        <v>126</v>
      </c>
      <c r="O2" s="223" t="s">
        <v>127</v>
      </c>
      <c r="P2" s="232">
        <f t="shared" ref="P2" si="0">+AO2+AT2</f>
        <v>17501822501.131393</v>
      </c>
      <c r="Q2" s="311">
        <v>1</v>
      </c>
      <c r="R2" s="311">
        <v>1</v>
      </c>
      <c r="S2" s="225">
        <f t="shared" ref="S2:S14" si="1">+R2-Q2</f>
        <v>0</v>
      </c>
      <c r="T2" s="225" t="str" cm="1">
        <f t="array" ref="T2">+_xlfn.IFS($P2&lt;=10000000000,IF(S2&gt;-0.05,"Verde",IF(S2&lt;=-0.1,"Rojo","Amarillo")),$P2&gt;10000000000,IF(S2&gt;-0.03,"Verde",IF(S2&lt;=-0.07,"Rojo","Amarillo")))</f>
        <v>Verde</v>
      </c>
      <c r="U2" s="226">
        <v>44305</v>
      </c>
      <c r="V2" s="226">
        <v>44334</v>
      </c>
      <c r="W2" s="226">
        <v>44442</v>
      </c>
      <c r="X2" s="226">
        <v>44561</v>
      </c>
      <c r="Y2" s="272">
        <v>45504</v>
      </c>
      <c r="Z2" s="225" t="str">
        <f t="shared" ref="Z2:Z36" ca="1" si="2">+IF(AND(O2="En_Ejecución",OR(T2="Rojo",T2="Amarillo")),IF(($Y2-(TODAY())&lt;15),"Rojo",IF(($Y2-TODAY())&gt;=45,"Verde","Amarillo")),O2)</f>
        <v>Terminado</v>
      </c>
      <c r="AA2" s="225" t="str">
        <f t="shared" ref="AA2:AA14" ca="1" si="3">+IF(AND(Z2="Amarillo",T2="Rojo"),"En_Seguimiento",IF(AND(Z2="Rojo",T2="Amarillo"),"En_Seguimiento",IF(AND(Z2="Rojo",T2="Rojo"),"En_Seguimiento",IF(AND(Z2="Suspendido",T2="Amarillo"),"En_Seguimiento",IF(AND(Z2="Suspendido",T2="Rojo"),"En_Seguimiento","-")))))</f>
        <v>-</v>
      </c>
      <c r="AB2" s="273" t="s">
        <v>128</v>
      </c>
      <c r="AC2" s="272"/>
      <c r="AD2" s="229">
        <v>45504</v>
      </c>
      <c r="AE2" s="221" t="s">
        <v>129</v>
      </c>
      <c r="AF2" s="223" t="s">
        <v>130</v>
      </c>
      <c r="AG2" s="223" t="s">
        <v>131</v>
      </c>
      <c r="AH2" s="223" t="s">
        <v>132</v>
      </c>
      <c r="AI2" s="221" t="s">
        <v>133</v>
      </c>
      <c r="AJ2" s="223" t="s">
        <v>134</v>
      </c>
      <c r="AK2" s="223" t="s">
        <v>135</v>
      </c>
      <c r="AL2" s="223" t="s">
        <v>136</v>
      </c>
      <c r="AM2" s="231">
        <v>10087941782</v>
      </c>
      <c r="AN2" s="231">
        <v>6614286460</v>
      </c>
      <c r="AO2" s="231">
        <f t="shared" ref="AO2:AO29" si="4">AM2+AN2</f>
        <v>16702228242</v>
      </c>
      <c r="AP2" s="231">
        <v>15865781158</v>
      </c>
      <c r="AQ2" s="231">
        <v>15865781158</v>
      </c>
      <c r="AR2" s="231">
        <v>2589999997</v>
      </c>
      <c r="AS2" s="231">
        <v>1425826605</v>
      </c>
      <c r="AT2" s="231">
        <v>799594259.13139367</v>
      </c>
      <c r="AU2" s="231">
        <v>3491711396.2600002</v>
      </c>
      <c r="AV2" s="231">
        <v>3111543570.9499998</v>
      </c>
      <c r="AW2" s="231" t="s">
        <v>137</v>
      </c>
      <c r="AX2" s="231" t="s">
        <v>138</v>
      </c>
      <c r="AY2" s="231" t="s">
        <v>139</v>
      </c>
      <c r="AZ2" s="231" t="s">
        <v>140</v>
      </c>
      <c r="BA2" s="310" t="s">
        <v>141</v>
      </c>
      <c r="BB2" s="310"/>
      <c r="BC2" s="312" t="s">
        <v>128</v>
      </c>
    </row>
    <row r="3" spans="1:55" ht="12.5">
      <c r="A3" s="220">
        <f>+A2+1</f>
        <v>2</v>
      </c>
      <c r="B3" s="221" t="s">
        <v>116</v>
      </c>
      <c r="C3" s="221" t="s">
        <v>117</v>
      </c>
      <c r="D3" s="221" t="s">
        <v>118</v>
      </c>
      <c r="E3" s="310" t="s">
        <v>119</v>
      </c>
      <c r="F3" s="221" t="s">
        <v>120</v>
      </c>
      <c r="G3" s="222" t="s">
        <v>2481</v>
      </c>
      <c r="H3" s="221" t="s">
        <v>122</v>
      </c>
      <c r="I3" s="221" t="s">
        <v>143</v>
      </c>
      <c r="J3" s="221" t="s">
        <v>124</v>
      </c>
      <c r="K3" s="221" t="s">
        <v>125</v>
      </c>
      <c r="L3" s="221"/>
      <c r="M3" s="221"/>
      <c r="N3" s="223" t="s">
        <v>126</v>
      </c>
      <c r="O3" s="223" t="s">
        <v>127</v>
      </c>
      <c r="P3" s="232">
        <f t="shared" ref="P3:P13" si="5">+AO3+AT3</f>
        <v>18006561289.909184</v>
      </c>
      <c r="Q3" s="311">
        <v>1</v>
      </c>
      <c r="R3" s="311">
        <v>1</v>
      </c>
      <c r="S3" s="225">
        <f t="shared" si="1"/>
        <v>0</v>
      </c>
      <c r="T3" s="225" t="str" cm="1">
        <f t="array" ref="T3">+_xlfn.IFS($P3&lt;=10000000000,IF(S3&gt;-0.05,"Verde",IF(S3&lt;=-0.1,"Rojo","Amarillo")),$P3&gt;10000000000,IF(S3&gt;-0.03,"Verde",IF(S3&lt;=-0.07,"Rojo","Amarillo")))</f>
        <v>Verde</v>
      </c>
      <c r="U3" s="226">
        <v>44305</v>
      </c>
      <c r="V3" s="226">
        <v>44334</v>
      </c>
      <c r="W3" s="226">
        <v>44442</v>
      </c>
      <c r="X3" s="226">
        <v>44561</v>
      </c>
      <c r="Y3" s="272">
        <v>44985</v>
      </c>
      <c r="Z3" s="225" t="str">
        <f t="shared" ca="1" si="2"/>
        <v>Terminado</v>
      </c>
      <c r="AA3" s="225" t="str">
        <f t="shared" ca="1" si="3"/>
        <v>-</v>
      </c>
      <c r="AB3" s="273" t="s">
        <v>128</v>
      </c>
      <c r="AC3" s="272"/>
      <c r="AD3" s="229">
        <v>44985</v>
      </c>
      <c r="AE3" s="221" t="s">
        <v>144</v>
      </c>
      <c r="AF3" s="223" t="s">
        <v>145</v>
      </c>
      <c r="AG3" s="223" t="s">
        <v>146</v>
      </c>
      <c r="AH3" s="223" t="s">
        <v>147</v>
      </c>
      <c r="AI3" s="221" t="s">
        <v>148</v>
      </c>
      <c r="AJ3" s="223" t="s">
        <v>149</v>
      </c>
      <c r="AK3" s="223" t="s">
        <v>150</v>
      </c>
      <c r="AL3" s="223" t="s">
        <v>151</v>
      </c>
      <c r="AM3" s="231">
        <v>7596189806</v>
      </c>
      <c r="AN3" s="231">
        <v>9510691495.3099995</v>
      </c>
      <c r="AO3" s="231">
        <f t="shared" si="4"/>
        <v>17106881301.309999</v>
      </c>
      <c r="AP3" s="231">
        <v>17105644167</v>
      </c>
      <c r="AQ3" s="231">
        <v>17105644167</v>
      </c>
      <c r="AR3" s="231">
        <v>2353659350</v>
      </c>
      <c r="AS3" s="231">
        <v>1932040306.6900001</v>
      </c>
      <c r="AT3" s="231">
        <v>899679988.59918344</v>
      </c>
      <c r="AU3" s="231">
        <v>3242593169</v>
      </c>
      <c r="AV3" s="231">
        <v>3242593169</v>
      </c>
      <c r="AW3" s="231" t="s">
        <v>152</v>
      </c>
      <c r="AX3" s="231" t="s">
        <v>138</v>
      </c>
      <c r="AY3" s="231" t="s">
        <v>139</v>
      </c>
      <c r="AZ3" s="231" t="s">
        <v>140</v>
      </c>
      <c r="BA3" s="310" t="s">
        <v>141</v>
      </c>
      <c r="BB3" s="310"/>
      <c r="BC3" s="312" t="s">
        <v>128</v>
      </c>
    </row>
    <row r="4" spans="1:55" ht="12.5">
      <c r="A4" s="220">
        <f t="shared" ref="A4:A58" si="6">+A3+1</f>
        <v>3</v>
      </c>
      <c r="B4" s="221" t="s">
        <v>116</v>
      </c>
      <c r="C4" s="221" t="s">
        <v>117</v>
      </c>
      <c r="D4" s="221" t="s">
        <v>118</v>
      </c>
      <c r="E4" s="310" t="s">
        <v>119</v>
      </c>
      <c r="F4" s="221" t="s">
        <v>120</v>
      </c>
      <c r="G4" s="222" t="s">
        <v>2482</v>
      </c>
      <c r="H4" s="221" t="s">
        <v>154</v>
      </c>
      <c r="I4" s="221" t="s">
        <v>155</v>
      </c>
      <c r="J4" s="221" t="s">
        <v>124</v>
      </c>
      <c r="K4" s="221" t="s">
        <v>125</v>
      </c>
      <c r="L4" s="221"/>
      <c r="M4" s="221"/>
      <c r="N4" s="223" t="s">
        <v>126</v>
      </c>
      <c r="O4" s="223" t="s">
        <v>127</v>
      </c>
      <c r="P4" s="232">
        <f t="shared" si="5"/>
        <v>13596535345.027191</v>
      </c>
      <c r="Q4" s="311">
        <v>1</v>
      </c>
      <c r="R4" s="311">
        <v>1</v>
      </c>
      <c r="S4" s="225">
        <f t="shared" si="1"/>
        <v>0</v>
      </c>
      <c r="T4" s="225" t="str" cm="1">
        <f t="array" ref="T4">+_xlfn.IFS($P4&lt;=10000000000,IF(S4&gt;-0.05,"Verde",IF(S4&lt;=-0.1,"Rojo","Amarillo")),$P4&gt;10000000000,IF(S4&gt;-0.03,"Verde",IF(S4&lt;=-0.07,"Rojo","Amarillo")))</f>
        <v>Verde</v>
      </c>
      <c r="U4" s="226">
        <v>44305</v>
      </c>
      <c r="V4" s="226">
        <v>44334</v>
      </c>
      <c r="W4" s="226">
        <v>44442</v>
      </c>
      <c r="X4" s="226">
        <v>44561</v>
      </c>
      <c r="Y4" s="272">
        <v>45626</v>
      </c>
      <c r="Z4" s="225" t="str">
        <f t="shared" ca="1" si="2"/>
        <v>Terminado</v>
      </c>
      <c r="AA4" s="225" t="str">
        <f t="shared" ca="1" si="3"/>
        <v>-</v>
      </c>
      <c r="AB4" s="273" t="s">
        <v>128</v>
      </c>
      <c r="AC4" s="272"/>
      <c r="AD4" s="229">
        <v>45626</v>
      </c>
      <c r="AE4" s="221" t="s">
        <v>156</v>
      </c>
      <c r="AF4" s="223" t="s">
        <v>157</v>
      </c>
      <c r="AG4" s="223" t="s">
        <v>158</v>
      </c>
      <c r="AH4" s="223" t="s">
        <v>159</v>
      </c>
      <c r="AI4" s="221" t="s">
        <v>148</v>
      </c>
      <c r="AJ4" s="223" t="s">
        <v>149</v>
      </c>
      <c r="AK4" s="223" t="s">
        <v>150</v>
      </c>
      <c r="AL4" s="223" t="s">
        <v>151</v>
      </c>
      <c r="AM4" s="231">
        <v>7615449800</v>
      </c>
      <c r="AN4" s="231">
        <v>5301748132</v>
      </c>
      <c r="AO4" s="231">
        <f t="shared" si="4"/>
        <v>12917197932</v>
      </c>
      <c r="AP4" s="231">
        <v>8766179366.6700001</v>
      </c>
      <c r="AQ4" s="231">
        <v>8766179366.6700001</v>
      </c>
      <c r="AR4" s="231">
        <v>0</v>
      </c>
      <c r="AS4" s="231">
        <v>0</v>
      </c>
      <c r="AT4" s="231">
        <v>679337413.02719057</v>
      </c>
      <c r="AU4" s="231">
        <v>0</v>
      </c>
      <c r="AV4" s="231">
        <v>0</v>
      </c>
      <c r="AW4" s="231" t="s">
        <v>160</v>
      </c>
      <c r="AX4" s="231" t="s">
        <v>138</v>
      </c>
      <c r="AY4" s="231" t="s">
        <v>139</v>
      </c>
      <c r="AZ4" s="231" t="s">
        <v>140</v>
      </c>
      <c r="BA4" s="310" t="s">
        <v>161</v>
      </c>
      <c r="BB4" s="310"/>
      <c r="BC4" s="312" t="s">
        <v>128</v>
      </c>
    </row>
    <row r="5" spans="1:55" ht="12.5">
      <c r="A5" s="220">
        <f t="shared" si="6"/>
        <v>4</v>
      </c>
      <c r="B5" s="221" t="s">
        <v>116</v>
      </c>
      <c r="C5" s="221" t="s">
        <v>117</v>
      </c>
      <c r="D5" s="221" t="s">
        <v>118</v>
      </c>
      <c r="E5" s="310" t="s">
        <v>119</v>
      </c>
      <c r="F5" s="221" t="s">
        <v>120</v>
      </c>
      <c r="G5" s="222" t="s">
        <v>2483</v>
      </c>
      <c r="H5" s="221" t="s">
        <v>163</v>
      </c>
      <c r="I5" s="221" t="s">
        <v>164</v>
      </c>
      <c r="J5" s="221" t="s">
        <v>124</v>
      </c>
      <c r="K5" s="221" t="s">
        <v>125</v>
      </c>
      <c r="L5" s="221"/>
      <c r="M5" s="221"/>
      <c r="N5" s="223" t="s">
        <v>126</v>
      </c>
      <c r="O5" s="223" t="s">
        <v>127</v>
      </c>
      <c r="P5" s="232">
        <f t="shared" si="5"/>
        <v>13706989823.576805</v>
      </c>
      <c r="Q5" s="311">
        <v>1</v>
      </c>
      <c r="R5" s="311">
        <v>1</v>
      </c>
      <c r="S5" s="225">
        <f t="shared" si="1"/>
        <v>0</v>
      </c>
      <c r="T5" s="225" t="str" cm="1">
        <f t="array" ref="T5">+_xlfn.IFS($P5&lt;=10000000000,IF(S5&gt;-0.05,"Verde",IF(S5&lt;=-0.1,"Rojo","Amarillo")),$P5&gt;10000000000,IF(S5&gt;-0.03,"Verde",IF(S5&lt;=-0.07,"Rojo","Amarillo")))</f>
        <v>Verde</v>
      </c>
      <c r="U5" s="226">
        <v>44305</v>
      </c>
      <c r="V5" s="226">
        <v>44334</v>
      </c>
      <c r="W5" s="226">
        <v>44442</v>
      </c>
      <c r="X5" s="226">
        <v>44561</v>
      </c>
      <c r="Y5" s="272">
        <v>45504</v>
      </c>
      <c r="Z5" s="225" t="str">
        <f t="shared" ca="1" si="2"/>
        <v>Terminado</v>
      </c>
      <c r="AA5" s="225" t="str">
        <f t="shared" ca="1" si="3"/>
        <v>-</v>
      </c>
      <c r="AB5" s="273" t="s">
        <v>128</v>
      </c>
      <c r="AC5" s="272"/>
      <c r="AD5" s="229">
        <v>45504</v>
      </c>
      <c r="AE5" s="221" t="s">
        <v>165</v>
      </c>
      <c r="AF5" s="223" t="s">
        <v>166</v>
      </c>
      <c r="AG5" s="223" t="s">
        <v>167</v>
      </c>
      <c r="AH5" s="223" t="s">
        <v>168</v>
      </c>
      <c r="AI5" s="221" t="s">
        <v>148</v>
      </c>
      <c r="AJ5" s="223" t="s">
        <v>149</v>
      </c>
      <c r="AK5" s="223" t="s">
        <v>150</v>
      </c>
      <c r="AL5" s="223" t="s">
        <v>151</v>
      </c>
      <c r="AM5" s="231">
        <v>7591113018</v>
      </c>
      <c r="AN5" s="231">
        <v>5431020644</v>
      </c>
      <c r="AO5" s="231">
        <f t="shared" si="4"/>
        <v>13022133662</v>
      </c>
      <c r="AP5" s="231">
        <v>12360972374.42</v>
      </c>
      <c r="AQ5" s="231">
        <v>12360972374.42</v>
      </c>
      <c r="AR5" s="231">
        <v>0</v>
      </c>
      <c r="AS5" s="231">
        <v>0</v>
      </c>
      <c r="AT5" s="231">
        <v>684856161.57680595</v>
      </c>
      <c r="AU5" s="231">
        <v>0</v>
      </c>
      <c r="AV5" s="231">
        <v>0</v>
      </c>
      <c r="AW5" s="231" t="s">
        <v>169</v>
      </c>
      <c r="AX5" s="231" t="s">
        <v>138</v>
      </c>
      <c r="AY5" s="231" t="s">
        <v>139</v>
      </c>
      <c r="AZ5" s="231" t="s">
        <v>140</v>
      </c>
      <c r="BA5" s="310" t="s">
        <v>170</v>
      </c>
      <c r="BB5" s="310"/>
      <c r="BC5" s="312" t="s">
        <v>128</v>
      </c>
    </row>
    <row r="6" spans="1:55" ht="12.5">
      <c r="A6" s="220">
        <f t="shared" si="6"/>
        <v>5</v>
      </c>
      <c r="B6" s="221" t="s">
        <v>116</v>
      </c>
      <c r="C6" s="221" t="s">
        <v>117</v>
      </c>
      <c r="D6" s="221" t="s">
        <v>118</v>
      </c>
      <c r="E6" s="310" t="s">
        <v>119</v>
      </c>
      <c r="F6" s="221" t="s">
        <v>120</v>
      </c>
      <c r="G6" s="222" t="s">
        <v>2484</v>
      </c>
      <c r="H6" s="221" t="s">
        <v>122</v>
      </c>
      <c r="I6" s="221" t="s">
        <v>172</v>
      </c>
      <c r="J6" s="221" t="s">
        <v>124</v>
      </c>
      <c r="K6" s="221" t="s">
        <v>125</v>
      </c>
      <c r="L6" s="221"/>
      <c r="M6" s="221"/>
      <c r="N6" s="223" t="s">
        <v>126</v>
      </c>
      <c r="O6" s="223" t="s">
        <v>127</v>
      </c>
      <c r="P6" s="232">
        <f t="shared" si="5"/>
        <v>16211543936.564932</v>
      </c>
      <c r="Q6" s="311">
        <v>1</v>
      </c>
      <c r="R6" s="311">
        <v>1</v>
      </c>
      <c r="S6" s="225">
        <f t="shared" si="1"/>
        <v>0</v>
      </c>
      <c r="T6" s="225" t="str" cm="1">
        <f t="array" ref="T6">+_xlfn.IFS($P6&lt;=10000000000,IF(S6&gt;-0.05,"Verde",IF(S6&lt;=-0.1,"Rojo","Amarillo")),$P6&gt;10000000000,IF(S6&gt;-0.03,"Verde",IF(S6&lt;=-0.07,"Rojo","Amarillo")))</f>
        <v>Verde</v>
      </c>
      <c r="U6" s="226">
        <v>44305</v>
      </c>
      <c r="V6" s="226">
        <v>44334</v>
      </c>
      <c r="W6" s="226">
        <v>44442</v>
      </c>
      <c r="X6" s="226">
        <v>44561</v>
      </c>
      <c r="Y6" s="272">
        <v>45565</v>
      </c>
      <c r="Z6" s="225" t="str">
        <f t="shared" ca="1" si="2"/>
        <v>Terminado</v>
      </c>
      <c r="AA6" s="225" t="str">
        <f t="shared" ca="1" si="3"/>
        <v>-</v>
      </c>
      <c r="AB6" s="273" t="s">
        <v>128</v>
      </c>
      <c r="AC6" s="272"/>
      <c r="AD6" s="229">
        <v>45565</v>
      </c>
      <c r="AE6" s="221" t="s">
        <v>173</v>
      </c>
      <c r="AF6" s="223" t="s">
        <v>174</v>
      </c>
      <c r="AG6" s="223" t="s">
        <v>175</v>
      </c>
      <c r="AH6" s="223" t="s">
        <v>176</v>
      </c>
      <c r="AI6" s="221" t="s">
        <v>133</v>
      </c>
      <c r="AJ6" s="223" t="s">
        <v>134</v>
      </c>
      <c r="AK6" s="223" t="s">
        <v>135</v>
      </c>
      <c r="AL6" s="223" t="s">
        <v>136</v>
      </c>
      <c r="AM6" s="231">
        <v>9610407989</v>
      </c>
      <c r="AN6" s="231">
        <v>5860489797</v>
      </c>
      <c r="AO6" s="231">
        <f t="shared" si="4"/>
        <v>15470897786</v>
      </c>
      <c r="AP6" s="231">
        <v>14553426871</v>
      </c>
      <c r="AQ6" s="231">
        <v>14553426871</v>
      </c>
      <c r="AR6" s="231">
        <v>0</v>
      </c>
      <c r="AS6" s="231">
        <v>0</v>
      </c>
      <c r="AT6" s="231">
        <v>740646150.56493175</v>
      </c>
      <c r="AU6" s="231">
        <v>0</v>
      </c>
      <c r="AV6" s="231">
        <v>0</v>
      </c>
      <c r="AW6" s="231" t="s">
        <v>177</v>
      </c>
      <c r="AX6" s="231" t="s">
        <v>138</v>
      </c>
      <c r="AY6" s="231" t="s">
        <v>139</v>
      </c>
      <c r="AZ6" s="231" t="s">
        <v>140</v>
      </c>
      <c r="BA6" s="310" t="s">
        <v>170</v>
      </c>
      <c r="BB6" s="310"/>
      <c r="BC6" s="312" t="s">
        <v>128</v>
      </c>
    </row>
    <row r="7" spans="1:55" ht="12.5">
      <c r="A7" s="220">
        <f t="shared" si="6"/>
        <v>6</v>
      </c>
      <c r="B7" s="221" t="s">
        <v>116</v>
      </c>
      <c r="C7" s="221" t="s">
        <v>117</v>
      </c>
      <c r="D7" s="221" t="s">
        <v>118</v>
      </c>
      <c r="E7" s="310" t="s">
        <v>119</v>
      </c>
      <c r="F7" s="221" t="s">
        <v>120</v>
      </c>
      <c r="G7" s="222" t="s">
        <v>2485</v>
      </c>
      <c r="H7" s="221" t="s">
        <v>122</v>
      </c>
      <c r="I7" s="221" t="s">
        <v>179</v>
      </c>
      <c r="J7" s="221" t="s">
        <v>124</v>
      </c>
      <c r="K7" s="221" t="s">
        <v>125</v>
      </c>
      <c r="L7" s="221"/>
      <c r="M7" s="221"/>
      <c r="N7" s="223" t="s">
        <v>126</v>
      </c>
      <c r="O7" s="223" t="s">
        <v>127</v>
      </c>
      <c r="P7" s="232">
        <f t="shared" si="5"/>
        <v>15213348689.513901</v>
      </c>
      <c r="Q7" s="311">
        <v>1</v>
      </c>
      <c r="R7" s="311">
        <v>1</v>
      </c>
      <c r="S7" s="225">
        <f t="shared" si="1"/>
        <v>0</v>
      </c>
      <c r="T7" s="225" t="str" cm="1">
        <f t="array" ref="T7">+_xlfn.IFS($P7&lt;=10000000000,IF(S7&gt;-0.05,"Verde",IF(S7&lt;=-0.1,"Rojo","Amarillo")),$P7&gt;10000000000,IF(S7&gt;-0.03,"Verde",IF(S7&lt;=-0.07,"Rojo","Amarillo")))</f>
        <v>Verde</v>
      </c>
      <c r="U7" s="226">
        <v>44305</v>
      </c>
      <c r="V7" s="226">
        <v>44334</v>
      </c>
      <c r="W7" s="226">
        <v>44442</v>
      </c>
      <c r="X7" s="226">
        <v>44561</v>
      </c>
      <c r="Y7" s="272">
        <v>45565</v>
      </c>
      <c r="Z7" s="225" t="str">
        <f t="shared" ca="1" si="2"/>
        <v>Terminado</v>
      </c>
      <c r="AA7" s="225" t="str">
        <f t="shared" ca="1" si="3"/>
        <v>-</v>
      </c>
      <c r="AB7" s="273" t="s">
        <v>128</v>
      </c>
      <c r="AC7" s="272"/>
      <c r="AD7" s="229">
        <v>45565</v>
      </c>
      <c r="AE7" s="221" t="s">
        <v>180</v>
      </c>
      <c r="AF7" s="223" t="s">
        <v>181</v>
      </c>
      <c r="AG7" s="223" t="s">
        <v>182</v>
      </c>
      <c r="AH7" s="223" t="s">
        <v>183</v>
      </c>
      <c r="AI7" s="221" t="s">
        <v>133</v>
      </c>
      <c r="AJ7" s="223" t="s">
        <v>134</v>
      </c>
      <c r="AK7" s="223" t="s">
        <v>135</v>
      </c>
      <c r="AL7" s="223" t="s">
        <v>136</v>
      </c>
      <c r="AM7" s="231">
        <v>8708323997</v>
      </c>
      <c r="AN7" s="231">
        <v>5809982432</v>
      </c>
      <c r="AO7" s="231">
        <f t="shared" si="4"/>
        <v>14518306429</v>
      </c>
      <c r="AP7" s="231">
        <v>12927145372.93</v>
      </c>
      <c r="AQ7" s="231">
        <v>12927145372.93</v>
      </c>
      <c r="AR7" s="231">
        <v>0</v>
      </c>
      <c r="AS7" s="231">
        <v>0</v>
      </c>
      <c r="AT7" s="231">
        <v>695042260.51390135</v>
      </c>
      <c r="AU7" s="231">
        <v>0</v>
      </c>
      <c r="AV7" s="231">
        <v>0</v>
      </c>
      <c r="AW7" s="231" t="s">
        <v>184</v>
      </c>
      <c r="AX7" s="231" t="s">
        <v>138</v>
      </c>
      <c r="AY7" s="231" t="s">
        <v>139</v>
      </c>
      <c r="AZ7" s="231" t="s">
        <v>140</v>
      </c>
      <c r="BA7" s="310" t="s">
        <v>170</v>
      </c>
      <c r="BB7" s="310"/>
      <c r="BC7" s="312" t="s">
        <v>128</v>
      </c>
    </row>
    <row r="8" spans="1:55" ht="12.5">
      <c r="A8" s="220">
        <f t="shared" si="6"/>
        <v>7</v>
      </c>
      <c r="B8" s="221" t="s">
        <v>116</v>
      </c>
      <c r="C8" s="221" t="s">
        <v>117</v>
      </c>
      <c r="D8" s="221" t="s">
        <v>118</v>
      </c>
      <c r="E8" s="310" t="s">
        <v>119</v>
      </c>
      <c r="F8" s="221" t="s">
        <v>120</v>
      </c>
      <c r="G8" s="222" t="s">
        <v>2486</v>
      </c>
      <c r="H8" s="221" t="s">
        <v>122</v>
      </c>
      <c r="I8" s="221" t="s">
        <v>186</v>
      </c>
      <c r="J8" s="221" t="s">
        <v>124</v>
      </c>
      <c r="K8" s="221" t="s">
        <v>125</v>
      </c>
      <c r="L8" s="221"/>
      <c r="M8" s="221"/>
      <c r="N8" s="223" t="s">
        <v>126</v>
      </c>
      <c r="O8" s="223" t="s">
        <v>127</v>
      </c>
      <c r="P8" s="232">
        <f t="shared" si="5"/>
        <v>16944274304.182558</v>
      </c>
      <c r="Q8" s="311">
        <v>1.0000000000000002</v>
      </c>
      <c r="R8" s="311">
        <v>1</v>
      </c>
      <c r="S8" s="225">
        <f t="shared" si="1"/>
        <v>0</v>
      </c>
      <c r="T8" s="225" t="str" cm="1">
        <f t="array" ref="T8">+_xlfn.IFS($P8&lt;=10000000000,IF(S8&gt;-0.05,"Verde",IF(S8&lt;=-0.1,"Rojo","Amarillo")),$P8&gt;10000000000,IF(S8&gt;-0.03,"Verde",IF(S8&lt;=-0.07,"Rojo","Amarillo")))</f>
        <v>Verde</v>
      </c>
      <c r="U8" s="226">
        <v>44305</v>
      </c>
      <c r="V8" s="226">
        <v>44334</v>
      </c>
      <c r="W8" s="226">
        <v>44442</v>
      </c>
      <c r="X8" s="226">
        <v>44561</v>
      </c>
      <c r="Y8" s="272">
        <v>45428</v>
      </c>
      <c r="Z8" s="225" t="str">
        <f t="shared" ca="1" si="2"/>
        <v>Terminado</v>
      </c>
      <c r="AA8" s="225" t="str">
        <f t="shared" ca="1" si="3"/>
        <v>-</v>
      </c>
      <c r="AB8" s="273" t="s">
        <v>128</v>
      </c>
      <c r="AC8" s="272"/>
      <c r="AD8" s="229">
        <v>45428</v>
      </c>
      <c r="AE8" s="221" t="s">
        <v>187</v>
      </c>
      <c r="AF8" s="223" t="s">
        <v>188</v>
      </c>
      <c r="AG8" s="223" t="s">
        <v>189</v>
      </c>
      <c r="AH8" s="223" t="s">
        <v>190</v>
      </c>
      <c r="AI8" s="221" t="s">
        <v>133</v>
      </c>
      <c r="AJ8" s="223" t="s">
        <v>134</v>
      </c>
      <c r="AK8" s="223" t="s">
        <v>135</v>
      </c>
      <c r="AL8" s="223" t="s">
        <v>136</v>
      </c>
      <c r="AM8" s="231">
        <v>10200564715</v>
      </c>
      <c r="AN8" s="231">
        <v>5969587668</v>
      </c>
      <c r="AO8" s="231">
        <f t="shared" si="4"/>
        <v>16170152383</v>
      </c>
      <c r="AP8" s="231">
        <v>15284701905</v>
      </c>
      <c r="AQ8" s="231">
        <v>15284701905</v>
      </c>
      <c r="AR8" s="231">
        <v>0</v>
      </c>
      <c r="AS8" s="231">
        <v>0</v>
      </c>
      <c r="AT8" s="231">
        <v>774121921.1825583</v>
      </c>
      <c r="AU8" s="231">
        <v>0</v>
      </c>
      <c r="AV8" s="231">
        <v>0</v>
      </c>
      <c r="AW8" s="231" t="s">
        <v>191</v>
      </c>
      <c r="AX8" s="231" t="s">
        <v>138</v>
      </c>
      <c r="AY8" s="231" t="s">
        <v>139</v>
      </c>
      <c r="AZ8" s="231" t="s">
        <v>140</v>
      </c>
      <c r="BA8" s="310" t="s">
        <v>141</v>
      </c>
      <c r="BB8" s="310"/>
      <c r="BC8" s="312" t="s">
        <v>128</v>
      </c>
    </row>
    <row r="9" spans="1:55" ht="12.5">
      <c r="A9" s="220">
        <f t="shared" si="6"/>
        <v>8</v>
      </c>
      <c r="B9" s="221" t="s">
        <v>116</v>
      </c>
      <c r="C9" s="221" t="s">
        <v>117</v>
      </c>
      <c r="D9" s="221" t="s">
        <v>118</v>
      </c>
      <c r="E9" s="310" t="s">
        <v>119</v>
      </c>
      <c r="F9" s="221" t="s">
        <v>120</v>
      </c>
      <c r="G9" s="222" t="s">
        <v>2487</v>
      </c>
      <c r="H9" s="221" t="s">
        <v>154</v>
      </c>
      <c r="I9" s="221" t="s">
        <v>193</v>
      </c>
      <c r="J9" s="221" t="s">
        <v>124</v>
      </c>
      <c r="K9" s="221" t="s">
        <v>125</v>
      </c>
      <c r="L9" s="221"/>
      <c r="M9" s="221"/>
      <c r="N9" s="223" t="s">
        <v>126</v>
      </c>
      <c r="O9" s="223" t="s">
        <v>127</v>
      </c>
      <c r="P9" s="339">
        <f t="shared" si="5"/>
        <v>13792194861.868586</v>
      </c>
      <c r="Q9" s="311">
        <v>1</v>
      </c>
      <c r="R9" s="311">
        <v>1</v>
      </c>
      <c r="S9" s="225">
        <f t="shared" si="1"/>
        <v>0</v>
      </c>
      <c r="T9" s="225" t="str" cm="1">
        <f t="array" ref="T9">+_xlfn.IFS($P9&lt;=10000000000,IF(S9&gt;-0.05,"Verde",IF(S9&lt;=-0.1,"Rojo","Amarillo")),$P9&gt;10000000000,IF(S9&gt;-0.03,"Verde",IF(S9&lt;=-0.07,"Rojo","Amarillo")))</f>
        <v>Verde</v>
      </c>
      <c r="U9" s="226">
        <v>44305</v>
      </c>
      <c r="V9" s="226">
        <v>44334</v>
      </c>
      <c r="W9" s="226">
        <v>44442</v>
      </c>
      <c r="X9" s="226">
        <v>44561</v>
      </c>
      <c r="Y9" s="272">
        <v>45504</v>
      </c>
      <c r="Z9" s="225" t="str">
        <f t="shared" ca="1" si="2"/>
        <v>Terminado</v>
      </c>
      <c r="AA9" s="225" t="str">
        <f t="shared" ca="1" si="3"/>
        <v>-</v>
      </c>
      <c r="AB9" s="273" t="s">
        <v>128</v>
      </c>
      <c r="AC9" s="272"/>
      <c r="AD9" s="229">
        <v>45504</v>
      </c>
      <c r="AE9" s="221" t="s">
        <v>194</v>
      </c>
      <c r="AF9" s="223" t="s">
        <v>195</v>
      </c>
      <c r="AG9" s="223" t="s">
        <v>196</v>
      </c>
      <c r="AH9" s="223" t="s">
        <v>197</v>
      </c>
      <c r="AI9" s="221" t="s">
        <v>148</v>
      </c>
      <c r="AJ9" s="223" t="s">
        <v>149</v>
      </c>
      <c r="AK9" s="223" t="s">
        <v>150</v>
      </c>
      <c r="AL9" s="223" t="s">
        <v>151</v>
      </c>
      <c r="AM9" s="231">
        <v>7638300700</v>
      </c>
      <c r="AN9" s="231">
        <v>5464780815</v>
      </c>
      <c r="AO9" s="231">
        <f t="shared" si="4"/>
        <v>13103081515</v>
      </c>
      <c r="AP9" s="231">
        <v>12447568529</v>
      </c>
      <c r="AQ9" s="231">
        <v>12447568529</v>
      </c>
      <c r="AR9" s="231">
        <v>0</v>
      </c>
      <c r="AS9" s="231">
        <v>0</v>
      </c>
      <c r="AT9" s="231">
        <v>689113346.8685863</v>
      </c>
      <c r="AU9" s="231">
        <v>0</v>
      </c>
      <c r="AV9" s="231">
        <v>0</v>
      </c>
      <c r="AW9" s="231" t="s">
        <v>198</v>
      </c>
      <c r="AX9" s="231" t="s">
        <v>138</v>
      </c>
      <c r="AY9" s="231" t="s">
        <v>139</v>
      </c>
      <c r="AZ9" s="231" t="s">
        <v>140</v>
      </c>
      <c r="BA9" s="310" t="s">
        <v>141</v>
      </c>
      <c r="BB9" s="310"/>
      <c r="BC9" s="312" t="s">
        <v>128</v>
      </c>
    </row>
    <row r="10" spans="1:55" ht="12.5">
      <c r="A10" s="220">
        <f t="shared" si="6"/>
        <v>9</v>
      </c>
      <c r="B10" s="221" t="s">
        <v>116</v>
      </c>
      <c r="C10" s="221" t="s">
        <v>117</v>
      </c>
      <c r="D10" s="221" t="s">
        <v>118</v>
      </c>
      <c r="E10" s="310" t="s">
        <v>119</v>
      </c>
      <c r="F10" s="221" t="s">
        <v>120</v>
      </c>
      <c r="G10" s="222" t="s">
        <v>2488</v>
      </c>
      <c r="H10" s="221" t="s">
        <v>122</v>
      </c>
      <c r="I10" s="221" t="s">
        <v>200</v>
      </c>
      <c r="J10" s="221" t="s">
        <v>124</v>
      </c>
      <c r="K10" s="221" t="s">
        <v>125</v>
      </c>
      <c r="L10" s="221"/>
      <c r="M10" s="221"/>
      <c r="N10" s="223" t="s">
        <v>126</v>
      </c>
      <c r="O10" s="223" t="s">
        <v>127</v>
      </c>
      <c r="P10" s="339">
        <f t="shared" si="5"/>
        <v>13025165374.745186</v>
      </c>
      <c r="Q10" s="311">
        <v>1</v>
      </c>
      <c r="R10" s="311">
        <v>1</v>
      </c>
      <c r="S10" s="225">
        <f t="shared" si="1"/>
        <v>0</v>
      </c>
      <c r="T10" s="225" t="str" cm="1">
        <f t="array" ref="T10">+_xlfn.IFS($P10&lt;=10000000000,IF(S10&gt;-0.05,"Verde",IF(S10&lt;=-0.1,"Rojo","Amarillo")),$P10&gt;10000000000,IF(S10&gt;-0.03,"Verde",IF(S10&lt;=-0.07,"Rojo","Amarillo")))</f>
        <v>Verde</v>
      </c>
      <c r="U10" s="226">
        <v>44305</v>
      </c>
      <c r="V10" s="226">
        <v>44334</v>
      </c>
      <c r="W10" s="226">
        <v>44442</v>
      </c>
      <c r="X10" s="226">
        <v>44561</v>
      </c>
      <c r="Y10" s="313">
        <v>45596</v>
      </c>
      <c r="Z10" s="225" t="str">
        <f t="shared" ca="1" si="2"/>
        <v>Terminado</v>
      </c>
      <c r="AA10" s="225" t="str">
        <f t="shared" ca="1" si="3"/>
        <v>-</v>
      </c>
      <c r="AB10" s="273" t="s">
        <v>128</v>
      </c>
      <c r="AC10" s="272"/>
      <c r="AD10" s="229">
        <v>45596</v>
      </c>
      <c r="AE10" s="221" t="s">
        <v>201</v>
      </c>
      <c r="AF10" s="223" t="s">
        <v>202</v>
      </c>
      <c r="AG10" s="223" t="s">
        <v>203</v>
      </c>
      <c r="AH10" s="223" t="s">
        <v>204</v>
      </c>
      <c r="AI10" s="221" t="s">
        <v>148</v>
      </c>
      <c r="AJ10" s="223" t="s">
        <v>149</v>
      </c>
      <c r="AK10" s="223" t="s">
        <v>150</v>
      </c>
      <c r="AL10" s="223" t="s">
        <v>151</v>
      </c>
      <c r="AM10" s="231">
        <v>7593881776</v>
      </c>
      <c r="AN10" s="231">
        <v>4780494120</v>
      </c>
      <c r="AO10" s="231">
        <f t="shared" si="4"/>
        <v>12374375896</v>
      </c>
      <c r="AP10" s="231">
        <v>10705414795</v>
      </c>
      <c r="AQ10" s="231">
        <v>10705414795</v>
      </c>
      <c r="AR10" s="231">
        <v>0</v>
      </c>
      <c r="AS10" s="231">
        <v>0</v>
      </c>
      <c r="AT10" s="231">
        <v>650789478.74518514</v>
      </c>
      <c r="AU10" s="231">
        <v>0</v>
      </c>
      <c r="AV10" s="231">
        <v>0</v>
      </c>
      <c r="AW10" s="231" t="s">
        <v>205</v>
      </c>
      <c r="AX10" s="231" t="s">
        <v>138</v>
      </c>
      <c r="AY10" s="231" t="s">
        <v>139</v>
      </c>
      <c r="AZ10" s="231" t="s">
        <v>140</v>
      </c>
      <c r="BA10" s="310" t="s">
        <v>170</v>
      </c>
      <c r="BB10" s="310"/>
      <c r="BC10" s="312" t="s">
        <v>128</v>
      </c>
    </row>
    <row r="11" spans="1:55" ht="12.5">
      <c r="A11" s="220">
        <f t="shared" si="6"/>
        <v>10</v>
      </c>
      <c r="B11" s="221" t="s">
        <v>116</v>
      </c>
      <c r="C11" s="221" t="s">
        <v>117</v>
      </c>
      <c r="D11" s="221" t="s">
        <v>118</v>
      </c>
      <c r="E11" s="310" t="s">
        <v>119</v>
      </c>
      <c r="F11" s="221" t="s">
        <v>120</v>
      </c>
      <c r="G11" s="222" t="s">
        <v>2489</v>
      </c>
      <c r="H11" s="221" t="s">
        <v>122</v>
      </c>
      <c r="I11" s="221" t="s">
        <v>207</v>
      </c>
      <c r="J11" s="221" t="s">
        <v>124</v>
      </c>
      <c r="K11" s="221" t="s">
        <v>125</v>
      </c>
      <c r="L11" s="221"/>
      <c r="M11" s="221"/>
      <c r="N11" s="223" t="s">
        <v>126</v>
      </c>
      <c r="O11" s="223" t="s">
        <v>127</v>
      </c>
      <c r="P11" s="339">
        <f t="shared" si="5"/>
        <v>13721467530.873049</v>
      </c>
      <c r="Q11" s="311">
        <v>1</v>
      </c>
      <c r="R11" s="311">
        <v>1</v>
      </c>
      <c r="S11" s="225">
        <f t="shared" si="1"/>
        <v>0</v>
      </c>
      <c r="T11" s="225" t="str" cm="1">
        <f t="array" ref="T11">+_xlfn.IFS($P11&lt;=10000000000,IF(S11&gt;-0.05,"Verde",IF(S11&lt;=-0.1,"Rojo","Amarillo")),$P11&gt;10000000000,IF(S11&gt;-0.03,"Verde",IF(S11&lt;=-0.07,"Rojo","Amarillo")))</f>
        <v>Verde</v>
      </c>
      <c r="U11" s="226">
        <v>44305</v>
      </c>
      <c r="V11" s="226">
        <v>44334</v>
      </c>
      <c r="W11" s="226">
        <v>44442</v>
      </c>
      <c r="X11" s="226">
        <v>44561</v>
      </c>
      <c r="Y11" s="313">
        <v>45596</v>
      </c>
      <c r="Z11" s="225" t="str">
        <f t="shared" ca="1" si="2"/>
        <v>Terminado</v>
      </c>
      <c r="AA11" s="225" t="str">
        <f t="shared" ca="1" si="3"/>
        <v>-</v>
      </c>
      <c r="AB11" s="273" t="s">
        <v>128</v>
      </c>
      <c r="AC11" s="272"/>
      <c r="AD11" s="229">
        <v>45596</v>
      </c>
      <c r="AE11" s="221" t="s">
        <v>208</v>
      </c>
      <c r="AF11" s="223" t="s">
        <v>209</v>
      </c>
      <c r="AG11" s="223" t="s">
        <v>210</v>
      </c>
      <c r="AH11" s="223" t="s">
        <v>204</v>
      </c>
      <c r="AI11" s="221" t="s">
        <v>148</v>
      </c>
      <c r="AJ11" s="223" t="s">
        <v>149</v>
      </c>
      <c r="AK11" s="223" t="s">
        <v>150</v>
      </c>
      <c r="AL11" s="223" t="s">
        <v>151</v>
      </c>
      <c r="AM11" s="231">
        <v>7713151737</v>
      </c>
      <c r="AN11" s="231">
        <v>5322736268</v>
      </c>
      <c r="AO11" s="231">
        <f t="shared" si="4"/>
        <v>13035888005</v>
      </c>
      <c r="AP11" s="231">
        <v>10364113130.43</v>
      </c>
      <c r="AQ11" s="231">
        <v>10364113130.43</v>
      </c>
      <c r="AR11" s="231">
        <v>0</v>
      </c>
      <c r="AS11" s="231">
        <v>0</v>
      </c>
      <c r="AT11" s="231">
        <v>685579525.87304866</v>
      </c>
      <c r="AU11" s="231">
        <v>0</v>
      </c>
      <c r="AV11" s="231">
        <v>0</v>
      </c>
      <c r="AW11" s="231" t="s">
        <v>211</v>
      </c>
      <c r="AX11" s="231" t="s">
        <v>138</v>
      </c>
      <c r="AY11" s="231" t="s">
        <v>139</v>
      </c>
      <c r="AZ11" s="231" t="s">
        <v>140</v>
      </c>
      <c r="BA11" s="310" t="s">
        <v>170</v>
      </c>
      <c r="BB11" s="221"/>
      <c r="BC11" s="312" t="s">
        <v>128</v>
      </c>
    </row>
    <row r="12" spans="1:55" ht="12.5">
      <c r="A12" s="220">
        <f t="shared" si="6"/>
        <v>11</v>
      </c>
      <c r="B12" s="221" t="s">
        <v>116</v>
      </c>
      <c r="C12" s="221" t="s">
        <v>117</v>
      </c>
      <c r="D12" s="221" t="s">
        <v>118</v>
      </c>
      <c r="E12" s="310" t="s">
        <v>119</v>
      </c>
      <c r="F12" s="221" t="s">
        <v>120</v>
      </c>
      <c r="G12" s="222" t="s">
        <v>2490</v>
      </c>
      <c r="H12" s="221" t="s">
        <v>122</v>
      </c>
      <c r="I12" s="221" t="s">
        <v>213</v>
      </c>
      <c r="J12" s="221" t="s">
        <v>124</v>
      </c>
      <c r="K12" s="221" t="s">
        <v>125</v>
      </c>
      <c r="L12" s="221"/>
      <c r="M12" s="221"/>
      <c r="N12" s="223" t="s">
        <v>126</v>
      </c>
      <c r="O12" s="223" t="s">
        <v>127</v>
      </c>
      <c r="P12" s="339">
        <f t="shared" si="5"/>
        <v>13891374033.451895</v>
      </c>
      <c r="Q12" s="311">
        <v>1</v>
      </c>
      <c r="R12" s="311">
        <v>1</v>
      </c>
      <c r="S12" s="225">
        <f t="shared" si="1"/>
        <v>0</v>
      </c>
      <c r="T12" s="225" t="str" cm="1">
        <f t="array" ref="T12">+_xlfn.IFS($P12&lt;=10000000000,IF(S12&gt;-0.05,"Verde",IF(S12&lt;=-0.1,"Rojo","Amarillo")),$P12&gt;10000000000,IF(S12&gt;-0.03,"Verde",IF(S12&lt;=-0.07,"Rojo","Amarillo")))</f>
        <v>Verde</v>
      </c>
      <c r="U12" s="226">
        <v>44305</v>
      </c>
      <c r="V12" s="226">
        <v>44334</v>
      </c>
      <c r="W12" s="226">
        <v>44442</v>
      </c>
      <c r="X12" s="226">
        <v>44561</v>
      </c>
      <c r="Y12" s="314">
        <v>45596</v>
      </c>
      <c r="Z12" s="225" t="str">
        <f t="shared" ca="1" si="2"/>
        <v>Terminado</v>
      </c>
      <c r="AA12" s="225" t="str">
        <f t="shared" ca="1" si="3"/>
        <v>-</v>
      </c>
      <c r="AB12" s="273" t="s">
        <v>128</v>
      </c>
      <c r="AC12" s="272"/>
      <c r="AD12" s="229">
        <v>45596</v>
      </c>
      <c r="AE12" s="221" t="s">
        <v>214</v>
      </c>
      <c r="AF12" s="223" t="s">
        <v>215</v>
      </c>
      <c r="AG12" s="223" t="s">
        <v>216</v>
      </c>
      <c r="AH12" s="223" t="s">
        <v>217</v>
      </c>
      <c r="AI12" s="221" t="s">
        <v>133</v>
      </c>
      <c r="AJ12" s="223" t="s">
        <v>134</v>
      </c>
      <c r="AK12" s="223" t="s">
        <v>135</v>
      </c>
      <c r="AL12" s="223" t="s">
        <v>136</v>
      </c>
      <c r="AM12" s="231">
        <v>7727867246</v>
      </c>
      <c r="AN12" s="231">
        <v>5528860714</v>
      </c>
      <c r="AO12" s="231">
        <f t="shared" si="4"/>
        <v>13256727960</v>
      </c>
      <c r="AP12" s="231">
        <v>11221659834</v>
      </c>
      <c r="AQ12" s="231">
        <v>11221659834</v>
      </c>
      <c r="AR12" s="231">
        <v>0</v>
      </c>
      <c r="AS12" s="231">
        <v>0</v>
      </c>
      <c r="AT12" s="231">
        <v>634646073.45189416</v>
      </c>
      <c r="AU12" s="231">
        <v>0</v>
      </c>
      <c r="AV12" s="231">
        <v>0</v>
      </c>
      <c r="AW12" s="231" t="s">
        <v>191</v>
      </c>
      <c r="AX12" s="231" t="s">
        <v>138</v>
      </c>
      <c r="AY12" s="231" t="s">
        <v>139</v>
      </c>
      <c r="AZ12" s="231" t="s">
        <v>140</v>
      </c>
      <c r="BA12" s="310" t="s">
        <v>170</v>
      </c>
      <c r="BB12" s="310"/>
      <c r="BC12" s="312" t="s">
        <v>128</v>
      </c>
    </row>
    <row r="13" spans="1:55" ht="12.5">
      <c r="A13" s="220">
        <f t="shared" si="6"/>
        <v>12</v>
      </c>
      <c r="B13" s="221" t="s">
        <v>116</v>
      </c>
      <c r="C13" s="221" t="s">
        <v>117</v>
      </c>
      <c r="D13" s="221" t="s">
        <v>118</v>
      </c>
      <c r="E13" s="310" t="s">
        <v>119</v>
      </c>
      <c r="F13" s="221" t="s">
        <v>120</v>
      </c>
      <c r="G13" s="315" t="s">
        <v>2491</v>
      </c>
      <c r="H13" s="310" t="s">
        <v>122</v>
      </c>
      <c r="I13" s="310" t="s">
        <v>218</v>
      </c>
      <c r="J13" s="221" t="s">
        <v>124</v>
      </c>
      <c r="K13" s="310" t="s">
        <v>125</v>
      </c>
      <c r="L13" s="310"/>
      <c r="M13" s="310"/>
      <c r="N13" s="230" t="s">
        <v>126</v>
      </c>
      <c r="O13" s="230" t="s">
        <v>219</v>
      </c>
      <c r="P13" s="339">
        <f t="shared" si="5"/>
        <v>8137572760.1553211</v>
      </c>
      <c r="Q13" s="316">
        <v>1</v>
      </c>
      <c r="R13" s="316">
        <v>1</v>
      </c>
      <c r="S13" s="225">
        <f t="shared" si="1"/>
        <v>0</v>
      </c>
      <c r="T13" s="225" t="str" cm="1">
        <f t="array" ref="T13">+_xlfn.IFS($P13&lt;=10000000000,IF(S13&gt;-0.05,"Verde",IF(S13&lt;=-0.1,"Rojo","Amarillo")),$P13&gt;10000000000,IF(S13&gt;-0.03,"Verde",IF(S13&lt;=-0.07,"Rojo","Amarillo")))</f>
        <v>Verde</v>
      </c>
      <c r="U13" s="226">
        <v>44305</v>
      </c>
      <c r="V13" s="226">
        <v>44334</v>
      </c>
      <c r="W13" s="226">
        <v>44442</v>
      </c>
      <c r="X13" s="226">
        <v>44561</v>
      </c>
      <c r="Y13" s="272">
        <v>44772</v>
      </c>
      <c r="Z13" s="225" t="str">
        <f t="shared" ca="1" si="2"/>
        <v>Liquidado</v>
      </c>
      <c r="AA13" s="225" t="str">
        <f t="shared" ca="1" si="3"/>
        <v>-</v>
      </c>
      <c r="AB13" s="273" t="s">
        <v>128</v>
      </c>
      <c r="AC13" s="272"/>
      <c r="AD13" s="229">
        <v>44772</v>
      </c>
      <c r="AE13" s="221" t="s">
        <v>220</v>
      </c>
      <c r="AF13" s="223" t="s">
        <v>221</v>
      </c>
      <c r="AG13" s="223" t="s">
        <v>222</v>
      </c>
      <c r="AH13" s="223" t="s">
        <v>223</v>
      </c>
      <c r="AI13" s="221" t="s">
        <v>133</v>
      </c>
      <c r="AJ13" s="223" t="s">
        <v>134</v>
      </c>
      <c r="AK13" s="223" t="s">
        <v>135</v>
      </c>
      <c r="AL13" s="223" t="s">
        <v>136</v>
      </c>
      <c r="AM13" s="231">
        <v>7765796823</v>
      </c>
      <c r="AN13" s="231">
        <v>0</v>
      </c>
      <c r="AO13" s="231">
        <f t="shared" si="4"/>
        <v>7765796823</v>
      </c>
      <c r="AP13" s="231">
        <v>7526252083</v>
      </c>
      <c r="AQ13" s="231">
        <v>6925540108</v>
      </c>
      <c r="AR13" s="231">
        <v>0</v>
      </c>
      <c r="AS13" s="231">
        <v>0</v>
      </c>
      <c r="AT13" s="231">
        <v>371775937.15532076</v>
      </c>
      <c r="AU13" s="231">
        <v>0</v>
      </c>
      <c r="AV13" s="231">
        <v>0</v>
      </c>
      <c r="AW13" s="231" t="s">
        <v>224</v>
      </c>
      <c r="AX13" s="231" t="s">
        <v>138</v>
      </c>
      <c r="AY13" s="231" t="s">
        <v>139</v>
      </c>
      <c r="AZ13" s="231" t="s">
        <v>140</v>
      </c>
      <c r="BA13" s="310" t="s">
        <v>225</v>
      </c>
      <c r="BB13" s="310"/>
      <c r="BC13" s="312" t="s">
        <v>128</v>
      </c>
    </row>
    <row r="14" spans="1:55" ht="13">
      <c r="A14" s="220">
        <f t="shared" si="6"/>
        <v>13</v>
      </c>
      <c r="B14" s="221" t="s">
        <v>116</v>
      </c>
      <c r="C14" s="221" t="s">
        <v>226</v>
      </c>
      <c r="D14" s="221" t="s">
        <v>118</v>
      </c>
      <c r="E14" s="310" t="s">
        <v>119</v>
      </c>
      <c r="F14" s="221" t="s">
        <v>120</v>
      </c>
      <c r="G14" s="315" t="s">
        <v>2492</v>
      </c>
      <c r="H14" s="310" t="str">
        <f>IFERROR(_xlfn.XLOOKUP(I14,[2]Listas!$C$2:$C$202,[2]Listas!$B$2:$B$202),"-")</f>
        <v>VARIAS</v>
      </c>
      <c r="I14" s="221" t="s">
        <v>227</v>
      </c>
      <c r="J14" s="221" t="s">
        <v>124</v>
      </c>
      <c r="K14" s="323" t="str">
        <f t="shared" ref="K14:K27" si="7">CONCATENATE(CONCATENATE(
ABS(TRUNC(L14)),"°",
TRUNC((ABS(L14)-ABS(TRUNC(L14)))*60),"'",
ROUND((((ABS(L14)-ABS(TRUNC(L14)))*60)-TRUNC((ABS(L14)-ABS(TRUNC(L14)))*60))*60,0),"""",
IF(L14&lt;0,"O","E")
),", ",CONCATENATE(
ABS(TRUNC(M14)),"°",
TRUNC((ABS(M14)-ABS(TRUNC(M14)))*60),"'",
ROUND((((ABS(M14)-ABS(TRUNC(M14)))*60)-TRUNC((ABS(M14)-ABS(TRUNC(M14)))*60))*60,0),"""",
IF(M14&lt;0,"S","N")
))</f>
        <v>0°0'0"E, 0°0'0"N</v>
      </c>
      <c r="L14" s="324">
        <v>0</v>
      </c>
      <c r="M14" s="324">
        <v>0</v>
      </c>
      <c r="N14" s="230" t="s">
        <v>228</v>
      </c>
      <c r="O14" s="230" t="s">
        <v>229</v>
      </c>
      <c r="P14" s="341">
        <f t="shared" ref="P14:P22" si="8">AO14+AT14</f>
        <v>558065116.15999997</v>
      </c>
      <c r="Q14" s="316">
        <v>0.92679999999999996</v>
      </c>
      <c r="R14" s="316">
        <v>0.61109999999999998</v>
      </c>
      <c r="S14" s="225">
        <f t="shared" si="1"/>
        <v>-0.31569999999999998</v>
      </c>
      <c r="T14" s="318" t="str" cm="1">
        <f t="array" ref="T14">+_xlfn.IFS($P14&lt;=10000000000,IF(S14&gt;-0.05,"Verde",IF(S14&lt;=-0.1,"Rojo","Amarillo")),$P14&gt;10000000000,IF(S14&gt;-0.03,"Verde",IF(S14&lt;=-0.07,"Rojo","Amarillo")))</f>
        <v>Rojo</v>
      </c>
      <c r="U14" s="329">
        <v>45373</v>
      </c>
      <c r="V14" s="329">
        <v>45391</v>
      </c>
      <c r="W14" s="329">
        <v>45314</v>
      </c>
      <c r="X14" s="329">
        <v>45930</v>
      </c>
      <c r="Y14" s="329">
        <v>45930</v>
      </c>
      <c r="Z14" s="225" t="str">
        <f t="shared" ca="1" si="2"/>
        <v>Rojo</v>
      </c>
      <c r="AA14" s="317" t="str">
        <f t="shared" ca="1" si="3"/>
        <v>En_Seguimiento</v>
      </c>
      <c r="AB14" s="332" t="s">
        <v>128</v>
      </c>
      <c r="AC14" s="227" t="s">
        <v>124</v>
      </c>
      <c r="AD14" s="333">
        <v>45930</v>
      </c>
      <c r="AE14" s="221" t="s">
        <v>230</v>
      </c>
      <c r="AF14" s="223" t="s">
        <v>231</v>
      </c>
      <c r="AG14" s="223" t="s">
        <v>232</v>
      </c>
      <c r="AH14" s="223" t="s">
        <v>233</v>
      </c>
      <c r="AI14" s="221" t="s">
        <v>226</v>
      </c>
      <c r="AJ14" s="223" t="s">
        <v>234</v>
      </c>
      <c r="AK14" s="223" t="s">
        <v>235</v>
      </c>
      <c r="AL14" s="230" t="s">
        <v>236</v>
      </c>
      <c r="AM14" s="325">
        <v>558065116.15999997</v>
      </c>
      <c r="AN14" s="325">
        <v>0</v>
      </c>
      <c r="AO14" s="325">
        <f t="shared" si="4"/>
        <v>558065116.15999997</v>
      </c>
      <c r="AP14" s="325">
        <v>0</v>
      </c>
      <c r="AQ14" s="325">
        <v>0</v>
      </c>
      <c r="AR14" s="325">
        <v>0</v>
      </c>
      <c r="AS14" s="325">
        <v>0</v>
      </c>
      <c r="AT14" s="325">
        <f>AR14+AS14</f>
        <v>0</v>
      </c>
      <c r="AU14" s="325">
        <v>0</v>
      </c>
      <c r="AV14" s="325">
        <v>0</v>
      </c>
      <c r="AW14" s="325" t="s">
        <v>290</v>
      </c>
      <c r="AX14" s="325" t="s">
        <v>138</v>
      </c>
      <c r="AY14" s="325" t="s">
        <v>139</v>
      </c>
      <c r="AZ14" s="325" t="s">
        <v>140</v>
      </c>
      <c r="BA14" s="310" t="s">
        <v>237</v>
      </c>
      <c r="BB14" s="310" t="s">
        <v>124</v>
      </c>
      <c r="BC14" s="312" t="s">
        <v>128</v>
      </c>
    </row>
    <row r="15" spans="1:55" ht="13">
      <c r="A15" s="220">
        <f t="shared" si="6"/>
        <v>14</v>
      </c>
      <c r="B15" s="221" t="s">
        <v>116</v>
      </c>
      <c r="C15" s="221" t="s">
        <v>226</v>
      </c>
      <c r="D15" s="221" t="s">
        <v>118</v>
      </c>
      <c r="E15" s="310" t="s">
        <v>119</v>
      </c>
      <c r="F15" s="221" t="s">
        <v>120</v>
      </c>
      <c r="G15" s="315" t="s">
        <v>238</v>
      </c>
      <c r="H15" s="310" t="str">
        <f>IFERROR(_xlfn.XLOOKUP(I15,[2]Listas!$C$2:$C$202,[2]Listas!$B$2:$B$202),"-")</f>
        <v>VARIAS</v>
      </c>
      <c r="I15" s="221" t="s">
        <v>227</v>
      </c>
      <c r="J15" s="221" t="s">
        <v>124</v>
      </c>
      <c r="K15" s="323" t="str">
        <f t="shared" si="7"/>
        <v>0°0'0"E, 0°0'0"N</v>
      </c>
      <c r="L15" s="324">
        <v>0</v>
      </c>
      <c r="M15" s="324">
        <v>0</v>
      </c>
      <c r="N15" s="230" t="s">
        <v>228</v>
      </c>
      <c r="O15" s="223" t="s">
        <v>229</v>
      </c>
      <c r="P15" s="341">
        <f t="shared" si="8"/>
        <v>351437172.89999998</v>
      </c>
      <c r="Q15" s="311">
        <v>0.92679999999999996</v>
      </c>
      <c r="R15" s="311">
        <v>0.49590000000000001</v>
      </c>
      <c r="S15" s="225">
        <v>0</v>
      </c>
      <c r="T15" s="318" t="str" cm="1">
        <f t="array" ref="T15">+_xlfn.IFS($P15&lt;=10000000000,IF(S15&gt;-0.05,"Verde",IF(S15&lt;=-0.1,"Rojo","Amarillo")),$P15&gt;10000000000,IF(S15&gt;-0.03,"Verde",IF(S15&lt;=-0.07,"Rojo","Amarillo")))</f>
        <v>Verde</v>
      </c>
      <c r="U15" s="329">
        <v>45373</v>
      </c>
      <c r="V15" s="329">
        <v>45391</v>
      </c>
      <c r="W15" s="329">
        <v>45314</v>
      </c>
      <c r="X15" s="329">
        <v>45930</v>
      </c>
      <c r="Y15" s="329">
        <v>45930</v>
      </c>
      <c r="Z15" s="225" t="str">
        <f t="shared" ca="1" si="2"/>
        <v>En_Ejecución</v>
      </c>
      <c r="AA15" s="225" t="s">
        <v>124</v>
      </c>
      <c r="AB15" s="332" t="s">
        <v>128</v>
      </c>
      <c r="AC15" s="227" t="s">
        <v>124</v>
      </c>
      <c r="AD15" s="333">
        <v>45930</v>
      </c>
      <c r="AE15" s="221" t="s">
        <v>239</v>
      </c>
      <c r="AF15" s="223" t="s">
        <v>240</v>
      </c>
      <c r="AG15" s="223" t="s">
        <v>241</v>
      </c>
      <c r="AH15" s="223" t="s">
        <v>242</v>
      </c>
      <c r="AI15" s="221" t="s">
        <v>226</v>
      </c>
      <c r="AJ15" s="223" t="s">
        <v>234</v>
      </c>
      <c r="AK15" s="223" t="s">
        <v>235</v>
      </c>
      <c r="AL15" s="230" t="s">
        <v>236</v>
      </c>
      <c r="AM15" s="325">
        <v>351437172.89999998</v>
      </c>
      <c r="AN15" s="325">
        <v>0</v>
      </c>
      <c r="AO15" s="325">
        <f t="shared" si="4"/>
        <v>351437172.89999998</v>
      </c>
      <c r="AP15" s="328">
        <v>0</v>
      </c>
      <c r="AQ15" s="328">
        <v>0</v>
      </c>
      <c r="AR15" s="325">
        <v>0</v>
      </c>
      <c r="AS15" s="325">
        <v>0</v>
      </c>
      <c r="AT15" s="325">
        <v>0</v>
      </c>
      <c r="AU15" s="325">
        <v>0</v>
      </c>
      <c r="AV15" s="325">
        <v>0</v>
      </c>
      <c r="AW15" s="325" t="s">
        <v>290</v>
      </c>
      <c r="AX15" s="325" t="s">
        <v>138</v>
      </c>
      <c r="AY15" s="325" t="s">
        <v>139</v>
      </c>
      <c r="AZ15" s="325" t="s">
        <v>140</v>
      </c>
      <c r="BA15" s="221" t="s">
        <v>237</v>
      </c>
      <c r="BB15" s="221" t="s">
        <v>124</v>
      </c>
      <c r="BC15" s="233" t="s">
        <v>128</v>
      </c>
    </row>
    <row r="16" spans="1:55" ht="13">
      <c r="A16" s="220">
        <f t="shared" si="6"/>
        <v>15</v>
      </c>
      <c r="B16" s="221" t="s">
        <v>116</v>
      </c>
      <c r="C16" s="221" t="s">
        <v>226</v>
      </c>
      <c r="D16" s="221" t="s">
        <v>118</v>
      </c>
      <c r="E16" s="310" t="s">
        <v>119</v>
      </c>
      <c r="F16" s="221" t="s">
        <v>120</v>
      </c>
      <c r="G16" s="222" t="s">
        <v>243</v>
      </c>
      <c r="H16" s="310" t="str">
        <f>IFERROR(_xlfn.XLOOKUP(I16,[2]Listas!$C$2:$C$202,[2]Listas!$B$2:$B$202),"-")</f>
        <v>VARIAS</v>
      </c>
      <c r="I16" s="221" t="s">
        <v>227</v>
      </c>
      <c r="J16" s="221" t="s">
        <v>124</v>
      </c>
      <c r="K16" s="323" t="str">
        <f t="shared" si="7"/>
        <v>0°0'0"E, 0°0'0"N</v>
      </c>
      <c r="L16" s="324">
        <v>0</v>
      </c>
      <c r="M16" s="324">
        <v>0</v>
      </c>
      <c r="N16" s="230" t="s">
        <v>228</v>
      </c>
      <c r="O16" s="223" t="s">
        <v>229</v>
      </c>
      <c r="P16" s="341">
        <f t="shared" si="8"/>
        <v>425486201.80000001</v>
      </c>
      <c r="Q16" s="311">
        <v>0.92679999999999996</v>
      </c>
      <c r="R16" s="311">
        <v>0.39979999999999999</v>
      </c>
      <c r="S16" s="225">
        <f t="shared" ref="S16:S29" si="9">+R16-Q16</f>
        <v>-0.52699999999999991</v>
      </c>
      <c r="T16" s="318" t="str" cm="1">
        <f t="array" ref="T16">+_xlfn.IFS($P16&lt;=10000000000,IF(S16&gt;-0.05,"Verde",IF(S16&lt;=-0.1,"Rojo","Amarillo")),$P16&gt;10000000000,IF(S16&gt;-0.03,"Verde",IF(S16&lt;=-0.07,"Rojo","Amarillo")))</f>
        <v>Rojo</v>
      </c>
      <c r="U16" s="329">
        <v>45373</v>
      </c>
      <c r="V16" s="329">
        <v>45391</v>
      </c>
      <c r="W16" s="329">
        <v>45314</v>
      </c>
      <c r="X16" s="329">
        <v>45930</v>
      </c>
      <c r="Y16" s="329">
        <v>45930</v>
      </c>
      <c r="Z16" s="225" t="str">
        <f t="shared" ca="1" si="2"/>
        <v>Rojo</v>
      </c>
      <c r="AA16" s="317" t="str">
        <f t="shared" ref="AA16:AA36" ca="1" si="10">+IF(AND(Z16="Amarillo",T16="Rojo"),"En_Seguimiento",IF(AND(Z16="Rojo",T16="Amarillo"),"En_Seguimiento",IF(AND(Z16="Rojo",T16="Rojo"),"En_Seguimiento",IF(AND(Z16="Suspendido",T16="Amarillo"),"En_Seguimiento",IF(AND(Z16="Suspendido",T16="Rojo"),"En_Seguimiento","-")))))</f>
        <v>En_Seguimiento</v>
      </c>
      <c r="AB16" s="332" t="s">
        <v>128</v>
      </c>
      <c r="AC16" s="227" t="s">
        <v>124</v>
      </c>
      <c r="AD16" s="333">
        <v>45930</v>
      </c>
      <c r="AE16" s="221" t="s">
        <v>244</v>
      </c>
      <c r="AF16" s="223" t="s">
        <v>245</v>
      </c>
      <c r="AG16" s="223" t="s">
        <v>246</v>
      </c>
      <c r="AH16" s="223" t="s">
        <v>247</v>
      </c>
      <c r="AI16" s="221" t="s">
        <v>226</v>
      </c>
      <c r="AJ16" s="223" t="s">
        <v>234</v>
      </c>
      <c r="AK16" s="223" t="s">
        <v>235</v>
      </c>
      <c r="AL16" s="230" t="s">
        <v>236</v>
      </c>
      <c r="AM16" s="325">
        <v>425486201.80000001</v>
      </c>
      <c r="AN16" s="325">
        <v>0</v>
      </c>
      <c r="AO16" s="325">
        <f t="shared" si="4"/>
        <v>425486201.80000001</v>
      </c>
      <c r="AP16" s="328">
        <v>0</v>
      </c>
      <c r="AQ16" s="328">
        <v>0</v>
      </c>
      <c r="AR16" s="325">
        <v>0</v>
      </c>
      <c r="AS16" s="325">
        <v>0</v>
      </c>
      <c r="AT16" s="325">
        <f t="shared" ref="AT16:AT22" si="11">AR16+AS16</f>
        <v>0</v>
      </c>
      <c r="AU16" s="325">
        <v>0</v>
      </c>
      <c r="AV16" s="325">
        <v>0</v>
      </c>
      <c r="AW16" s="325" t="s">
        <v>290</v>
      </c>
      <c r="AX16" s="325" t="s">
        <v>138</v>
      </c>
      <c r="AY16" s="325" t="s">
        <v>139</v>
      </c>
      <c r="AZ16" s="325" t="s">
        <v>140</v>
      </c>
      <c r="BA16" s="221" t="s">
        <v>237</v>
      </c>
      <c r="BB16" s="221" t="s">
        <v>124</v>
      </c>
      <c r="BC16" s="233" t="s">
        <v>128</v>
      </c>
    </row>
    <row r="17" spans="1:55" ht="13">
      <c r="A17" s="220">
        <f t="shared" si="6"/>
        <v>16</v>
      </c>
      <c r="B17" s="221" t="s">
        <v>116</v>
      </c>
      <c r="C17" s="221" t="s">
        <v>226</v>
      </c>
      <c r="D17" s="221" t="s">
        <v>118</v>
      </c>
      <c r="E17" s="310" t="s">
        <v>119</v>
      </c>
      <c r="F17" s="221" t="s">
        <v>120</v>
      </c>
      <c r="G17" s="222" t="s">
        <v>248</v>
      </c>
      <c r="H17" s="310" t="str">
        <f>IFERROR(_xlfn.XLOOKUP(I17,[2]Listas!$C$2:$C$202,[2]Listas!$B$2:$B$202),"-")</f>
        <v>VARIAS</v>
      </c>
      <c r="I17" s="221" t="s">
        <v>227</v>
      </c>
      <c r="J17" s="221" t="s">
        <v>124</v>
      </c>
      <c r="K17" s="323" t="str">
        <f t="shared" si="7"/>
        <v>0°0'0"E, 0°0'0"N</v>
      </c>
      <c r="L17" s="324">
        <v>0</v>
      </c>
      <c r="M17" s="324">
        <v>0</v>
      </c>
      <c r="N17" s="230" t="s">
        <v>228</v>
      </c>
      <c r="O17" s="223" t="s">
        <v>229</v>
      </c>
      <c r="P17" s="341">
        <f t="shared" si="8"/>
        <v>6806556121</v>
      </c>
      <c r="Q17" s="311">
        <v>0.89249999999999996</v>
      </c>
      <c r="R17" s="311">
        <v>0.9718</v>
      </c>
      <c r="S17" s="225">
        <f t="shared" si="9"/>
        <v>7.9300000000000037E-2</v>
      </c>
      <c r="T17" s="318" t="str" cm="1">
        <f t="array" ref="T17">+_xlfn.IFS($P17&lt;=10000000000,IF(S17&gt;-0.05,"Verde",IF(S17&lt;=-0.1,"Rojo","Amarillo")),$P17&gt;10000000000,IF(S17&gt;-0.03,"Verde",IF(S17&lt;=-0.07,"Rojo","Amarillo")))</f>
        <v>Verde</v>
      </c>
      <c r="U17" s="329">
        <v>45373</v>
      </c>
      <c r="V17" s="329">
        <v>45391</v>
      </c>
      <c r="W17" s="329">
        <v>45314</v>
      </c>
      <c r="X17" s="329">
        <v>45930</v>
      </c>
      <c r="Y17" s="329">
        <v>45930</v>
      </c>
      <c r="Z17" s="225" t="str">
        <f t="shared" ca="1" si="2"/>
        <v>En_Ejecución</v>
      </c>
      <c r="AA17" s="225" t="str">
        <f t="shared" ca="1" si="10"/>
        <v>-</v>
      </c>
      <c r="AB17" s="332" t="s">
        <v>128</v>
      </c>
      <c r="AC17" s="227" t="s">
        <v>124</v>
      </c>
      <c r="AD17" s="333">
        <v>45930</v>
      </c>
      <c r="AE17" s="221" t="s">
        <v>249</v>
      </c>
      <c r="AF17" s="223" t="s">
        <v>250</v>
      </c>
      <c r="AG17" s="223" t="s">
        <v>251</v>
      </c>
      <c r="AH17" s="223" t="s">
        <v>252</v>
      </c>
      <c r="AI17" s="221" t="s">
        <v>226</v>
      </c>
      <c r="AJ17" s="223" t="s">
        <v>234</v>
      </c>
      <c r="AK17" s="223" t="s">
        <v>235</v>
      </c>
      <c r="AL17" s="230" t="s">
        <v>236</v>
      </c>
      <c r="AM17" s="325">
        <v>6806556121</v>
      </c>
      <c r="AN17" s="325">
        <v>0</v>
      </c>
      <c r="AO17" s="325">
        <f t="shared" si="4"/>
        <v>6806556121</v>
      </c>
      <c r="AP17" s="328">
        <v>0</v>
      </c>
      <c r="AQ17" s="328">
        <v>0</v>
      </c>
      <c r="AR17" s="325">
        <v>0</v>
      </c>
      <c r="AS17" s="325">
        <v>0</v>
      </c>
      <c r="AT17" s="325">
        <f t="shared" si="11"/>
        <v>0</v>
      </c>
      <c r="AU17" s="325">
        <v>0</v>
      </c>
      <c r="AV17" s="325">
        <v>0</v>
      </c>
      <c r="AW17" s="325" t="s">
        <v>290</v>
      </c>
      <c r="AX17" s="325" t="s">
        <v>138</v>
      </c>
      <c r="AY17" s="325" t="s">
        <v>139</v>
      </c>
      <c r="AZ17" s="325" t="s">
        <v>140</v>
      </c>
      <c r="BA17" s="221" t="s">
        <v>237</v>
      </c>
      <c r="BB17" s="221" t="s">
        <v>124</v>
      </c>
      <c r="BC17" s="233" t="s">
        <v>128</v>
      </c>
    </row>
    <row r="18" spans="1:55" ht="13">
      <c r="A18" s="220">
        <f t="shared" si="6"/>
        <v>17</v>
      </c>
      <c r="B18" s="221" t="s">
        <v>116</v>
      </c>
      <c r="C18" s="221" t="s">
        <v>226</v>
      </c>
      <c r="D18" s="221" t="s">
        <v>118</v>
      </c>
      <c r="E18" s="310" t="s">
        <v>119</v>
      </c>
      <c r="F18" s="221" t="s">
        <v>120</v>
      </c>
      <c r="G18" s="222" t="s">
        <v>253</v>
      </c>
      <c r="H18" s="310" t="str">
        <f>IFERROR(_xlfn.XLOOKUP(I18,[2]Listas!$C$2:$C$202,[2]Listas!$B$2:$B$202),"-")</f>
        <v>VARIAS</v>
      </c>
      <c r="I18" s="221" t="s">
        <v>227</v>
      </c>
      <c r="J18" s="221" t="s">
        <v>124</v>
      </c>
      <c r="K18" s="323" t="str">
        <f t="shared" si="7"/>
        <v>0°0'0"E, 0°0'0"N</v>
      </c>
      <c r="L18" s="324">
        <v>0</v>
      </c>
      <c r="M18" s="324">
        <v>0</v>
      </c>
      <c r="N18" s="230" t="s">
        <v>228</v>
      </c>
      <c r="O18" s="223" t="s">
        <v>229</v>
      </c>
      <c r="P18" s="341">
        <f t="shared" si="8"/>
        <v>215591272</v>
      </c>
      <c r="Q18" s="316">
        <v>0.84099999999999997</v>
      </c>
      <c r="R18" s="311">
        <v>0.59950000000000003</v>
      </c>
      <c r="S18" s="223">
        <f t="shared" si="9"/>
        <v>-0.24149999999999994</v>
      </c>
      <c r="T18" s="317" t="str" cm="1">
        <f t="array" ref="T18">+_xlfn.IFS($P18&lt;=10000000000,IF(S18&gt;-0.05,"Verde",IF(S18&lt;=-0.1,"Rojo","Amarillo")),$P18&gt;10000000000,IF(S18&gt;-0.03,"Verde",IF(S18&lt;=-0.07,"Rojo","Amarillo")))</f>
        <v>Rojo</v>
      </c>
      <c r="U18" s="226">
        <v>45373</v>
      </c>
      <c r="V18" s="226">
        <v>45391</v>
      </c>
      <c r="W18" s="226">
        <v>45314</v>
      </c>
      <c r="X18" s="226">
        <v>45930</v>
      </c>
      <c r="Y18" s="226">
        <v>45930</v>
      </c>
      <c r="Z18" s="225" t="str">
        <f t="shared" ca="1" si="2"/>
        <v>Rojo</v>
      </c>
      <c r="AA18" s="317" t="str">
        <f t="shared" ca="1" si="10"/>
        <v>En_Seguimiento</v>
      </c>
      <c r="AB18" s="332" t="s">
        <v>128</v>
      </c>
      <c r="AC18" s="227" t="s">
        <v>124</v>
      </c>
      <c r="AD18" s="226">
        <v>45930</v>
      </c>
      <c r="AE18" s="221" t="s">
        <v>254</v>
      </c>
      <c r="AF18" s="221" t="s">
        <v>255</v>
      </c>
      <c r="AG18" s="221" t="s">
        <v>256</v>
      </c>
      <c r="AH18" s="221" t="s">
        <v>257</v>
      </c>
      <c r="AI18" s="221" t="s">
        <v>226</v>
      </c>
      <c r="AJ18" s="223" t="s">
        <v>234</v>
      </c>
      <c r="AK18" s="223" t="s">
        <v>235</v>
      </c>
      <c r="AL18" s="223" t="s">
        <v>236</v>
      </c>
      <c r="AM18" s="334">
        <v>215591272</v>
      </c>
      <c r="AN18" s="334">
        <v>0</v>
      </c>
      <c r="AO18" s="325">
        <f t="shared" si="4"/>
        <v>215591272</v>
      </c>
      <c r="AP18" s="328">
        <v>0</v>
      </c>
      <c r="AQ18" s="328">
        <v>0</v>
      </c>
      <c r="AR18" s="334">
        <v>0</v>
      </c>
      <c r="AS18" s="334">
        <v>0</v>
      </c>
      <c r="AT18" s="325">
        <f t="shared" si="11"/>
        <v>0</v>
      </c>
      <c r="AU18" s="334">
        <v>0</v>
      </c>
      <c r="AV18" s="334">
        <v>0</v>
      </c>
      <c r="AW18" s="334" t="s">
        <v>290</v>
      </c>
      <c r="AX18" s="334" t="s">
        <v>138</v>
      </c>
      <c r="AY18" s="334" t="s">
        <v>139</v>
      </c>
      <c r="AZ18" s="334" t="s">
        <v>140</v>
      </c>
      <c r="BA18" s="221" t="s">
        <v>258</v>
      </c>
      <c r="BB18" s="221" t="s">
        <v>124</v>
      </c>
      <c r="BC18" s="233" t="s">
        <v>128</v>
      </c>
    </row>
    <row r="19" spans="1:55" ht="13">
      <c r="A19" s="220">
        <f t="shared" si="6"/>
        <v>18</v>
      </c>
      <c r="B19" s="221" t="s">
        <v>116</v>
      </c>
      <c r="C19" s="221" t="s">
        <v>226</v>
      </c>
      <c r="D19" s="221" t="s">
        <v>118</v>
      </c>
      <c r="E19" s="310" t="s">
        <v>119</v>
      </c>
      <c r="F19" s="221" t="s">
        <v>120</v>
      </c>
      <c r="G19" s="222" t="s">
        <v>259</v>
      </c>
      <c r="H19" s="310" t="str">
        <f>IFERROR(_xlfn.XLOOKUP(I19,[2]Listas!$C$2:$C$202,[2]Listas!$B$2:$B$202),"-")</f>
        <v>VARIAS</v>
      </c>
      <c r="I19" s="221" t="s">
        <v>227</v>
      </c>
      <c r="J19" s="221" t="s">
        <v>124</v>
      </c>
      <c r="K19" s="323" t="str">
        <f t="shared" si="7"/>
        <v>0°0'0"E, 0°0'0"N</v>
      </c>
      <c r="L19" s="324">
        <v>0</v>
      </c>
      <c r="M19" s="324">
        <v>0</v>
      </c>
      <c r="N19" s="230" t="s">
        <v>228</v>
      </c>
      <c r="O19" s="230" t="s">
        <v>229</v>
      </c>
      <c r="P19" s="341">
        <f t="shared" si="8"/>
        <v>9018274387</v>
      </c>
      <c r="Q19" s="316">
        <v>0.8659</v>
      </c>
      <c r="R19" s="311">
        <v>0.80810000000000004</v>
      </c>
      <c r="S19" s="223">
        <f t="shared" si="9"/>
        <v>-5.7799999999999963E-2</v>
      </c>
      <c r="T19" s="317" t="str" cm="1">
        <f t="array" ref="T19">+_xlfn.IFS($P19&lt;=10000000000,IF(S19&gt;-0.05,"Verde",IF(S19&lt;=-0.1,"Rojo","Amarillo")),$P19&gt;10000000000,IF(S19&gt;-0.03,"Verde",IF(S19&lt;=-0.07,"Rojo","Amarillo")))</f>
        <v>Amarillo</v>
      </c>
      <c r="U19" s="226">
        <v>45373</v>
      </c>
      <c r="V19" s="226">
        <v>45391</v>
      </c>
      <c r="W19" s="226">
        <v>45314</v>
      </c>
      <c r="X19" s="226">
        <v>45930</v>
      </c>
      <c r="Y19" s="226">
        <v>45930</v>
      </c>
      <c r="Z19" s="225" t="str">
        <f t="shared" ca="1" si="2"/>
        <v>Rojo</v>
      </c>
      <c r="AA19" s="317" t="str">
        <f t="shared" ca="1" si="10"/>
        <v>En_Seguimiento</v>
      </c>
      <c r="AB19" s="332" t="s">
        <v>128</v>
      </c>
      <c r="AC19" s="227" t="s">
        <v>124</v>
      </c>
      <c r="AD19" s="226">
        <v>45930</v>
      </c>
      <c r="AE19" s="221" t="s">
        <v>260</v>
      </c>
      <c r="AF19" s="221" t="s">
        <v>261</v>
      </c>
      <c r="AG19" s="221" t="s">
        <v>262</v>
      </c>
      <c r="AH19" s="221" t="s">
        <v>263</v>
      </c>
      <c r="AI19" s="221" t="s">
        <v>226</v>
      </c>
      <c r="AJ19" s="223" t="s">
        <v>264</v>
      </c>
      <c r="AK19" s="223" t="s">
        <v>264</v>
      </c>
      <c r="AL19" s="223" t="s">
        <v>265</v>
      </c>
      <c r="AM19" s="334">
        <v>9018274387</v>
      </c>
      <c r="AN19" s="334">
        <v>0</v>
      </c>
      <c r="AO19" s="325">
        <f t="shared" si="4"/>
        <v>9018274387</v>
      </c>
      <c r="AP19" s="328">
        <v>0</v>
      </c>
      <c r="AQ19" s="328">
        <v>0</v>
      </c>
      <c r="AR19" s="334">
        <v>0</v>
      </c>
      <c r="AS19" s="334">
        <v>0</v>
      </c>
      <c r="AT19" s="325">
        <f t="shared" si="11"/>
        <v>0</v>
      </c>
      <c r="AU19" s="334">
        <v>0</v>
      </c>
      <c r="AV19" s="334">
        <v>0</v>
      </c>
      <c r="AW19" s="334" t="s">
        <v>290</v>
      </c>
      <c r="AX19" s="334" t="s">
        <v>138</v>
      </c>
      <c r="AY19" s="334" t="s">
        <v>139</v>
      </c>
      <c r="AZ19" s="334" t="s">
        <v>124</v>
      </c>
      <c r="BA19" s="221" t="s">
        <v>266</v>
      </c>
      <c r="BB19" s="221" t="s">
        <v>124</v>
      </c>
      <c r="BC19" s="233" t="s">
        <v>128</v>
      </c>
    </row>
    <row r="20" spans="1:55" ht="13">
      <c r="A20" s="220">
        <f t="shared" si="6"/>
        <v>19</v>
      </c>
      <c r="B20" s="221" t="s">
        <v>116</v>
      </c>
      <c r="C20" s="221" t="s">
        <v>226</v>
      </c>
      <c r="D20" s="221" t="s">
        <v>118</v>
      </c>
      <c r="E20" s="310" t="s">
        <v>119</v>
      </c>
      <c r="F20" s="221" t="s">
        <v>120</v>
      </c>
      <c r="G20" s="222" t="s">
        <v>267</v>
      </c>
      <c r="H20" s="310" t="str">
        <f>IFERROR(_xlfn.XLOOKUP(I20,[2]Listas!$C$2:$C$202,[2]Listas!$B$2:$B$202),"-")</f>
        <v>VARIAS</v>
      </c>
      <c r="I20" s="221" t="s">
        <v>227</v>
      </c>
      <c r="J20" s="221" t="s">
        <v>124</v>
      </c>
      <c r="K20" s="323" t="str">
        <f t="shared" si="7"/>
        <v>0°0'0"E, 0°0'0"N</v>
      </c>
      <c r="L20" s="324">
        <v>0</v>
      </c>
      <c r="M20" s="324">
        <v>0</v>
      </c>
      <c r="N20" s="230" t="s">
        <v>228</v>
      </c>
      <c r="O20" s="230" t="s">
        <v>229</v>
      </c>
      <c r="P20" s="341">
        <f t="shared" si="8"/>
        <v>9186635876</v>
      </c>
      <c r="Q20" s="316">
        <v>1</v>
      </c>
      <c r="R20" s="311">
        <v>0.63629999999999998</v>
      </c>
      <c r="S20" s="223">
        <f t="shared" si="9"/>
        <v>-0.36370000000000002</v>
      </c>
      <c r="T20" s="317" t="str" cm="1">
        <f t="array" ref="T20">+_xlfn.IFS($P20&lt;=10000000000,IF(S20&gt;-0.05,"Verde",IF(S20&lt;=-0.1,"Rojo","Amarillo")),$P20&gt;10000000000,IF(S20&gt;-0.03,"Verde",IF(S20&lt;=-0.07,"Rojo","Amarillo")))</f>
        <v>Rojo</v>
      </c>
      <c r="U20" s="226">
        <v>45373</v>
      </c>
      <c r="V20" s="226">
        <v>45391</v>
      </c>
      <c r="W20" s="226">
        <v>45314</v>
      </c>
      <c r="X20" s="226">
        <v>45930</v>
      </c>
      <c r="Y20" s="226">
        <v>45930</v>
      </c>
      <c r="Z20" s="225" t="str">
        <f t="shared" ca="1" si="2"/>
        <v>Rojo</v>
      </c>
      <c r="AA20" s="317" t="str">
        <f t="shared" ca="1" si="10"/>
        <v>En_Seguimiento</v>
      </c>
      <c r="AB20" s="332" t="s">
        <v>128</v>
      </c>
      <c r="AC20" s="227" t="s">
        <v>124</v>
      </c>
      <c r="AD20" s="226">
        <v>45930</v>
      </c>
      <c r="AE20" s="221" t="s">
        <v>268</v>
      </c>
      <c r="AF20" s="221" t="s">
        <v>269</v>
      </c>
      <c r="AG20" s="221" t="s">
        <v>270</v>
      </c>
      <c r="AH20" s="221" t="s">
        <v>271</v>
      </c>
      <c r="AI20" s="221" t="s">
        <v>226</v>
      </c>
      <c r="AJ20" s="223" t="s">
        <v>264</v>
      </c>
      <c r="AK20" s="223" t="s">
        <v>264</v>
      </c>
      <c r="AL20" s="223" t="s">
        <v>265</v>
      </c>
      <c r="AM20" s="334">
        <v>9186635876</v>
      </c>
      <c r="AN20" s="334">
        <v>0</v>
      </c>
      <c r="AO20" s="325">
        <f t="shared" si="4"/>
        <v>9186635876</v>
      </c>
      <c r="AP20" s="328">
        <v>0</v>
      </c>
      <c r="AQ20" s="328">
        <v>0</v>
      </c>
      <c r="AR20" s="334">
        <v>0</v>
      </c>
      <c r="AS20" s="334">
        <v>0</v>
      </c>
      <c r="AT20" s="325">
        <f t="shared" si="11"/>
        <v>0</v>
      </c>
      <c r="AU20" s="334">
        <v>0</v>
      </c>
      <c r="AV20" s="334">
        <v>0</v>
      </c>
      <c r="AW20" s="334" t="s">
        <v>290</v>
      </c>
      <c r="AX20" s="334" t="s">
        <v>272</v>
      </c>
      <c r="AY20" s="334" t="s">
        <v>273</v>
      </c>
      <c r="AZ20" s="334" t="s">
        <v>124</v>
      </c>
      <c r="BA20" s="221" t="s">
        <v>124</v>
      </c>
      <c r="BB20" s="221" t="s">
        <v>124</v>
      </c>
      <c r="BC20" s="233" t="s">
        <v>128</v>
      </c>
    </row>
    <row r="21" spans="1:55" ht="13">
      <c r="A21" s="220">
        <f t="shared" si="6"/>
        <v>20</v>
      </c>
      <c r="B21" s="221" t="s">
        <v>116</v>
      </c>
      <c r="C21" s="221" t="s">
        <v>226</v>
      </c>
      <c r="D21" s="221" t="s">
        <v>118</v>
      </c>
      <c r="E21" s="310" t="s">
        <v>119</v>
      </c>
      <c r="F21" s="221" t="s">
        <v>120</v>
      </c>
      <c r="G21" s="222" t="s">
        <v>274</v>
      </c>
      <c r="H21" s="310" t="str">
        <f>IFERROR(_xlfn.XLOOKUP(I21,[2]Listas!$C$2:$C$202,[2]Listas!$B$2:$B$202),"-")</f>
        <v>VARIAS</v>
      </c>
      <c r="I21" s="221" t="s">
        <v>227</v>
      </c>
      <c r="J21" s="221" t="s">
        <v>124</v>
      </c>
      <c r="K21" s="323" t="str">
        <f t="shared" si="7"/>
        <v>0°0'0"E, 0°0'0"N</v>
      </c>
      <c r="L21" s="324">
        <v>0</v>
      </c>
      <c r="M21" s="324">
        <v>0</v>
      </c>
      <c r="N21" s="230" t="s">
        <v>228</v>
      </c>
      <c r="O21" s="230" t="s">
        <v>229</v>
      </c>
      <c r="P21" s="341">
        <f t="shared" si="8"/>
        <v>12557965286</v>
      </c>
      <c r="Q21" s="316">
        <v>1</v>
      </c>
      <c r="R21" s="311">
        <v>0.80630000000000002</v>
      </c>
      <c r="S21" s="223">
        <f t="shared" si="9"/>
        <v>-0.19369999999999998</v>
      </c>
      <c r="T21" s="317" t="str" cm="1">
        <f t="array" ref="T21">+_xlfn.IFS($P21&lt;=10000000000,IF(S21&gt;-0.05,"Verde",IF(S21&lt;=-0.1,"Rojo","Amarillo")),$P21&gt;10000000000,IF(S21&gt;-0.03,"Verde",IF(S21&lt;=-0.07,"Rojo","Amarillo")))</f>
        <v>Rojo</v>
      </c>
      <c r="U21" s="226">
        <v>45373</v>
      </c>
      <c r="V21" s="226">
        <v>45391</v>
      </c>
      <c r="W21" s="226">
        <v>45314</v>
      </c>
      <c r="X21" s="226">
        <v>45930</v>
      </c>
      <c r="Y21" s="226">
        <v>45930</v>
      </c>
      <c r="Z21" s="225" t="str">
        <f t="shared" ca="1" si="2"/>
        <v>Rojo</v>
      </c>
      <c r="AA21" s="317" t="str">
        <f t="shared" ca="1" si="10"/>
        <v>En_Seguimiento</v>
      </c>
      <c r="AB21" s="332" t="s">
        <v>128</v>
      </c>
      <c r="AC21" s="227" t="s">
        <v>124</v>
      </c>
      <c r="AD21" s="226">
        <v>45930</v>
      </c>
      <c r="AE21" s="221" t="s">
        <v>275</v>
      </c>
      <c r="AF21" s="221" t="s">
        <v>276</v>
      </c>
      <c r="AG21" s="221" t="s">
        <v>277</v>
      </c>
      <c r="AH21" s="221" t="s">
        <v>278</v>
      </c>
      <c r="AI21" s="221" t="s">
        <v>226</v>
      </c>
      <c r="AJ21" s="223" t="s">
        <v>264</v>
      </c>
      <c r="AK21" s="223" t="s">
        <v>264</v>
      </c>
      <c r="AL21" s="223" t="s">
        <v>265</v>
      </c>
      <c r="AM21" s="334">
        <v>12557965286</v>
      </c>
      <c r="AN21" s="334">
        <v>0</v>
      </c>
      <c r="AO21" s="325">
        <f t="shared" si="4"/>
        <v>12557965286</v>
      </c>
      <c r="AP21" s="328">
        <v>0</v>
      </c>
      <c r="AQ21" s="328">
        <v>0</v>
      </c>
      <c r="AR21" s="334">
        <v>0</v>
      </c>
      <c r="AS21" s="334">
        <v>0</v>
      </c>
      <c r="AT21" s="325">
        <f t="shared" si="11"/>
        <v>0</v>
      </c>
      <c r="AU21" s="334">
        <v>0</v>
      </c>
      <c r="AV21" s="334">
        <v>0</v>
      </c>
      <c r="AW21" s="334" t="s">
        <v>279</v>
      </c>
      <c r="AX21" s="334" t="s">
        <v>272</v>
      </c>
      <c r="AY21" s="334" t="s">
        <v>273</v>
      </c>
      <c r="AZ21" s="334" t="s">
        <v>124</v>
      </c>
      <c r="BA21" s="221" t="s">
        <v>266</v>
      </c>
      <c r="BB21" s="221" t="s">
        <v>124</v>
      </c>
      <c r="BC21" s="233" t="s">
        <v>128</v>
      </c>
    </row>
    <row r="22" spans="1:55" ht="13">
      <c r="A22" s="220">
        <f t="shared" si="6"/>
        <v>21</v>
      </c>
      <c r="B22" s="221" t="s">
        <v>116</v>
      </c>
      <c r="C22" s="221" t="s">
        <v>226</v>
      </c>
      <c r="D22" s="221" t="s">
        <v>118</v>
      </c>
      <c r="E22" s="310" t="s">
        <v>119</v>
      </c>
      <c r="F22" s="221" t="s">
        <v>120</v>
      </c>
      <c r="G22" s="222" t="s">
        <v>280</v>
      </c>
      <c r="H22" s="310" t="str">
        <f>IFERROR(_xlfn.XLOOKUP(I22,[2]Listas!$C$2:$C$202,[2]Listas!$B$2:$B$202),"-")</f>
        <v>VARIAS</v>
      </c>
      <c r="I22" s="221" t="s">
        <v>227</v>
      </c>
      <c r="J22" s="221" t="s">
        <v>124</v>
      </c>
      <c r="K22" s="323" t="str">
        <f t="shared" si="7"/>
        <v>0°0'0"E, 0°0'0"N</v>
      </c>
      <c r="L22" s="324">
        <v>0</v>
      </c>
      <c r="M22" s="324">
        <v>0</v>
      </c>
      <c r="N22" s="230" t="s">
        <v>228</v>
      </c>
      <c r="O22" s="230" t="s">
        <v>229</v>
      </c>
      <c r="P22" s="341">
        <f t="shared" si="8"/>
        <v>12058626643</v>
      </c>
      <c r="Q22" s="316">
        <v>0.84509999999999996</v>
      </c>
      <c r="R22" s="311">
        <v>0.74439999999999995</v>
      </c>
      <c r="S22" s="225">
        <f t="shared" si="9"/>
        <v>-0.10070000000000001</v>
      </c>
      <c r="T22" s="318" t="str" cm="1">
        <f t="array" ref="T22">+_xlfn.IFS($P22&lt;=10000000000,IF(S22&gt;-0.05,"Verde",IF(S22&lt;=-0.1,"Rojo","Amarillo")),$P22&gt;10000000000,IF(S22&gt;-0.03,"Verde",IF(S22&lt;=-0.07,"Rojo","Amarillo")))</f>
        <v>Rojo</v>
      </c>
      <c r="U22" s="329">
        <v>45373</v>
      </c>
      <c r="V22" s="329">
        <v>45391</v>
      </c>
      <c r="W22" s="329">
        <v>45314</v>
      </c>
      <c r="X22" s="329">
        <v>45930</v>
      </c>
      <c r="Y22" s="329">
        <v>45930</v>
      </c>
      <c r="Z22" s="225" t="str">
        <f t="shared" ca="1" si="2"/>
        <v>Rojo</v>
      </c>
      <c r="AA22" s="317" t="str">
        <f t="shared" ca="1" si="10"/>
        <v>En_Seguimiento</v>
      </c>
      <c r="AB22" s="332" t="s">
        <v>128</v>
      </c>
      <c r="AC22" s="227" t="s">
        <v>124</v>
      </c>
      <c r="AD22" s="333">
        <v>45930</v>
      </c>
      <c r="AE22" s="221" t="s">
        <v>281</v>
      </c>
      <c r="AF22" s="223" t="s">
        <v>282</v>
      </c>
      <c r="AG22" s="223" t="s">
        <v>283</v>
      </c>
      <c r="AH22" s="223"/>
      <c r="AI22" s="221" t="s">
        <v>226</v>
      </c>
      <c r="AJ22" s="223" t="s">
        <v>264</v>
      </c>
      <c r="AK22" s="223" t="s">
        <v>264</v>
      </c>
      <c r="AL22" s="230" t="s">
        <v>265</v>
      </c>
      <c r="AM22" s="325">
        <v>12058626643</v>
      </c>
      <c r="AN22" s="325">
        <v>0</v>
      </c>
      <c r="AO22" s="325">
        <f t="shared" si="4"/>
        <v>12058626643</v>
      </c>
      <c r="AP22" s="328">
        <v>0</v>
      </c>
      <c r="AQ22" s="328">
        <v>0</v>
      </c>
      <c r="AR22" s="325">
        <v>0</v>
      </c>
      <c r="AS22" s="325">
        <v>0</v>
      </c>
      <c r="AT22" s="325">
        <f t="shared" si="11"/>
        <v>0</v>
      </c>
      <c r="AU22" s="325">
        <v>0</v>
      </c>
      <c r="AV22" s="325">
        <v>0</v>
      </c>
      <c r="AW22" s="325" t="s">
        <v>279</v>
      </c>
      <c r="AX22" s="325" t="s">
        <v>272</v>
      </c>
      <c r="AY22" s="325" t="s">
        <v>273</v>
      </c>
      <c r="AZ22" s="325" t="s">
        <v>124</v>
      </c>
      <c r="BA22" s="221" t="s">
        <v>266</v>
      </c>
      <c r="BB22" s="221" t="s">
        <v>124</v>
      </c>
      <c r="BC22" s="233" t="s">
        <v>128</v>
      </c>
    </row>
    <row r="23" spans="1:55" ht="13">
      <c r="A23" s="220">
        <f t="shared" si="6"/>
        <v>22</v>
      </c>
      <c r="B23" s="310" t="s">
        <v>116</v>
      </c>
      <c r="C23" s="221" t="s">
        <v>284</v>
      </c>
      <c r="D23" s="310" t="s">
        <v>118</v>
      </c>
      <c r="E23" s="310" t="s">
        <v>119</v>
      </c>
      <c r="F23" s="221" t="s">
        <v>120</v>
      </c>
      <c r="G23" s="222" t="s">
        <v>2493</v>
      </c>
      <c r="H23" s="310" t="str">
        <f>IFERROR(_xlfn.XLOOKUP(I23,[2]Listas!$C$2:$C$202,[2]Listas!$B$2:$B$202),"-")</f>
        <v>VARIAS</v>
      </c>
      <c r="I23" s="221" t="s">
        <v>227</v>
      </c>
      <c r="J23" s="221" t="s">
        <v>124</v>
      </c>
      <c r="K23" s="323" t="str">
        <f t="shared" si="7"/>
        <v>0°0'0"E, 0°0'0"N</v>
      </c>
      <c r="L23" s="326">
        <v>0</v>
      </c>
      <c r="M23" s="327">
        <v>0</v>
      </c>
      <c r="N23" s="223" t="s">
        <v>228</v>
      </c>
      <c r="O23" s="230" t="s">
        <v>229</v>
      </c>
      <c r="P23" s="340">
        <f>+AO23+AT23</f>
        <v>52085450531</v>
      </c>
      <c r="Q23" s="316">
        <v>0</v>
      </c>
      <c r="R23" s="311">
        <v>0.24709999999999999</v>
      </c>
      <c r="S23" s="225">
        <f t="shared" si="9"/>
        <v>0.24709999999999999</v>
      </c>
      <c r="T23" s="317" t="str" cm="1">
        <f t="array" ref="T23">+_xlfn.IFS($P23&lt;=10000000000,IF(S23&gt;-0.05,"Verde",IF(S23&lt;=-0.1,"Rojo","Amarillo")),$P23&gt;10000000000,IF(S23&gt;-0.03,"Verde",IF(S23&lt;=-0.07,"Rojo","Amarillo")))</f>
        <v>Verde</v>
      </c>
      <c r="U23" s="330">
        <v>45707</v>
      </c>
      <c r="V23" s="330">
        <v>45744</v>
      </c>
      <c r="W23" s="330">
        <v>45789</v>
      </c>
      <c r="X23" s="330">
        <v>46335</v>
      </c>
      <c r="Y23" s="330">
        <v>46335</v>
      </c>
      <c r="Z23" s="225" t="str">
        <f t="shared" ca="1" si="2"/>
        <v>En_Ejecución</v>
      </c>
      <c r="AA23" s="225" t="str">
        <f t="shared" ca="1" si="10"/>
        <v>-</v>
      </c>
      <c r="AB23" s="223" t="s">
        <v>128</v>
      </c>
      <c r="AC23" s="223" t="s">
        <v>124</v>
      </c>
      <c r="AD23" s="226">
        <v>46335</v>
      </c>
      <c r="AE23" s="221" t="s">
        <v>285</v>
      </c>
      <c r="AF23" s="221" t="s">
        <v>286</v>
      </c>
      <c r="AG23" s="221" t="s">
        <v>287</v>
      </c>
      <c r="AH23" s="223" t="s">
        <v>288</v>
      </c>
      <c r="AI23" s="221" t="s">
        <v>289</v>
      </c>
      <c r="AJ23" s="221" t="s">
        <v>234</v>
      </c>
      <c r="AK23" s="223" t="s">
        <v>25</v>
      </c>
      <c r="AL23" s="223" t="s">
        <v>25</v>
      </c>
      <c r="AM23" s="334">
        <v>52085450531</v>
      </c>
      <c r="AN23" s="334"/>
      <c r="AO23" s="325">
        <f t="shared" si="4"/>
        <v>52085450531</v>
      </c>
      <c r="AP23" s="334">
        <v>10057307073</v>
      </c>
      <c r="AQ23" s="334"/>
      <c r="AR23" s="334"/>
      <c r="AS23" s="334"/>
      <c r="AT23" s="334"/>
      <c r="AU23" s="334"/>
      <c r="AV23" s="334"/>
      <c r="AW23" s="334" t="s">
        <v>290</v>
      </c>
      <c r="AX23" s="334" t="s">
        <v>291</v>
      </c>
      <c r="AY23" s="334" t="s">
        <v>292</v>
      </c>
      <c r="AZ23" s="334" t="s">
        <v>124</v>
      </c>
      <c r="BA23" s="221" t="s">
        <v>124</v>
      </c>
      <c r="BB23" s="221" t="s">
        <v>124</v>
      </c>
      <c r="BC23" s="233" t="s">
        <v>128</v>
      </c>
    </row>
    <row r="24" spans="1:55" ht="13">
      <c r="A24" s="220">
        <f t="shared" si="6"/>
        <v>23</v>
      </c>
      <c r="B24" s="310" t="s">
        <v>116</v>
      </c>
      <c r="C24" s="221" t="s">
        <v>284</v>
      </c>
      <c r="D24" s="310" t="s">
        <v>118</v>
      </c>
      <c r="E24" s="310" t="s">
        <v>119</v>
      </c>
      <c r="F24" s="221" t="s">
        <v>120</v>
      </c>
      <c r="G24" s="222" t="s">
        <v>2494</v>
      </c>
      <c r="H24" s="310" t="str">
        <f>IFERROR(_xlfn.XLOOKUP(I24,[2]Listas!$C$2:$C$202,[2]Listas!$B$2:$B$202),"-")</f>
        <v>VARIAS</v>
      </c>
      <c r="I24" s="221" t="s">
        <v>227</v>
      </c>
      <c r="J24" s="221" t="s">
        <v>124</v>
      </c>
      <c r="K24" s="323" t="str">
        <f t="shared" si="7"/>
        <v>0°0'0"E, 0°0'0"N</v>
      </c>
      <c r="L24" s="326">
        <v>0</v>
      </c>
      <c r="M24" s="326">
        <v>0</v>
      </c>
      <c r="N24" s="223" t="s">
        <v>228</v>
      </c>
      <c r="O24" s="230" t="s">
        <v>229</v>
      </c>
      <c r="P24" s="340">
        <f>+AO24+AT24</f>
        <v>52033303778</v>
      </c>
      <c r="Q24" s="316">
        <v>0</v>
      </c>
      <c r="R24" s="311">
        <v>7.4200000000000002E-2</v>
      </c>
      <c r="S24" s="225">
        <f t="shared" si="9"/>
        <v>7.4200000000000002E-2</v>
      </c>
      <c r="T24" s="317" t="str" cm="1">
        <f t="array" ref="T24">+_xlfn.IFS($P24&lt;=10000000000,IF(S24&gt;-0.05,"Verde",IF(S24&lt;=-0.1,"Rojo","Amarillo")),$P24&gt;10000000000,IF(S24&gt;-0.03,"Verde",IF(S24&lt;=-0.07,"Rojo","Amarillo")))</f>
        <v>Verde</v>
      </c>
      <c r="U24" s="330">
        <v>45707</v>
      </c>
      <c r="V24" s="330">
        <v>45744</v>
      </c>
      <c r="W24" s="331">
        <v>45784</v>
      </c>
      <c r="X24" s="331">
        <v>46335</v>
      </c>
      <c r="Y24" s="331">
        <v>46335</v>
      </c>
      <c r="Z24" s="225" t="str">
        <f t="shared" ca="1" si="2"/>
        <v>En_Ejecución</v>
      </c>
      <c r="AA24" s="225" t="str">
        <f t="shared" ca="1" si="10"/>
        <v>-</v>
      </c>
      <c r="AB24" s="223" t="s">
        <v>128</v>
      </c>
      <c r="AC24" s="223" t="s">
        <v>124</v>
      </c>
      <c r="AD24" s="226">
        <v>46335</v>
      </c>
      <c r="AE24" s="221" t="s">
        <v>293</v>
      </c>
      <c r="AF24" s="221" t="s">
        <v>294</v>
      </c>
      <c r="AG24" s="221" t="s">
        <v>295</v>
      </c>
      <c r="AH24" s="223" t="s">
        <v>296</v>
      </c>
      <c r="AI24" s="221" t="s">
        <v>289</v>
      </c>
      <c r="AJ24" s="221" t="s">
        <v>234</v>
      </c>
      <c r="AK24" s="223" t="s">
        <v>25</v>
      </c>
      <c r="AL24" s="223" t="s">
        <v>25</v>
      </c>
      <c r="AM24" s="334">
        <v>52033303778</v>
      </c>
      <c r="AN24" s="334"/>
      <c r="AO24" s="325">
        <f t="shared" si="4"/>
        <v>52033303778</v>
      </c>
      <c r="AP24" s="334">
        <v>0</v>
      </c>
      <c r="AQ24" s="334"/>
      <c r="AR24" s="334"/>
      <c r="AS24" s="334"/>
      <c r="AT24" s="334"/>
      <c r="AU24" s="334"/>
      <c r="AV24" s="334"/>
      <c r="AW24" s="334" t="s">
        <v>290</v>
      </c>
      <c r="AX24" s="334" t="s">
        <v>297</v>
      </c>
      <c r="AY24" s="334" t="s">
        <v>298</v>
      </c>
      <c r="AZ24" s="334" t="s">
        <v>124</v>
      </c>
      <c r="BA24" s="221" t="s">
        <v>124</v>
      </c>
      <c r="BB24" s="221" t="s">
        <v>124</v>
      </c>
      <c r="BC24" s="233" t="s">
        <v>128</v>
      </c>
    </row>
    <row r="25" spans="1:55" ht="13">
      <c r="A25" s="220">
        <f t="shared" si="6"/>
        <v>24</v>
      </c>
      <c r="B25" s="310" t="s">
        <v>116</v>
      </c>
      <c r="C25" s="221" t="s">
        <v>284</v>
      </c>
      <c r="D25" s="310" t="s">
        <v>118</v>
      </c>
      <c r="E25" s="310" t="s">
        <v>119</v>
      </c>
      <c r="F25" s="221" t="s">
        <v>120</v>
      </c>
      <c r="G25" s="222" t="s">
        <v>2495</v>
      </c>
      <c r="H25" s="310" t="str">
        <f>IFERROR(_xlfn.XLOOKUP(I25,[2]Listas!$C$2:$C$202,[2]Listas!$B$2:$B$202),"-")</f>
        <v>VARIAS</v>
      </c>
      <c r="I25" s="221" t="s">
        <v>227</v>
      </c>
      <c r="J25" s="221" t="s">
        <v>124</v>
      </c>
      <c r="K25" s="323" t="str">
        <f t="shared" si="7"/>
        <v>0°0'0"E, 0°0'0"N</v>
      </c>
      <c r="L25" s="326">
        <v>0</v>
      </c>
      <c r="M25" s="326">
        <v>0</v>
      </c>
      <c r="N25" s="223" t="s">
        <v>228</v>
      </c>
      <c r="O25" s="230" t="s">
        <v>229</v>
      </c>
      <c r="P25" s="340">
        <f>+AO25+AT25</f>
        <v>52104102820</v>
      </c>
      <c r="Q25" s="316">
        <v>0</v>
      </c>
      <c r="R25" s="311">
        <v>0.2117</v>
      </c>
      <c r="S25" s="225">
        <f t="shared" si="9"/>
        <v>0.2117</v>
      </c>
      <c r="T25" s="317" t="str" cm="1">
        <f t="array" ref="T25">+_xlfn.IFS($P25&lt;=10000000000,IF(S25&gt;-0.05,"Verde",IF(S25&lt;=-0.1,"Rojo","Amarillo")),$P25&gt;10000000000,IF(S25&gt;-0.03,"Verde",IF(S25&lt;=-0.07,"Rojo","Amarillo")))</f>
        <v>Verde</v>
      </c>
      <c r="U25" s="330">
        <v>45707</v>
      </c>
      <c r="V25" s="330">
        <v>45744</v>
      </c>
      <c r="W25" s="331">
        <v>45785</v>
      </c>
      <c r="X25" s="331">
        <v>46335</v>
      </c>
      <c r="Y25" s="331">
        <v>46335</v>
      </c>
      <c r="Z25" s="225" t="str">
        <f t="shared" ca="1" si="2"/>
        <v>En_Ejecución</v>
      </c>
      <c r="AA25" s="225" t="str">
        <f t="shared" ca="1" si="10"/>
        <v>-</v>
      </c>
      <c r="AB25" s="223" t="s">
        <v>128</v>
      </c>
      <c r="AC25" s="223" t="s">
        <v>124</v>
      </c>
      <c r="AD25" s="226">
        <v>46335</v>
      </c>
      <c r="AE25" s="221" t="s">
        <v>299</v>
      </c>
      <c r="AF25" s="221" t="s">
        <v>300</v>
      </c>
      <c r="AG25" s="221" t="s">
        <v>301</v>
      </c>
      <c r="AH25" s="223" t="s">
        <v>302</v>
      </c>
      <c r="AI25" s="221" t="s">
        <v>289</v>
      </c>
      <c r="AJ25" s="221" t="s">
        <v>234</v>
      </c>
      <c r="AK25" s="223" t="s">
        <v>25</v>
      </c>
      <c r="AL25" s="223" t="s">
        <v>25</v>
      </c>
      <c r="AM25" s="334">
        <v>52104102820</v>
      </c>
      <c r="AN25" s="334"/>
      <c r="AO25" s="325">
        <f t="shared" si="4"/>
        <v>52104102820</v>
      </c>
      <c r="AP25" s="334">
        <v>5977371358</v>
      </c>
      <c r="AQ25" s="334"/>
      <c r="AR25" s="334"/>
      <c r="AS25" s="334"/>
      <c r="AT25" s="334"/>
      <c r="AU25" s="334"/>
      <c r="AV25" s="334"/>
      <c r="AW25" s="334" t="s">
        <v>290</v>
      </c>
      <c r="AX25" s="334" t="s">
        <v>303</v>
      </c>
      <c r="AY25" s="334" t="s">
        <v>304</v>
      </c>
      <c r="AZ25" s="334" t="s">
        <v>124</v>
      </c>
      <c r="BA25" s="221" t="s">
        <v>124</v>
      </c>
      <c r="BB25" s="221" t="s">
        <v>124</v>
      </c>
      <c r="BC25" s="233" t="s">
        <v>128</v>
      </c>
    </row>
    <row r="26" spans="1:55" ht="13">
      <c r="A26" s="220">
        <f t="shared" si="6"/>
        <v>25</v>
      </c>
      <c r="B26" s="310" t="s">
        <v>116</v>
      </c>
      <c r="C26" s="221" t="s">
        <v>284</v>
      </c>
      <c r="D26" s="310" t="s">
        <v>118</v>
      </c>
      <c r="E26" s="310" t="s">
        <v>119</v>
      </c>
      <c r="F26" s="221" t="s">
        <v>120</v>
      </c>
      <c r="G26" s="222" t="s">
        <v>2496</v>
      </c>
      <c r="H26" s="310" t="str">
        <f>IFERROR(_xlfn.XLOOKUP(I26,[2]Listas!$C$2:$C$202,[2]Listas!$B$2:$B$202),"-")</f>
        <v>VARIAS</v>
      </c>
      <c r="I26" s="221" t="s">
        <v>227</v>
      </c>
      <c r="J26" s="221" t="s">
        <v>124</v>
      </c>
      <c r="K26" s="323" t="str">
        <f t="shared" si="7"/>
        <v>0°0'0"E, 0°0'0"N</v>
      </c>
      <c r="L26" s="326">
        <v>0</v>
      </c>
      <c r="M26" s="326">
        <v>0</v>
      </c>
      <c r="N26" s="223" t="s">
        <v>228</v>
      </c>
      <c r="O26" s="230" t="s">
        <v>229</v>
      </c>
      <c r="P26" s="328">
        <f t="shared" ref="P26:P29" si="12">+AO26+AT26</f>
        <v>53500043499</v>
      </c>
      <c r="Q26" s="316">
        <v>0</v>
      </c>
      <c r="R26" s="311">
        <v>0.1172</v>
      </c>
      <c r="S26" s="225">
        <f t="shared" si="9"/>
        <v>0.1172</v>
      </c>
      <c r="T26" s="317" t="str" cm="1">
        <f t="array" ref="T26">+_xlfn.IFS($P26&lt;=10000000000,IF(S26&gt;-0.05,"Verde",IF(S26&lt;=-0.1,"Rojo","Amarillo")),$P26&gt;10000000000,IF(S26&gt;-0.03,"Verde",IF(S26&lt;=-0.07,"Rojo","Amarillo")))</f>
        <v>Verde</v>
      </c>
      <c r="U26" s="330">
        <v>45707</v>
      </c>
      <c r="V26" s="330">
        <v>45744</v>
      </c>
      <c r="W26" s="331">
        <v>45782</v>
      </c>
      <c r="X26" s="331">
        <v>46331</v>
      </c>
      <c r="Y26" s="331">
        <v>46331</v>
      </c>
      <c r="Z26" s="225" t="str">
        <f t="shared" ca="1" si="2"/>
        <v>En_Ejecución</v>
      </c>
      <c r="AA26" s="225" t="str">
        <f t="shared" ca="1" si="10"/>
        <v>-</v>
      </c>
      <c r="AB26" s="223" t="s">
        <v>128</v>
      </c>
      <c r="AC26" s="223" t="s">
        <v>124</v>
      </c>
      <c r="AD26" s="226">
        <v>46335</v>
      </c>
      <c r="AE26" s="221" t="s">
        <v>305</v>
      </c>
      <c r="AF26" s="221" t="s">
        <v>306</v>
      </c>
      <c r="AG26" s="223" t="s">
        <v>307</v>
      </c>
      <c r="AH26" s="223" t="s">
        <v>308</v>
      </c>
      <c r="AI26" s="221" t="s">
        <v>289</v>
      </c>
      <c r="AJ26" s="221" t="s">
        <v>234</v>
      </c>
      <c r="AK26" s="223" t="s">
        <v>25</v>
      </c>
      <c r="AL26" s="223" t="s">
        <v>25</v>
      </c>
      <c r="AM26" s="334">
        <v>53500043499</v>
      </c>
      <c r="AN26" s="334"/>
      <c r="AO26" s="325">
        <f t="shared" si="4"/>
        <v>53500043499</v>
      </c>
      <c r="AP26" s="334">
        <v>5000036700</v>
      </c>
      <c r="AQ26" s="334"/>
      <c r="AR26" s="334"/>
      <c r="AS26" s="334"/>
      <c r="AT26" s="334"/>
      <c r="AU26" s="334"/>
      <c r="AV26" s="334"/>
      <c r="AW26" s="334" t="s">
        <v>290</v>
      </c>
      <c r="AX26" s="334" t="s">
        <v>309</v>
      </c>
      <c r="AY26" s="334" t="s">
        <v>310</v>
      </c>
      <c r="AZ26" s="334" t="s">
        <v>124</v>
      </c>
      <c r="BA26" s="221" t="s">
        <v>124</v>
      </c>
      <c r="BB26" s="221" t="s">
        <v>124</v>
      </c>
      <c r="BC26" s="233" t="s">
        <v>128</v>
      </c>
    </row>
    <row r="27" spans="1:55" ht="13">
      <c r="A27" s="220">
        <f t="shared" si="6"/>
        <v>26</v>
      </c>
      <c r="B27" s="310" t="s">
        <v>116</v>
      </c>
      <c r="C27" s="221" t="s">
        <v>284</v>
      </c>
      <c r="D27" s="310" t="s">
        <v>118</v>
      </c>
      <c r="E27" s="310" t="s">
        <v>119</v>
      </c>
      <c r="F27" s="221" t="s">
        <v>120</v>
      </c>
      <c r="G27" s="222" t="s">
        <v>2497</v>
      </c>
      <c r="H27" s="310" t="str">
        <f>IFERROR(_xlfn.XLOOKUP(I27,[2]Listas!$C$2:$C$202,[2]Listas!$B$2:$B$202),"-")</f>
        <v>VARIAS</v>
      </c>
      <c r="I27" s="221" t="s">
        <v>227</v>
      </c>
      <c r="J27" s="221" t="s">
        <v>124</v>
      </c>
      <c r="K27" s="323" t="str">
        <f t="shared" si="7"/>
        <v>0°0'0"E, 0°0'0"N</v>
      </c>
      <c r="L27" s="326">
        <v>0</v>
      </c>
      <c r="M27" s="326">
        <v>0</v>
      </c>
      <c r="N27" s="223" t="s">
        <v>228</v>
      </c>
      <c r="O27" s="230" t="s">
        <v>229</v>
      </c>
      <c r="P27" s="328">
        <f t="shared" si="12"/>
        <v>52033303778</v>
      </c>
      <c r="Q27" s="316">
        <v>0</v>
      </c>
      <c r="R27" s="311">
        <v>0.32579999999999998</v>
      </c>
      <c r="S27" s="225">
        <f t="shared" si="9"/>
        <v>0.32579999999999998</v>
      </c>
      <c r="T27" s="317" t="str" cm="1">
        <f t="array" ref="T27">+_xlfn.IFS($P27&lt;=10000000000,IF(S27&gt;-0.05,"Verde",IF(S27&lt;=-0.1,"Rojo","Amarillo")),$P27&gt;10000000000,IF(S27&gt;-0.03,"Verde",IF(S27&lt;=-0.07,"Rojo","Amarillo")))</f>
        <v>Verde</v>
      </c>
      <c r="U27" s="330">
        <v>45707</v>
      </c>
      <c r="V27" s="330">
        <v>45744</v>
      </c>
      <c r="W27" s="331">
        <v>45784</v>
      </c>
      <c r="X27" s="331">
        <v>46335</v>
      </c>
      <c r="Y27" s="331">
        <v>46335</v>
      </c>
      <c r="Z27" s="225" t="str">
        <f t="shared" ca="1" si="2"/>
        <v>En_Ejecución</v>
      </c>
      <c r="AA27" s="225" t="str">
        <f t="shared" ca="1" si="10"/>
        <v>-</v>
      </c>
      <c r="AB27" s="223" t="s">
        <v>128</v>
      </c>
      <c r="AC27" s="223" t="s">
        <v>124</v>
      </c>
      <c r="AD27" s="226">
        <v>46335</v>
      </c>
      <c r="AE27" s="221" t="s">
        <v>311</v>
      </c>
      <c r="AF27" s="221" t="s">
        <v>294</v>
      </c>
      <c r="AG27" s="223" t="s">
        <v>295</v>
      </c>
      <c r="AH27" s="223" t="s">
        <v>296</v>
      </c>
      <c r="AI27" s="221" t="s">
        <v>289</v>
      </c>
      <c r="AJ27" s="221" t="s">
        <v>234</v>
      </c>
      <c r="AK27" s="223" t="s">
        <v>25</v>
      </c>
      <c r="AL27" s="223" t="s">
        <v>25</v>
      </c>
      <c r="AM27" s="334">
        <v>52033303778</v>
      </c>
      <c r="AN27" s="334"/>
      <c r="AO27" s="325">
        <f t="shared" si="4"/>
        <v>52033303778</v>
      </c>
      <c r="AP27" s="334">
        <v>0</v>
      </c>
      <c r="AQ27" s="334"/>
      <c r="AR27" s="334"/>
      <c r="AS27" s="334"/>
      <c r="AT27" s="334"/>
      <c r="AU27" s="334"/>
      <c r="AV27" s="334"/>
      <c r="AW27" s="334" t="s">
        <v>290</v>
      </c>
      <c r="AX27" s="334" t="s">
        <v>312</v>
      </c>
      <c r="AY27" s="334" t="s">
        <v>313</v>
      </c>
      <c r="AZ27" s="334" t="s">
        <v>124</v>
      </c>
      <c r="BA27" s="221" t="s">
        <v>124</v>
      </c>
      <c r="BB27" s="221" t="s">
        <v>124</v>
      </c>
      <c r="BC27" s="233" t="s">
        <v>128</v>
      </c>
    </row>
    <row r="28" spans="1:55" ht="12.5">
      <c r="A28" s="220">
        <f t="shared" si="6"/>
        <v>27</v>
      </c>
      <c r="B28" s="221" t="s">
        <v>116</v>
      </c>
      <c r="C28" s="221" t="s">
        <v>25</v>
      </c>
      <c r="D28" s="221" t="s">
        <v>118</v>
      </c>
      <c r="E28" s="221" t="s">
        <v>314</v>
      </c>
      <c r="F28" s="221" t="s">
        <v>315</v>
      </c>
      <c r="G28" s="222" t="s">
        <v>316</v>
      </c>
      <c r="H28" s="319" t="str">
        <f>IFERROR(_xlfn.XLOOKUP(I28,[2]Listas!$C$2:$C$201,[2]Listas!$B$2:$B$201),"-")</f>
        <v>METROPOLITANA</v>
      </c>
      <c r="I28" s="221" t="s">
        <v>317</v>
      </c>
      <c r="J28" s="221" t="s">
        <v>318</v>
      </c>
      <c r="K28" s="221" t="s">
        <v>319</v>
      </c>
      <c r="L28" s="221">
        <v>-74.810227999999995</v>
      </c>
      <c r="M28" s="221">
        <v>10.927543999999999</v>
      </c>
      <c r="N28" s="223" t="s">
        <v>126</v>
      </c>
      <c r="O28" s="223" t="s">
        <v>127</v>
      </c>
      <c r="P28" s="224">
        <f t="shared" si="12"/>
        <v>1569896099</v>
      </c>
      <c r="Q28" s="225">
        <v>1</v>
      </c>
      <c r="R28" s="225">
        <v>1</v>
      </c>
      <c r="S28" s="225">
        <f t="shared" si="9"/>
        <v>0</v>
      </c>
      <c r="T28" s="225" t="str" cm="1">
        <f t="array" ref="T28">+_xlfn.IFS($P28&lt;=10000000000,IF(S28&gt;-0.05,"Verde",IF(S28&lt;=-0.1,"Rojo","Amarillo")),$P28&gt;10000000000,IF(S28&gt;-0.03,"Verde",IF(S28&lt;=-0.07,"Rojo","Amarillo")))</f>
        <v>Verde</v>
      </c>
      <c r="U28" s="226"/>
      <c r="V28" s="226"/>
      <c r="W28" s="226">
        <v>44868</v>
      </c>
      <c r="X28" s="226">
        <v>44926</v>
      </c>
      <c r="Y28" s="227">
        <v>45371</v>
      </c>
      <c r="Z28" s="225" t="str">
        <f t="shared" ca="1" si="2"/>
        <v>Terminado</v>
      </c>
      <c r="AA28" s="225" t="str">
        <f t="shared" ca="1" si="10"/>
        <v>-</v>
      </c>
      <c r="AB28" s="225" t="s">
        <v>128</v>
      </c>
      <c r="AC28" s="227" t="s">
        <v>124</v>
      </c>
      <c r="AD28" s="229">
        <v>45371</v>
      </c>
      <c r="AE28" s="221" t="s">
        <v>320</v>
      </c>
      <c r="AF28" s="223" t="s">
        <v>321</v>
      </c>
      <c r="AG28" s="223" t="s">
        <v>322</v>
      </c>
      <c r="AH28" s="223" t="s">
        <v>323</v>
      </c>
      <c r="AI28" s="221" t="s">
        <v>25</v>
      </c>
      <c r="AJ28" s="223" t="s">
        <v>25</v>
      </c>
      <c r="AK28" s="223" t="s">
        <v>25</v>
      </c>
      <c r="AL28" s="230" t="s">
        <v>25</v>
      </c>
      <c r="AM28" s="231">
        <v>993605126</v>
      </c>
      <c r="AN28" s="231">
        <v>576290973</v>
      </c>
      <c r="AO28" s="231">
        <f t="shared" si="4"/>
        <v>1569896099</v>
      </c>
      <c r="AP28" s="231">
        <v>984692194</v>
      </c>
      <c r="AQ28" s="231">
        <v>984692194</v>
      </c>
      <c r="AR28" s="231">
        <v>0</v>
      </c>
      <c r="AS28" s="231">
        <v>0</v>
      </c>
      <c r="AT28" s="231">
        <f>AR28+AS28</f>
        <v>0</v>
      </c>
      <c r="AU28" s="231">
        <v>0</v>
      </c>
      <c r="AV28" s="231">
        <v>0</v>
      </c>
      <c r="AW28" s="231" t="s">
        <v>124</v>
      </c>
      <c r="AX28" s="231"/>
      <c r="AY28" s="231"/>
      <c r="AZ28" s="231"/>
      <c r="BA28" s="221" t="s">
        <v>324</v>
      </c>
      <c r="BB28" s="221" t="s">
        <v>325</v>
      </c>
      <c r="BC28" s="233" t="s">
        <v>128</v>
      </c>
    </row>
    <row r="29" spans="1:55" ht="12.5">
      <c r="A29" s="220">
        <f t="shared" si="6"/>
        <v>28</v>
      </c>
      <c r="B29" s="221" t="s">
        <v>116</v>
      </c>
      <c r="C29" s="221" t="s">
        <v>25</v>
      </c>
      <c r="D29" s="221" t="s">
        <v>118</v>
      </c>
      <c r="E29" s="221" t="s">
        <v>326</v>
      </c>
      <c r="F29" s="221" t="s">
        <v>327</v>
      </c>
      <c r="G29" s="222" t="s">
        <v>328</v>
      </c>
      <c r="H29" s="319" t="str">
        <f>IFERROR(_xlfn.XLOOKUP(I29,[2]Listas!$C$2:$C$201,[2]Listas!$B$2:$B$201),"-")</f>
        <v>-</v>
      </c>
      <c r="I29" s="221" t="s">
        <v>124</v>
      </c>
      <c r="J29" s="221" t="s">
        <v>329</v>
      </c>
      <c r="K29" s="221" t="s">
        <v>330</v>
      </c>
      <c r="L29" s="221">
        <v>-74.784452777777801</v>
      </c>
      <c r="M29" s="221">
        <v>10.9594166666667</v>
      </c>
      <c r="N29" s="223" t="s">
        <v>228</v>
      </c>
      <c r="O29" s="223" t="s">
        <v>229</v>
      </c>
      <c r="P29" s="224">
        <f t="shared" si="12"/>
        <v>97297212431.699997</v>
      </c>
      <c r="Q29" s="225">
        <v>0.41170000000000001</v>
      </c>
      <c r="R29" s="225">
        <v>0.25509999999999999</v>
      </c>
      <c r="S29" s="225">
        <f t="shared" si="9"/>
        <v>-0.15660000000000002</v>
      </c>
      <c r="T29" s="225" t="str" cm="1">
        <f t="array" ref="T29">+_xlfn.IFS($P29&lt;=10000000000,IF(S29&gt;-0.05,"Verde",IF(S29&lt;=-0.1,"Rojo","Amarillo")),$P29&gt;10000000000,IF(S29&gt;-0.03,"Verde",IF(S29&lt;=-0.07,"Rojo","Amarillo")))</f>
        <v>Rojo</v>
      </c>
      <c r="U29" s="226">
        <v>45363</v>
      </c>
      <c r="V29" s="226">
        <v>45377</v>
      </c>
      <c r="W29" s="226">
        <v>45391</v>
      </c>
      <c r="X29" s="226">
        <v>45657</v>
      </c>
      <c r="Y29" s="227">
        <v>45657</v>
      </c>
      <c r="Z29" s="225" t="str">
        <f t="shared" ca="1" si="2"/>
        <v>Rojo</v>
      </c>
      <c r="AA29" s="225" t="str">
        <f t="shared" ca="1" si="10"/>
        <v>En_Seguimiento</v>
      </c>
      <c r="AB29" s="225" t="s">
        <v>128</v>
      </c>
      <c r="AC29" s="227" t="s">
        <v>124</v>
      </c>
      <c r="AD29" s="229">
        <v>45657</v>
      </c>
      <c r="AE29" s="221" t="s">
        <v>331</v>
      </c>
      <c r="AF29" s="223" t="s">
        <v>332</v>
      </c>
      <c r="AG29" s="223" t="s">
        <v>333</v>
      </c>
      <c r="AH29" s="223" t="s">
        <v>334</v>
      </c>
      <c r="AI29" s="221" t="s">
        <v>335</v>
      </c>
      <c r="AJ29" s="223" t="s">
        <v>336</v>
      </c>
      <c r="AK29" s="223" t="s">
        <v>25</v>
      </c>
      <c r="AL29" s="230" t="s">
        <v>337</v>
      </c>
      <c r="AM29" s="231">
        <v>92664003411.050003</v>
      </c>
      <c r="AN29" s="231">
        <v>0</v>
      </c>
      <c r="AO29" s="231">
        <f t="shared" si="4"/>
        <v>92664003411.050003</v>
      </c>
      <c r="AP29" s="231">
        <v>23298960880</v>
      </c>
      <c r="AQ29" s="231">
        <v>23298960880</v>
      </c>
      <c r="AR29" s="231">
        <v>4633209020.6499996</v>
      </c>
      <c r="AS29" s="231">
        <v>0</v>
      </c>
      <c r="AT29" s="231">
        <f>AR29+AS29</f>
        <v>4633209020.6499996</v>
      </c>
      <c r="AU29" s="231">
        <v>796003949.10000002</v>
      </c>
      <c r="AV29" s="231">
        <v>796003949.10000002</v>
      </c>
      <c r="AW29" s="231" t="s">
        <v>124</v>
      </c>
      <c r="AX29" s="231" t="s">
        <v>338</v>
      </c>
      <c r="AY29" s="231"/>
      <c r="AZ29" s="231"/>
      <c r="BA29" s="221" t="s">
        <v>339</v>
      </c>
      <c r="BB29" s="221"/>
      <c r="BC29" s="233" t="s">
        <v>128</v>
      </c>
    </row>
    <row r="30" spans="1:55" ht="12.5">
      <c r="A30" s="220">
        <f t="shared" si="6"/>
        <v>29</v>
      </c>
      <c r="B30" s="221" t="s">
        <v>116</v>
      </c>
      <c r="C30" s="221" t="s">
        <v>25</v>
      </c>
      <c r="D30" s="221" t="s">
        <v>118</v>
      </c>
      <c r="E30" s="221" t="s">
        <v>326</v>
      </c>
      <c r="F30" s="221" t="s">
        <v>327</v>
      </c>
      <c r="G30" s="222" t="s">
        <v>340</v>
      </c>
      <c r="H30" s="319" t="str">
        <f>IFERROR(_xlfn.XLOOKUP(I30,[2]Listas!$C$2:$C$201,[2]Listas!$B$2:$B$201),"-")</f>
        <v>-</v>
      </c>
      <c r="I30" s="221" t="s">
        <v>124</v>
      </c>
      <c r="J30" s="221"/>
      <c r="K30" s="221"/>
      <c r="L30" s="221"/>
      <c r="M30" s="221"/>
      <c r="N30" s="223" t="s">
        <v>228</v>
      </c>
      <c r="O30" s="223" t="s">
        <v>229</v>
      </c>
      <c r="P30" s="224"/>
      <c r="Q30" s="225"/>
      <c r="R30" s="225"/>
      <c r="S30" s="225"/>
      <c r="T30" s="228"/>
      <c r="U30" s="226"/>
      <c r="V30" s="226"/>
      <c r="W30" s="320"/>
      <c r="X30" s="320"/>
      <c r="Y30" s="321"/>
      <c r="Z30" s="225" t="str">
        <f t="shared" ca="1" si="2"/>
        <v>En_Ejecución</v>
      </c>
      <c r="AA30" s="225" t="str">
        <f t="shared" ca="1" si="10"/>
        <v>-</v>
      </c>
      <c r="AB30" s="225" t="s">
        <v>128</v>
      </c>
      <c r="AC30" s="227" t="s">
        <v>124</v>
      </c>
      <c r="AD30" s="322"/>
      <c r="AE30" s="221"/>
      <c r="AF30" s="223"/>
      <c r="AG30" s="223"/>
      <c r="AH30" s="223"/>
      <c r="AI30" s="221"/>
      <c r="AJ30" s="223"/>
      <c r="AK30" s="223"/>
      <c r="AL30" s="230"/>
      <c r="AM30" s="231"/>
      <c r="AN30" s="231"/>
      <c r="AO30" s="231"/>
      <c r="AP30" s="231"/>
      <c r="AQ30" s="231"/>
      <c r="AR30" s="231"/>
      <c r="AS30" s="231"/>
      <c r="AT30" s="231"/>
      <c r="AU30" s="231"/>
      <c r="AV30" s="231"/>
      <c r="AW30" s="231" t="s">
        <v>124</v>
      </c>
      <c r="AX30" s="231"/>
      <c r="AY30" s="231"/>
      <c r="AZ30" s="231"/>
      <c r="BA30" s="221"/>
      <c r="BB30" s="221"/>
      <c r="BC30" s="233"/>
    </row>
    <row r="31" spans="1:55" ht="12.5">
      <c r="A31" s="220">
        <f t="shared" si="6"/>
        <v>30</v>
      </c>
      <c r="B31" s="221" t="s">
        <v>116</v>
      </c>
      <c r="C31" s="221" t="s">
        <v>341</v>
      </c>
      <c r="D31" s="221" t="s">
        <v>118</v>
      </c>
      <c r="E31" s="221" t="s">
        <v>326</v>
      </c>
      <c r="F31" s="221" t="s">
        <v>342</v>
      </c>
      <c r="G31" s="222" t="s">
        <v>343</v>
      </c>
      <c r="H31" s="319" t="str">
        <f>IFERROR(_xlfn.XLOOKUP(I31,[2]Listas!$C$2:$C$201,[2]Listas!$B$2:$B$201),"-")</f>
        <v>NORTE-CENTRO HISTORICO</v>
      </c>
      <c r="I31" s="221" t="s">
        <v>344</v>
      </c>
      <c r="J31" s="221" t="s">
        <v>345</v>
      </c>
      <c r="K31" s="221" t="s">
        <v>346</v>
      </c>
      <c r="L31" s="221">
        <v>-74.776463888888898</v>
      </c>
      <c r="M31" s="221">
        <v>10.9833472222222</v>
      </c>
      <c r="N31" s="223" t="s">
        <v>126</v>
      </c>
      <c r="O31" s="223" t="s">
        <v>127</v>
      </c>
      <c r="P31" s="224">
        <f t="shared" ref="P31:P36" si="13">+AO31+AT31</f>
        <v>10517152014.795</v>
      </c>
      <c r="Q31" s="225">
        <v>1</v>
      </c>
      <c r="R31" s="225">
        <v>1</v>
      </c>
      <c r="S31" s="225">
        <f t="shared" ref="S31:S36" si="14">+R31-Q31</f>
        <v>0</v>
      </c>
      <c r="T31" s="225" t="str" cm="1">
        <f t="array" ref="T31">+_xlfn.IFS($P31&lt;=10000000000,IF(S31&gt;-0.05,"Verde",IF(S31&lt;=-0.1,"Rojo","Amarillo")),$P31&gt;10000000000,IF(S31&gt;-0.03,"Verde",IF(S31&lt;=-0.07,"Rojo","Amarillo")))</f>
        <v>Verde</v>
      </c>
      <c r="U31" s="226">
        <v>43005</v>
      </c>
      <c r="V31" s="226">
        <v>43006</v>
      </c>
      <c r="W31" s="226">
        <v>43075</v>
      </c>
      <c r="X31" s="226">
        <v>43957</v>
      </c>
      <c r="Y31" s="227">
        <v>45504</v>
      </c>
      <c r="Z31" s="228" t="str">
        <f t="shared" ca="1" si="2"/>
        <v>Terminado</v>
      </c>
      <c r="AA31" s="225" t="str">
        <f t="shared" ca="1" si="10"/>
        <v>-</v>
      </c>
      <c r="AB31" s="225" t="s">
        <v>128</v>
      </c>
      <c r="AC31" s="227" t="s">
        <v>124</v>
      </c>
      <c r="AD31" s="227">
        <v>45504</v>
      </c>
      <c r="AE31" s="221" t="s">
        <v>347</v>
      </c>
      <c r="AF31" s="223" t="s">
        <v>348</v>
      </c>
      <c r="AG31" s="223" t="s">
        <v>349</v>
      </c>
      <c r="AH31" s="223" t="s">
        <v>350</v>
      </c>
      <c r="AI31" s="221" t="s">
        <v>351</v>
      </c>
      <c r="AJ31" s="223" t="s">
        <v>352</v>
      </c>
      <c r="AK31" s="223" t="s">
        <v>353</v>
      </c>
      <c r="AL31" s="230" t="s">
        <v>354</v>
      </c>
      <c r="AM31" s="231">
        <v>9939090474.7950001</v>
      </c>
      <c r="AN31" s="231">
        <v>0</v>
      </c>
      <c r="AO31" s="231">
        <f>AM31+AN31</f>
        <v>9939090474.7950001</v>
      </c>
      <c r="AP31" s="231">
        <v>22935763721.050007</v>
      </c>
      <c r="AQ31" s="231">
        <v>21498737887.330006</v>
      </c>
      <c r="AR31" s="231">
        <v>465660685</v>
      </c>
      <c r="AS31" s="231">
        <v>112400855</v>
      </c>
      <c r="AT31" s="231">
        <f t="shared" ref="AT31:AT36" si="15">AR31+AS31</f>
        <v>578061540</v>
      </c>
      <c r="AU31" s="231">
        <v>1063876604.3625175</v>
      </c>
      <c r="AV31" s="231">
        <v>956505872.96251738</v>
      </c>
      <c r="AW31" s="232" t="s">
        <v>124</v>
      </c>
      <c r="AX31" s="232" t="s">
        <v>355</v>
      </c>
      <c r="AY31" s="232"/>
      <c r="AZ31" s="232"/>
      <c r="BA31" s="221" t="s">
        <v>356</v>
      </c>
      <c r="BB31" s="221"/>
      <c r="BC31" s="233" t="s">
        <v>128</v>
      </c>
    </row>
    <row r="32" spans="1:55" ht="12.5">
      <c r="A32" s="220">
        <f t="shared" si="6"/>
        <v>31</v>
      </c>
      <c r="B32" s="221" t="s">
        <v>116</v>
      </c>
      <c r="C32" s="221" t="s">
        <v>341</v>
      </c>
      <c r="D32" s="221" t="s">
        <v>118</v>
      </c>
      <c r="E32" s="221" t="s">
        <v>326</v>
      </c>
      <c r="F32" s="221" t="s">
        <v>342</v>
      </c>
      <c r="G32" s="222" t="s">
        <v>357</v>
      </c>
      <c r="H32" s="319" t="str">
        <f>IFERROR(_xlfn.XLOOKUP(I32,[2]Listas!$C$2:$C$201,[2]Listas!$B$2:$B$201),"-")</f>
        <v>NORTE-CENTRO HISTORICO</v>
      </c>
      <c r="I32" s="221" t="s">
        <v>358</v>
      </c>
      <c r="J32" s="221" t="s">
        <v>359</v>
      </c>
      <c r="K32" s="221" t="s">
        <v>360</v>
      </c>
      <c r="L32" s="221">
        <v>-74.775244444444397</v>
      </c>
      <c r="M32" s="221">
        <v>10.9777972222222</v>
      </c>
      <c r="N32" s="223" t="s">
        <v>228</v>
      </c>
      <c r="O32" s="223" t="s">
        <v>229</v>
      </c>
      <c r="P32" s="224">
        <f t="shared" si="13"/>
        <v>16864171434.205</v>
      </c>
      <c r="Q32" s="225">
        <v>0.94</v>
      </c>
      <c r="R32" s="225">
        <v>0.92</v>
      </c>
      <c r="S32" s="225">
        <f t="shared" si="14"/>
        <v>-1.9999999999999907E-2</v>
      </c>
      <c r="T32" s="225" t="str" cm="1">
        <f t="array" ref="T32">+_xlfn.IFS($P32&lt;=10000000000,IF(S32&gt;-0.05,"Verde",IF(S32&lt;=-0.1,"Rojo","Amarillo")),$P32&gt;10000000000,IF(S32&gt;-0.03,"Verde",IF(S32&lt;=-0.07,"Rojo","Amarillo")))</f>
        <v>Verde</v>
      </c>
      <c r="U32" s="226">
        <v>43005</v>
      </c>
      <c r="V32" s="226">
        <v>43006</v>
      </c>
      <c r="W32" s="226">
        <v>43075</v>
      </c>
      <c r="X32" s="226">
        <v>43957</v>
      </c>
      <c r="Y32" s="227">
        <v>45597</v>
      </c>
      <c r="Z32" s="225" t="str">
        <f t="shared" ca="1" si="2"/>
        <v>En_Ejecución</v>
      </c>
      <c r="AA32" s="225" t="str">
        <f t="shared" ca="1" si="10"/>
        <v>-</v>
      </c>
      <c r="AB32" s="225" t="s">
        <v>128</v>
      </c>
      <c r="AC32" s="227" t="s">
        <v>124</v>
      </c>
      <c r="AD32" s="229">
        <v>45597</v>
      </c>
      <c r="AE32" s="221" t="s">
        <v>347</v>
      </c>
      <c r="AF32" s="223" t="s">
        <v>348</v>
      </c>
      <c r="AG32" s="223" t="s">
        <v>349</v>
      </c>
      <c r="AH32" s="223" t="s">
        <v>350</v>
      </c>
      <c r="AI32" s="221" t="s">
        <v>351</v>
      </c>
      <c r="AJ32" s="223" t="s">
        <v>352</v>
      </c>
      <c r="AK32" s="223" t="s">
        <v>353</v>
      </c>
      <c r="AL32" s="230" t="s">
        <v>354</v>
      </c>
      <c r="AM32" s="231">
        <v>9591989928.2049999</v>
      </c>
      <c r="AN32" s="231">
        <v>6694119966</v>
      </c>
      <c r="AO32" s="231">
        <f>AM32+AN32</f>
        <v>16286109894.205</v>
      </c>
      <c r="AP32" s="231">
        <v>23904346470.954601</v>
      </c>
      <c r="AQ32" s="231">
        <v>23323511415.338501</v>
      </c>
      <c r="AR32" s="231">
        <v>465660685</v>
      </c>
      <c r="AS32" s="231">
        <v>112400855</v>
      </c>
      <c r="AT32" s="231">
        <f t="shared" si="15"/>
        <v>578061540</v>
      </c>
      <c r="AU32" s="231">
        <v>1063876604.3625175</v>
      </c>
      <c r="AV32" s="231">
        <v>956505872.96251738</v>
      </c>
      <c r="AW32" s="232" t="s">
        <v>124</v>
      </c>
      <c r="AX32" s="232" t="s">
        <v>361</v>
      </c>
      <c r="AY32" s="232"/>
      <c r="AZ32" s="232"/>
      <c r="BA32" s="221" t="s">
        <v>362</v>
      </c>
      <c r="BB32" s="221" t="s">
        <v>363</v>
      </c>
      <c r="BC32" s="233" t="s">
        <v>364</v>
      </c>
    </row>
    <row r="33" spans="1:55" ht="12.5">
      <c r="A33" s="220">
        <f t="shared" si="6"/>
        <v>32</v>
      </c>
      <c r="B33" s="221" t="s">
        <v>116</v>
      </c>
      <c r="C33" s="221" t="s">
        <v>341</v>
      </c>
      <c r="D33" s="221" t="s">
        <v>365</v>
      </c>
      <c r="E33" s="221" t="s">
        <v>366</v>
      </c>
      <c r="F33" s="221" t="s">
        <v>367</v>
      </c>
      <c r="G33" s="222" t="s">
        <v>368</v>
      </c>
      <c r="H33" s="319" t="str">
        <f>IFERROR(_xlfn.XLOOKUP(I33,[2]Listas!$C$2:$C$201,[2]Listas!$B$2:$B$201),"-")</f>
        <v>METROPOLITANA</v>
      </c>
      <c r="I33" s="221" t="s">
        <v>369</v>
      </c>
      <c r="J33" s="221" t="s">
        <v>370</v>
      </c>
      <c r="K33" s="221" t="s">
        <v>371</v>
      </c>
      <c r="L33" s="221">
        <v>-74.825508333333303</v>
      </c>
      <c r="M33" s="221">
        <v>10.934288888888901</v>
      </c>
      <c r="N33" s="223" t="s">
        <v>126</v>
      </c>
      <c r="O33" s="230" t="s">
        <v>372</v>
      </c>
      <c r="P33" s="224">
        <f t="shared" si="13"/>
        <v>653589587.28606081</v>
      </c>
      <c r="Q33" s="225">
        <v>1</v>
      </c>
      <c r="R33" s="225">
        <v>1</v>
      </c>
      <c r="S33" s="225">
        <f t="shared" si="14"/>
        <v>0</v>
      </c>
      <c r="T33" s="225" t="str" cm="1">
        <f t="array" ref="T33">+_xlfn.IFS($P33&lt;=10000000000,IF(S33&gt;-0.05,"Verde",IF(S33&lt;=-0.1,"Rojo","Amarillo")),$P33&gt;10000000000,IF(S33&gt;-0.03,"Verde",IF(S33&lt;=-0.07,"Rojo","Amarillo")))</f>
        <v>Verde</v>
      </c>
      <c r="U33" s="226">
        <v>44439</v>
      </c>
      <c r="V33" s="226">
        <v>44441</v>
      </c>
      <c r="W33" s="226">
        <v>44525</v>
      </c>
      <c r="X33" s="226">
        <v>44561</v>
      </c>
      <c r="Y33" s="227">
        <v>45461</v>
      </c>
      <c r="Z33" s="225" t="str">
        <f t="shared" ca="1" si="2"/>
        <v>Entregado</v>
      </c>
      <c r="AA33" s="225" t="str">
        <f t="shared" ca="1" si="10"/>
        <v>-</v>
      </c>
      <c r="AB33" s="225" t="s">
        <v>128</v>
      </c>
      <c r="AC33" s="227" t="s">
        <v>124</v>
      </c>
      <c r="AD33" s="227">
        <v>45461</v>
      </c>
      <c r="AE33" s="221" t="s">
        <v>373</v>
      </c>
      <c r="AF33" s="223" t="s">
        <v>374</v>
      </c>
      <c r="AG33" s="223" t="s">
        <v>341</v>
      </c>
      <c r="AH33" s="223" t="s">
        <v>375</v>
      </c>
      <c r="AI33" s="221" t="s">
        <v>376</v>
      </c>
      <c r="AJ33" s="223" t="s">
        <v>377</v>
      </c>
      <c r="AK33" s="223" t="s">
        <v>378</v>
      </c>
      <c r="AL33" s="230" t="s">
        <v>379</v>
      </c>
      <c r="AM33" s="231">
        <v>382600000</v>
      </c>
      <c r="AN33" s="231">
        <v>181084254.59</v>
      </c>
      <c r="AO33" s="231">
        <f>AM33+AN33</f>
        <v>563684254.59000003</v>
      </c>
      <c r="AP33" s="231">
        <v>253022368.4161939</v>
      </c>
      <c r="AQ33" s="231">
        <v>253022368.4161939</v>
      </c>
      <c r="AR33" s="231">
        <v>45589069.946060754</v>
      </c>
      <c r="AS33" s="231">
        <v>44316262.75</v>
      </c>
      <c r="AT33" s="231">
        <f t="shared" si="15"/>
        <v>89905332.696060747</v>
      </c>
      <c r="AU33" s="231">
        <v>30327678.42071839</v>
      </c>
      <c r="AV33" s="231">
        <v>30327678.42071839</v>
      </c>
      <c r="AW33" s="232" t="s">
        <v>124</v>
      </c>
      <c r="AX33" s="232"/>
      <c r="AY33" s="232"/>
      <c r="AZ33" s="232"/>
      <c r="BA33" s="221" t="s">
        <v>380</v>
      </c>
      <c r="BB33" s="221"/>
      <c r="BC33" s="233" t="s">
        <v>128</v>
      </c>
    </row>
    <row r="34" spans="1:55" ht="12.5">
      <c r="A34" s="220">
        <f t="shared" si="6"/>
        <v>33</v>
      </c>
      <c r="B34" s="221" t="s">
        <v>116</v>
      </c>
      <c r="C34" s="221" t="s">
        <v>341</v>
      </c>
      <c r="D34" s="221" t="s">
        <v>365</v>
      </c>
      <c r="E34" s="221" t="s">
        <v>366</v>
      </c>
      <c r="F34" s="221" t="s">
        <v>367</v>
      </c>
      <c r="G34" s="222" t="s">
        <v>381</v>
      </c>
      <c r="H34" s="319" t="str">
        <f>IFERROR(_xlfn.XLOOKUP(I34,[2]Listas!$C$2:$C$201,[2]Listas!$B$2:$B$201),"-")</f>
        <v>SUROCCIDENTE</v>
      </c>
      <c r="I34" s="221" t="s">
        <v>382</v>
      </c>
      <c r="J34" s="221" t="s">
        <v>383</v>
      </c>
      <c r="K34" s="221" t="s">
        <v>384</v>
      </c>
      <c r="L34" s="221">
        <v>-74.834594444444406</v>
      </c>
      <c r="M34" s="221">
        <v>10.966061111111101</v>
      </c>
      <c r="N34" s="223" t="s">
        <v>126</v>
      </c>
      <c r="O34" s="230" t="s">
        <v>372</v>
      </c>
      <c r="P34" s="224">
        <f t="shared" si="13"/>
        <v>756231181.88773155</v>
      </c>
      <c r="Q34" s="225">
        <v>1</v>
      </c>
      <c r="R34" s="225">
        <v>1</v>
      </c>
      <c r="S34" s="225">
        <f t="shared" si="14"/>
        <v>0</v>
      </c>
      <c r="T34" s="225" t="str" cm="1">
        <f t="array" ref="T34">+_xlfn.IFS($P34&lt;=10000000000,IF(S34&gt;-0.05,"Verde",IF(S34&lt;=-0.1,"Rojo","Amarillo")),$P34&gt;10000000000,IF(S34&gt;-0.03,"Verde",IF(S34&lt;=-0.07,"Rojo","Amarillo")))</f>
        <v>Verde</v>
      </c>
      <c r="U34" s="226">
        <v>44439</v>
      </c>
      <c r="V34" s="226">
        <v>44441</v>
      </c>
      <c r="W34" s="226">
        <v>44525</v>
      </c>
      <c r="X34" s="226">
        <v>44561</v>
      </c>
      <c r="Y34" s="227">
        <v>45461</v>
      </c>
      <c r="Z34" s="225" t="str">
        <f t="shared" ca="1" si="2"/>
        <v>Entregado</v>
      </c>
      <c r="AA34" s="225" t="str">
        <f t="shared" ca="1" si="10"/>
        <v>-</v>
      </c>
      <c r="AB34" s="225" t="s">
        <v>128</v>
      </c>
      <c r="AC34" s="227" t="s">
        <v>124</v>
      </c>
      <c r="AD34" s="227">
        <v>45461</v>
      </c>
      <c r="AE34" s="221" t="s">
        <v>373</v>
      </c>
      <c r="AF34" s="223" t="s">
        <v>374</v>
      </c>
      <c r="AG34" s="223" t="s">
        <v>341</v>
      </c>
      <c r="AH34" s="223" t="s">
        <v>375</v>
      </c>
      <c r="AI34" s="221" t="s">
        <v>376</v>
      </c>
      <c r="AJ34" s="223" t="s">
        <v>377</v>
      </c>
      <c r="AK34" s="223" t="s">
        <v>378</v>
      </c>
      <c r="AL34" s="230" t="s">
        <v>379</v>
      </c>
      <c r="AM34" s="231">
        <v>409200000</v>
      </c>
      <c r="AN34" s="231">
        <v>250875243.21000001</v>
      </c>
      <c r="AO34" s="231">
        <f>AM34+AN34</f>
        <v>660075243.21000004</v>
      </c>
      <c r="AP34" s="231">
        <v>270613573.32960415</v>
      </c>
      <c r="AQ34" s="231">
        <v>270613573.32960415</v>
      </c>
      <c r="AR34" s="231">
        <v>48758618.457731478</v>
      </c>
      <c r="AS34" s="231">
        <v>47397320.219999999</v>
      </c>
      <c r="AT34" s="231">
        <f t="shared" si="15"/>
        <v>96155938.677731484</v>
      </c>
      <c r="AU34" s="231">
        <v>32436189.257077802</v>
      </c>
      <c r="AV34" s="231">
        <v>32436189.257077802</v>
      </c>
      <c r="AW34" s="232" t="s">
        <v>124</v>
      </c>
      <c r="AX34" s="232"/>
      <c r="AY34" s="232"/>
      <c r="AZ34" s="232"/>
      <c r="BA34" s="221" t="s">
        <v>385</v>
      </c>
      <c r="BB34" s="221"/>
      <c r="BC34" s="233" t="s">
        <v>128</v>
      </c>
    </row>
    <row r="35" spans="1:55" ht="12.5">
      <c r="A35" s="220">
        <f t="shared" si="6"/>
        <v>34</v>
      </c>
      <c r="B35" s="221" t="s">
        <v>116</v>
      </c>
      <c r="C35" s="221" t="s">
        <v>341</v>
      </c>
      <c r="D35" s="221" t="s">
        <v>365</v>
      </c>
      <c r="E35" s="221" t="s">
        <v>366</v>
      </c>
      <c r="F35" s="221" t="s">
        <v>367</v>
      </c>
      <c r="G35" s="222" t="s">
        <v>386</v>
      </c>
      <c r="H35" s="319" t="str">
        <f>IFERROR(_xlfn.XLOOKUP(I35,[2]Listas!$C$2:$C$201,[2]Listas!$B$2:$B$201),"-")</f>
        <v>METROPOLITANA</v>
      </c>
      <c r="I35" s="221" t="s">
        <v>387</v>
      </c>
      <c r="J35" s="221" t="s">
        <v>388</v>
      </c>
      <c r="K35" s="221" t="s">
        <v>389</v>
      </c>
      <c r="L35" s="221">
        <v>-74.816038888888897</v>
      </c>
      <c r="M35" s="221">
        <v>10.936116666666701</v>
      </c>
      <c r="N35" s="223" t="s">
        <v>126</v>
      </c>
      <c r="O35" s="230" t="s">
        <v>372</v>
      </c>
      <c r="P35" s="224">
        <f t="shared" si="13"/>
        <v>760319698.32620788</v>
      </c>
      <c r="Q35" s="225">
        <v>1</v>
      </c>
      <c r="R35" s="225">
        <v>1</v>
      </c>
      <c r="S35" s="225">
        <f t="shared" si="14"/>
        <v>0</v>
      </c>
      <c r="T35" s="225" t="str" cm="1">
        <f t="array" ref="T35">+_xlfn.IFS($P35&lt;=10000000000,IF(S35&gt;-0.05,"Verde",IF(S35&lt;=-0.1,"Rojo","Amarillo")),$P35&gt;10000000000,IF(S35&gt;-0.03,"Verde",IF(S35&lt;=-0.07,"Rojo","Amarillo")))</f>
        <v>Verde</v>
      </c>
      <c r="U35" s="226">
        <v>44439</v>
      </c>
      <c r="V35" s="226">
        <v>44441</v>
      </c>
      <c r="W35" s="226">
        <v>44525</v>
      </c>
      <c r="X35" s="226">
        <v>44561</v>
      </c>
      <c r="Y35" s="227">
        <v>45461</v>
      </c>
      <c r="Z35" s="225" t="str">
        <f t="shared" ca="1" si="2"/>
        <v>Entregado</v>
      </c>
      <c r="AA35" s="225" t="str">
        <f t="shared" ca="1" si="10"/>
        <v>-</v>
      </c>
      <c r="AB35" s="225" t="s">
        <v>128</v>
      </c>
      <c r="AC35" s="227" t="s">
        <v>124</v>
      </c>
      <c r="AD35" s="227">
        <v>45461</v>
      </c>
      <c r="AE35" s="221" t="s">
        <v>373</v>
      </c>
      <c r="AF35" s="223" t="s">
        <v>374</v>
      </c>
      <c r="AG35" s="223" t="s">
        <v>341</v>
      </c>
      <c r="AH35" s="223" t="s">
        <v>375</v>
      </c>
      <c r="AI35" s="221" t="s">
        <v>376</v>
      </c>
      <c r="AJ35" s="223" t="s">
        <v>377</v>
      </c>
      <c r="AK35" s="223" t="s">
        <v>378</v>
      </c>
      <c r="AL35" s="230" t="s">
        <v>379</v>
      </c>
      <c r="AM35" s="231">
        <v>460325367</v>
      </c>
      <c r="AN35" s="231">
        <v>191824688.69999999</v>
      </c>
      <c r="AO35" s="231">
        <f>AM35+AN35</f>
        <v>652150055.70000005</v>
      </c>
      <c r="AP35" s="231">
        <v>304423979.61420196</v>
      </c>
      <c r="AQ35" s="231">
        <v>304423979.61420196</v>
      </c>
      <c r="AR35" s="231">
        <v>54850510.59620776</v>
      </c>
      <c r="AS35" s="231">
        <v>53319132.030000001</v>
      </c>
      <c r="AT35" s="231">
        <f t="shared" si="15"/>
        <v>108169642.62620777</v>
      </c>
      <c r="AU35" s="231">
        <v>36488760.3222038</v>
      </c>
      <c r="AV35" s="231">
        <v>36488760.3222038</v>
      </c>
      <c r="AW35" s="232" t="s">
        <v>124</v>
      </c>
      <c r="AX35" s="232"/>
      <c r="AY35" s="232"/>
      <c r="AZ35" s="232"/>
      <c r="BA35" s="221" t="s">
        <v>390</v>
      </c>
      <c r="BB35" s="221"/>
      <c r="BC35" s="233" t="s">
        <v>128</v>
      </c>
    </row>
    <row r="36" spans="1:55" ht="12.5">
      <c r="A36" s="220">
        <f t="shared" si="6"/>
        <v>35</v>
      </c>
      <c r="B36" s="221" t="s">
        <v>116</v>
      </c>
      <c r="C36" s="221" t="s">
        <v>341</v>
      </c>
      <c r="D36" s="221" t="s">
        <v>118</v>
      </c>
      <c r="E36" s="221" t="s">
        <v>119</v>
      </c>
      <c r="F36" s="221" t="s">
        <v>391</v>
      </c>
      <c r="G36" s="222" t="s">
        <v>392</v>
      </c>
      <c r="H36" s="319" t="str">
        <f>IFERROR(_xlfn.XLOOKUP(I36,[2]Listas!$C$2:$C$201,[2]Listas!$B$2:$B$201),"-")</f>
        <v>NORTE-CENTRO HISTORICO</v>
      </c>
      <c r="I36" s="221" t="s">
        <v>393</v>
      </c>
      <c r="J36" s="221"/>
      <c r="K36" s="221"/>
      <c r="L36" s="221">
        <v>-74.833776999999998</v>
      </c>
      <c r="M36" s="221">
        <v>11.027737999999999</v>
      </c>
      <c r="N36" s="223" t="s">
        <v>228</v>
      </c>
      <c r="O36" s="223" t="s">
        <v>229</v>
      </c>
      <c r="P36" s="224">
        <f t="shared" si="13"/>
        <v>59906133530</v>
      </c>
      <c r="Q36" s="228">
        <v>0.13500000000000001</v>
      </c>
      <c r="R36" s="228">
        <v>8.8999999999999996E-2</v>
      </c>
      <c r="S36" s="225">
        <f t="shared" si="14"/>
        <v>-4.6000000000000013E-2</v>
      </c>
      <c r="T36" s="228" t="str" cm="1">
        <f t="array" ref="T36">+_xlfn.IFS($P36&lt;=10000000000,IF(S36&gt;-0.05,"Verde",IF(S36&lt;=-0.1,"Rojo","Amarillo")),$P36&gt;10000000000,IF(S36&gt;-0.03,"Verde",IF(S36&lt;=-0.07,"Rojo","Amarillo")))</f>
        <v>Amarillo</v>
      </c>
      <c r="U36" s="226"/>
      <c r="V36" s="226"/>
      <c r="W36" s="320">
        <v>45391</v>
      </c>
      <c r="X36" s="320">
        <v>46121</v>
      </c>
      <c r="Y36" s="321">
        <v>46121</v>
      </c>
      <c r="Z36" s="225" t="str">
        <f t="shared" ca="1" si="2"/>
        <v>Verde</v>
      </c>
      <c r="AA36" s="225" t="str">
        <f t="shared" ca="1" si="10"/>
        <v>-</v>
      </c>
      <c r="AB36" s="225" t="s">
        <v>128</v>
      </c>
      <c r="AC36" s="227" t="s">
        <v>124</v>
      </c>
      <c r="AD36" s="322">
        <v>45657</v>
      </c>
      <c r="AE36" s="221"/>
      <c r="AF36" s="223"/>
      <c r="AG36" s="223"/>
      <c r="AH36" s="223"/>
      <c r="AI36" s="221"/>
      <c r="AJ36" s="223"/>
      <c r="AK36" s="223"/>
      <c r="AL36" s="230"/>
      <c r="AM36" s="231">
        <v>59906133530</v>
      </c>
      <c r="AN36" s="231">
        <v>0</v>
      </c>
      <c r="AO36" s="231">
        <f>AN36+AM36</f>
        <v>59906133530</v>
      </c>
      <c r="AP36" s="231">
        <v>0</v>
      </c>
      <c r="AQ36" s="231">
        <v>0</v>
      </c>
      <c r="AR36" s="231">
        <v>0</v>
      </c>
      <c r="AS36" s="231">
        <v>0</v>
      </c>
      <c r="AT36" s="231">
        <f t="shared" si="15"/>
        <v>0</v>
      </c>
      <c r="AU36" s="231">
        <v>0</v>
      </c>
      <c r="AV36" s="231">
        <v>0</v>
      </c>
      <c r="AW36" s="231" t="s">
        <v>124</v>
      </c>
      <c r="AX36" s="231"/>
      <c r="AY36" s="231"/>
      <c r="AZ36" s="231"/>
      <c r="BA36" s="221"/>
      <c r="BB36" s="221"/>
      <c r="BC36" s="233" t="s">
        <v>128</v>
      </c>
    </row>
    <row r="37" spans="1:55" ht="12.5">
      <c r="A37" s="220">
        <f t="shared" si="6"/>
        <v>36</v>
      </c>
      <c r="B37" s="221" t="s">
        <v>394</v>
      </c>
      <c r="C37" s="221" t="s">
        <v>341</v>
      </c>
      <c r="D37" s="221" t="s">
        <v>365</v>
      </c>
      <c r="E37" s="221" t="s">
        <v>366</v>
      </c>
      <c r="F37" s="221" t="s">
        <v>2296</v>
      </c>
      <c r="G37" s="222" t="s">
        <v>2448</v>
      </c>
      <c r="H37" s="319" t="s">
        <v>154</v>
      </c>
      <c r="I37" s="221" t="s">
        <v>1869</v>
      </c>
      <c r="J37" s="221" t="s">
        <v>2458</v>
      </c>
      <c r="K37" s="221" t="s">
        <v>2457</v>
      </c>
      <c r="L37" s="307">
        <v>-74815838</v>
      </c>
      <c r="M37" s="307">
        <v>10947916</v>
      </c>
      <c r="N37" s="223"/>
      <c r="O37" s="223"/>
      <c r="P37" s="224"/>
      <c r="Q37" s="228"/>
      <c r="R37" s="228"/>
      <c r="S37" s="225"/>
      <c r="T37" s="228"/>
      <c r="U37" s="226"/>
      <c r="V37" s="226"/>
      <c r="W37" s="320"/>
      <c r="X37" s="320"/>
      <c r="Y37" s="321"/>
      <c r="Z37" s="225"/>
      <c r="AA37" s="225"/>
      <c r="AB37" s="225"/>
      <c r="AC37" s="227"/>
      <c r="AD37" s="322"/>
      <c r="AE37" s="221"/>
      <c r="AF37" s="223"/>
      <c r="AG37" s="223"/>
      <c r="AH37" s="223"/>
      <c r="AI37" s="221"/>
      <c r="AJ37" s="223"/>
      <c r="AK37" s="223"/>
      <c r="AL37" s="230"/>
      <c r="AM37" s="231"/>
      <c r="AN37" s="231"/>
      <c r="AO37" s="231"/>
      <c r="AP37" s="231"/>
      <c r="AQ37" s="231"/>
      <c r="AR37" s="231"/>
      <c r="AS37" s="231"/>
      <c r="AT37" s="231"/>
      <c r="AU37" s="231"/>
      <c r="AV37" s="231"/>
      <c r="AW37" s="231"/>
      <c r="AX37" s="231"/>
      <c r="AY37" s="231"/>
      <c r="AZ37" s="231"/>
      <c r="BA37" s="221"/>
      <c r="BB37" s="221"/>
      <c r="BC37" s="233"/>
    </row>
    <row r="38" spans="1:55" ht="12.5">
      <c r="A38" s="220">
        <f t="shared" si="6"/>
        <v>37</v>
      </c>
      <c r="B38" s="221" t="s">
        <v>394</v>
      </c>
      <c r="C38" s="221" t="s">
        <v>341</v>
      </c>
      <c r="D38" s="221" t="s">
        <v>365</v>
      </c>
      <c r="E38" s="221" t="s">
        <v>366</v>
      </c>
      <c r="F38" s="221" t="s">
        <v>2296</v>
      </c>
      <c r="G38" s="222" t="s">
        <v>2445</v>
      </c>
      <c r="H38" s="319" t="s">
        <v>154</v>
      </c>
      <c r="I38" s="221" t="s">
        <v>2459</v>
      </c>
      <c r="J38" s="221" t="s">
        <v>2461</v>
      </c>
      <c r="K38" s="221" t="s">
        <v>2460</v>
      </c>
      <c r="L38" s="307">
        <v>-74844167</v>
      </c>
      <c r="M38" s="307">
        <v>10957133</v>
      </c>
      <c r="N38" s="223"/>
      <c r="O38" s="223"/>
      <c r="P38" s="224"/>
      <c r="Q38" s="228"/>
      <c r="R38" s="228"/>
      <c r="S38" s="225"/>
      <c r="T38" s="228"/>
      <c r="U38" s="226"/>
      <c r="V38" s="226"/>
      <c r="W38" s="320"/>
      <c r="X38" s="320"/>
      <c r="Y38" s="321"/>
      <c r="Z38" s="225"/>
      <c r="AA38" s="225"/>
      <c r="AB38" s="225"/>
      <c r="AC38" s="227"/>
      <c r="AD38" s="322"/>
      <c r="AE38" s="221"/>
      <c r="AF38" s="223"/>
      <c r="AG38" s="223"/>
      <c r="AH38" s="223"/>
      <c r="AI38" s="221"/>
      <c r="AJ38" s="223"/>
      <c r="AK38" s="223"/>
      <c r="AL38" s="230"/>
      <c r="AM38" s="231"/>
      <c r="AN38" s="231"/>
      <c r="AO38" s="231"/>
      <c r="AP38" s="231"/>
      <c r="AQ38" s="231"/>
      <c r="AR38" s="231"/>
      <c r="AS38" s="231"/>
      <c r="AT38" s="231"/>
      <c r="AU38" s="231"/>
      <c r="AV38" s="231"/>
      <c r="AW38" s="231"/>
      <c r="AX38" s="231"/>
      <c r="AY38" s="231"/>
      <c r="AZ38" s="231"/>
      <c r="BA38" s="221"/>
      <c r="BB38" s="221"/>
      <c r="BC38" s="233"/>
    </row>
    <row r="39" spans="1:55" ht="12.5">
      <c r="A39" s="220">
        <f t="shared" si="6"/>
        <v>38</v>
      </c>
      <c r="B39" s="221" t="s">
        <v>394</v>
      </c>
      <c r="C39" s="221" t="s">
        <v>341</v>
      </c>
      <c r="D39" s="221" t="s">
        <v>365</v>
      </c>
      <c r="E39" s="221" t="s">
        <v>366</v>
      </c>
      <c r="F39" s="221" t="s">
        <v>2296</v>
      </c>
      <c r="G39" s="222" t="s">
        <v>2444</v>
      </c>
      <c r="H39" s="319" t="s">
        <v>411</v>
      </c>
      <c r="I39" s="221" t="s">
        <v>2462</v>
      </c>
      <c r="J39" s="221" t="s">
        <v>2464</v>
      </c>
      <c r="K39" s="221" t="s">
        <v>2463</v>
      </c>
      <c r="L39" s="307">
        <v>-74822025</v>
      </c>
      <c r="M39" s="307">
        <v>11014343</v>
      </c>
      <c r="N39" s="223"/>
      <c r="O39" s="223"/>
      <c r="P39" s="224"/>
      <c r="Q39" s="228"/>
      <c r="R39" s="228"/>
      <c r="S39" s="225"/>
      <c r="T39" s="228"/>
      <c r="U39" s="226"/>
      <c r="V39" s="226"/>
      <c r="W39" s="320"/>
      <c r="X39" s="320"/>
      <c r="Y39" s="321"/>
      <c r="Z39" s="225"/>
      <c r="AA39" s="225"/>
      <c r="AB39" s="225"/>
      <c r="AC39" s="227"/>
      <c r="AD39" s="322"/>
      <c r="AE39" s="221"/>
      <c r="AF39" s="223"/>
      <c r="AG39" s="223"/>
      <c r="AH39" s="223"/>
      <c r="AI39" s="221"/>
      <c r="AJ39" s="223"/>
      <c r="AK39" s="223"/>
      <c r="AL39" s="230"/>
      <c r="AM39" s="231"/>
      <c r="AN39" s="231"/>
      <c r="AO39" s="231"/>
      <c r="AP39" s="231"/>
      <c r="AQ39" s="231"/>
      <c r="AR39" s="231"/>
      <c r="AS39" s="231"/>
      <c r="AT39" s="231"/>
      <c r="AU39" s="231"/>
      <c r="AV39" s="231"/>
      <c r="AW39" s="231"/>
      <c r="AX39" s="231"/>
      <c r="AY39" s="231"/>
      <c r="AZ39" s="231"/>
      <c r="BA39" s="221"/>
      <c r="BB39" s="221"/>
      <c r="BC39" s="233"/>
    </row>
    <row r="40" spans="1:55" ht="12.5">
      <c r="A40" s="220">
        <f t="shared" si="6"/>
        <v>39</v>
      </c>
      <c r="B40" s="221" t="s">
        <v>394</v>
      </c>
      <c r="C40" s="221" t="s">
        <v>341</v>
      </c>
      <c r="D40" s="221" t="s">
        <v>365</v>
      </c>
      <c r="E40" s="221" t="s">
        <v>366</v>
      </c>
      <c r="F40" s="221" t="s">
        <v>2296</v>
      </c>
      <c r="G40" s="222" t="s">
        <v>2446</v>
      </c>
      <c r="H40" s="319" t="s">
        <v>582</v>
      </c>
      <c r="I40" s="221" t="s">
        <v>2467</v>
      </c>
      <c r="J40" s="221" t="s">
        <v>2465</v>
      </c>
      <c r="K40" s="221" t="s">
        <v>2466</v>
      </c>
      <c r="L40" s="307">
        <v>-74779594</v>
      </c>
      <c r="M40" s="307">
        <v>10964234</v>
      </c>
      <c r="N40" s="223"/>
      <c r="O40" s="223"/>
      <c r="P40" s="224"/>
      <c r="Q40" s="228"/>
      <c r="R40" s="228"/>
      <c r="S40" s="225"/>
      <c r="T40" s="228"/>
      <c r="U40" s="226"/>
      <c r="V40" s="226"/>
      <c r="W40" s="320"/>
      <c r="X40" s="320"/>
      <c r="Y40" s="321"/>
      <c r="Z40" s="225"/>
      <c r="AA40" s="225"/>
      <c r="AB40" s="225"/>
      <c r="AC40" s="227"/>
      <c r="AD40" s="322"/>
      <c r="AE40" s="221"/>
      <c r="AF40" s="223"/>
      <c r="AG40" s="223"/>
      <c r="AH40" s="223"/>
      <c r="AI40" s="221"/>
      <c r="AJ40" s="223"/>
      <c r="AK40" s="223"/>
      <c r="AL40" s="230"/>
      <c r="AM40" s="231"/>
      <c r="AN40" s="231"/>
      <c r="AO40" s="231"/>
      <c r="AP40" s="231"/>
      <c r="AQ40" s="231"/>
      <c r="AR40" s="231"/>
      <c r="AS40" s="231"/>
      <c r="AT40" s="231"/>
      <c r="AU40" s="231"/>
      <c r="AV40" s="231"/>
      <c r="AW40" s="231"/>
      <c r="AX40" s="231"/>
      <c r="AY40" s="231"/>
      <c r="AZ40" s="231"/>
      <c r="BA40" s="221"/>
      <c r="BB40" s="221"/>
      <c r="BC40" s="233"/>
    </row>
    <row r="41" spans="1:55" ht="12.5">
      <c r="A41" s="220">
        <f t="shared" si="6"/>
        <v>40</v>
      </c>
      <c r="B41" s="221" t="s">
        <v>394</v>
      </c>
      <c r="C41" s="221" t="s">
        <v>341</v>
      </c>
      <c r="D41" s="221" t="s">
        <v>365</v>
      </c>
      <c r="E41" s="221" t="s">
        <v>366</v>
      </c>
      <c r="F41" s="221" t="s">
        <v>367</v>
      </c>
      <c r="G41" s="222" t="s">
        <v>2447</v>
      </c>
      <c r="H41" s="319" t="s">
        <v>582</v>
      </c>
      <c r="I41" s="221" t="s">
        <v>2470</v>
      </c>
      <c r="J41" s="221" t="s">
        <v>2469</v>
      </c>
      <c r="K41" s="221" t="s">
        <v>2468</v>
      </c>
      <c r="L41" s="307">
        <v>-74798215</v>
      </c>
      <c r="M41" s="307">
        <v>10952332</v>
      </c>
      <c r="N41" s="223"/>
      <c r="O41" s="223"/>
      <c r="P41" s="224"/>
      <c r="Q41" s="228"/>
      <c r="R41" s="228"/>
      <c r="S41" s="225"/>
      <c r="T41" s="228"/>
      <c r="U41" s="226"/>
      <c r="V41" s="226"/>
      <c r="W41" s="320"/>
      <c r="X41" s="320"/>
      <c r="Y41" s="321"/>
      <c r="Z41" s="225"/>
      <c r="AA41" s="225"/>
      <c r="AB41" s="225"/>
      <c r="AC41" s="227"/>
      <c r="AD41" s="322"/>
      <c r="AE41" s="221"/>
      <c r="AF41" s="223"/>
      <c r="AG41" s="223"/>
      <c r="AH41" s="223"/>
      <c r="AI41" s="221"/>
      <c r="AJ41" s="223"/>
      <c r="AK41" s="223"/>
      <c r="AL41" s="230"/>
      <c r="AM41" s="231"/>
      <c r="AN41" s="231"/>
      <c r="AO41" s="231"/>
      <c r="AP41" s="231"/>
      <c r="AQ41" s="231"/>
      <c r="AR41" s="231"/>
      <c r="AS41" s="231"/>
      <c r="AT41" s="231"/>
      <c r="AU41" s="231"/>
      <c r="AV41" s="231"/>
      <c r="AW41" s="231"/>
      <c r="AX41" s="231"/>
      <c r="AY41" s="231"/>
      <c r="AZ41" s="231"/>
      <c r="BA41" s="221"/>
      <c r="BB41" s="221"/>
      <c r="BC41" s="233"/>
    </row>
    <row r="42" spans="1:55" ht="12.5">
      <c r="A42" s="220">
        <f t="shared" si="6"/>
        <v>41</v>
      </c>
      <c r="B42" s="221" t="s">
        <v>394</v>
      </c>
      <c r="C42" s="221" t="s">
        <v>341</v>
      </c>
      <c r="D42" s="221" t="s">
        <v>365</v>
      </c>
      <c r="E42" s="221" t="s">
        <v>366</v>
      </c>
      <c r="F42" s="221" t="s">
        <v>367</v>
      </c>
      <c r="G42" s="222" t="s">
        <v>2449</v>
      </c>
      <c r="H42" s="319" t="s">
        <v>582</v>
      </c>
      <c r="I42" s="221" t="s">
        <v>2472</v>
      </c>
      <c r="J42" s="221" t="s">
        <v>2473</v>
      </c>
      <c r="K42" s="221" t="s">
        <v>2471</v>
      </c>
      <c r="L42" s="307">
        <v>-74796735</v>
      </c>
      <c r="M42" s="307">
        <v>10946749</v>
      </c>
      <c r="N42" s="223"/>
      <c r="O42" s="223"/>
      <c r="P42" s="224"/>
      <c r="Q42" s="228"/>
      <c r="R42" s="228"/>
      <c r="S42" s="225"/>
      <c r="T42" s="228"/>
      <c r="U42" s="226"/>
      <c r="V42" s="226"/>
      <c r="W42" s="320"/>
      <c r="X42" s="320"/>
      <c r="Y42" s="321"/>
      <c r="Z42" s="225"/>
      <c r="AA42" s="225"/>
      <c r="AB42" s="225"/>
      <c r="AC42" s="227"/>
      <c r="AD42" s="322"/>
      <c r="AE42" s="221"/>
      <c r="AF42" s="223"/>
      <c r="AG42" s="223"/>
      <c r="AH42" s="223"/>
      <c r="AI42" s="221"/>
      <c r="AJ42" s="223"/>
      <c r="AK42" s="223"/>
      <c r="AL42" s="230"/>
      <c r="AM42" s="231"/>
      <c r="AN42" s="231"/>
      <c r="AO42" s="231"/>
      <c r="AP42" s="231"/>
      <c r="AQ42" s="231"/>
      <c r="AR42" s="231"/>
      <c r="AS42" s="231"/>
      <c r="AT42" s="231"/>
      <c r="AU42" s="231"/>
      <c r="AV42" s="231"/>
      <c r="AW42" s="231"/>
      <c r="AX42" s="231"/>
      <c r="AY42" s="231"/>
      <c r="AZ42" s="231"/>
      <c r="BA42" s="221"/>
      <c r="BB42" s="221"/>
      <c r="BC42" s="233"/>
    </row>
    <row r="43" spans="1:55" ht="12.5">
      <c r="A43" s="220">
        <f t="shared" si="6"/>
        <v>42</v>
      </c>
      <c r="B43" s="221" t="s">
        <v>394</v>
      </c>
      <c r="C43" s="221" t="s">
        <v>341</v>
      </c>
      <c r="D43" s="221" t="s">
        <v>365</v>
      </c>
      <c r="E43" s="221" t="s">
        <v>366</v>
      </c>
      <c r="F43" s="221" t="s">
        <v>367</v>
      </c>
      <c r="G43" s="222" t="s">
        <v>2450</v>
      </c>
      <c r="H43" s="319" t="s">
        <v>582</v>
      </c>
      <c r="I43" s="221" t="s">
        <v>2475</v>
      </c>
      <c r="J43" s="221" t="s">
        <v>2474</v>
      </c>
      <c r="K43" s="221" t="s">
        <v>2476</v>
      </c>
      <c r="L43" s="307">
        <v>-74786668</v>
      </c>
      <c r="M43" s="307">
        <v>10941457</v>
      </c>
      <c r="N43" s="223"/>
      <c r="O43" s="223"/>
      <c r="P43" s="224"/>
      <c r="Q43" s="228"/>
      <c r="R43" s="228"/>
      <c r="S43" s="225"/>
      <c r="T43" s="228"/>
      <c r="U43" s="226"/>
      <c r="V43" s="226"/>
      <c r="W43" s="320"/>
      <c r="X43" s="320"/>
      <c r="Y43" s="321"/>
      <c r="Z43" s="225"/>
      <c r="AA43" s="225"/>
      <c r="AB43" s="225"/>
      <c r="AC43" s="227"/>
      <c r="AD43" s="322"/>
      <c r="AE43" s="221"/>
      <c r="AF43" s="223"/>
      <c r="AG43" s="223"/>
      <c r="AH43" s="223"/>
      <c r="AI43" s="221"/>
      <c r="AJ43" s="223"/>
      <c r="AK43" s="223"/>
      <c r="AL43" s="230"/>
      <c r="AM43" s="231"/>
      <c r="AN43" s="231"/>
      <c r="AO43" s="231"/>
      <c r="AP43" s="231"/>
      <c r="AQ43" s="231"/>
      <c r="AR43" s="231"/>
      <c r="AS43" s="231"/>
      <c r="AT43" s="231"/>
      <c r="AU43" s="231"/>
      <c r="AV43" s="231"/>
      <c r="AW43" s="231"/>
      <c r="AX43" s="231"/>
      <c r="AY43" s="231"/>
      <c r="AZ43" s="231"/>
      <c r="BA43" s="221"/>
      <c r="BB43" s="221"/>
      <c r="BC43" s="233"/>
    </row>
    <row r="44" spans="1:55" ht="12.5">
      <c r="A44" s="220">
        <f t="shared" si="6"/>
        <v>43</v>
      </c>
      <c r="B44" s="221" t="s">
        <v>394</v>
      </c>
      <c r="C44" s="221" t="s">
        <v>341</v>
      </c>
      <c r="D44" s="221" t="s">
        <v>365</v>
      </c>
      <c r="E44" s="221" t="s">
        <v>366</v>
      </c>
      <c r="F44" s="221" t="s">
        <v>2451</v>
      </c>
      <c r="G44" s="222" t="s">
        <v>2452</v>
      </c>
      <c r="H44" s="319" t="s">
        <v>582</v>
      </c>
      <c r="I44" s="221" t="s">
        <v>686</v>
      </c>
      <c r="J44" s="221" t="s">
        <v>2478</v>
      </c>
      <c r="K44" s="221" t="s">
        <v>2477</v>
      </c>
      <c r="L44" s="307">
        <v>-74773234</v>
      </c>
      <c r="M44" s="307">
        <v>10946679</v>
      </c>
      <c r="N44" s="223"/>
      <c r="O44" s="223"/>
      <c r="P44" s="224"/>
      <c r="Q44" s="228"/>
      <c r="R44" s="228"/>
      <c r="S44" s="225"/>
      <c r="T44" s="228"/>
      <c r="U44" s="226"/>
      <c r="V44" s="226"/>
      <c r="W44" s="320"/>
      <c r="X44" s="320"/>
      <c r="Y44" s="321"/>
      <c r="Z44" s="225"/>
      <c r="AA44" s="225"/>
      <c r="AB44" s="225"/>
      <c r="AC44" s="227"/>
      <c r="AD44" s="322"/>
      <c r="AE44" s="221"/>
      <c r="AF44" s="223"/>
      <c r="AG44" s="223"/>
      <c r="AH44" s="223"/>
      <c r="AI44" s="221"/>
      <c r="AJ44" s="223"/>
      <c r="AK44" s="223"/>
      <c r="AL44" s="230"/>
      <c r="AM44" s="231"/>
      <c r="AN44" s="231"/>
      <c r="AO44" s="231"/>
      <c r="AP44" s="231"/>
      <c r="AQ44" s="231"/>
      <c r="AR44" s="231"/>
      <c r="AS44" s="231"/>
      <c r="AT44" s="231"/>
      <c r="AU44" s="231"/>
      <c r="AV44" s="231"/>
      <c r="AW44" s="231"/>
      <c r="AX44" s="231"/>
      <c r="AY44" s="231"/>
      <c r="AZ44" s="231"/>
      <c r="BA44" s="221"/>
      <c r="BB44" s="221"/>
      <c r="BC44" s="233"/>
    </row>
    <row r="45" spans="1:55" ht="12.5">
      <c r="A45" s="220">
        <f t="shared" si="6"/>
        <v>44</v>
      </c>
      <c r="B45" s="221" t="s">
        <v>394</v>
      </c>
      <c r="C45" s="221" t="s">
        <v>341</v>
      </c>
      <c r="D45" s="221" t="s">
        <v>365</v>
      </c>
      <c r="E45" s="221" t="s">
        <v>366</v>
      </c>
      <c r="F45" s="221" t="s">
        <v>2451</v>
      </c>
      <c r="G45" s="222" t="s">
        <v>2453</v>
      </c>
      <c r="H45" s="319"/>
      <c r="I45" s="221"/>
      <c r="J45" s="221"/>
      <c r="K45" s="221"/>
      <c r="L45" s="221"/>
      <c r="M45" s="221"/>
      <c r="N45" s="223"/>
      <c r="O45" s="223"/>
      <c r="P45" s="224"/>
      <c r="Q45" s="228"/>
      <c r="R45" s="228"/>
      <c r="S45" s="225"/>
      <c r="T45" s="228"/>
      <c r="U45" s="226"/>
      <c r="V45" s="226"/>
      <c r="W45" s="320"/>
      <c r="X45" s="320"/>
      <c r="Y45" s="321"/>
      <c r="Z45" s="225"/>
      <c r="AA45" s="225"/>
      <c r="AB45" s="225"/>
      <c r="AC45" s="227"/>
      <c r="AD45" s="322"/>
      <c r="AE45" s="221"/>
      <c r="AF45" s="223"/>
      <c r="AG45" s="223"/>
      <c r="AH45" s="223"/>
      <c r="AI45" s="221"/>
      <c r="AJ45" s="223"/>
      <c r="AK45" s="223"/>
      <c r="AL45" s="230"/>
      <c r="AM45" s="231"/>
      <c r="AN45" s="231"/>
      <c r="AO45" s="231"/>
      <c r="AP45" s="231"/>
      <c r="AQ45" s="231"/>
      <c r="AR45" s="231"/>
      <c r="AS45" s="231"/>
      <c r="AT45" s="231"/>
      <c r="AU45" s="231"/>
      <c r="AV45" s="231"/>
      <c r="AW45" s="231"/>
      <c r="AX45" s="231"/>
      <c r="AY45" s="231"/>
      <c r="AZ45" s="231"/>
      <c r="BA45" s="221"/>
      <c r="BB45" s="221"/>
      <c r="BC45" s="233"/>
    </row>
    <row r="46" spans="1:55" ht="12.5">
      <c r="A46" s="220">
        <f t="shared" si="6"/>
        <v>45</v>
      </c>
      <c r="B46" s="221" t="s">
        <v>394</v>
      </c>
      <c r="C46" s="221" t="s">
        <v>341</v>
      </c>
      <c r="D46" s="221" t="s">
        <v>365</v>
      </c>
      <c r="E46" s="221" t="s">
        <v>366</v>
      </c>
      <c r="F46" s="221" t="s">
        <v>2451</v>
      </c>
      <c r="G46" s="222" t="s">
        <v>2454</v>
      </c>
      <c r="H46" s="319"/>
      <c r="I46" s="221"/>
      <c r="J46" s="221"/>
      <c r="K46" s="221"/>
      <c r="L46" s="221"/>
      <c r="M46" s="221"/>
      <c r="N46" s="223"/>
      <c r="O46" s="223"/>
      <c r="P46" s="224"/>
      <c r="Q46" s="228"/>
      <c r="R46" s="228"/>
      <c r="S46" s="225"/>
      <c r="T46" s="228"/>
      <c r="U46" s="226"/>
      <c r="V46" s="226"/>
      <c r="W46" s="320"/>
      <c r="X46" s="320"/>
      <c r="Y46" s="321"/>
      <c r="Z46" s="225"/>
      <c r="AA46" s="225"/>
      <c r="AB46" s="225"/>
      <c r="AC46" s="227"/>
      <c r="AD46" s="322"/>
      <c r="AE46" s="221"/>
      <c r="AF46" s="223"/>
      <c r="AG46" s="223"/>
      <c r="AH46" s="223"/>
      <c r="AI46" s="221"/>
      <c r="AJ46" s="223"/>
      <c r="AK46" s="223"/>
      <c r="AL46" s="230"/>
      <c r="AM46" s="231"/>
      <c r="AN46" s="231"/>
      <c r="AO46" s="231"/>
      <c r="AP46" s="231"/>
      <c r="AQ46" s="231"/>
      <c r="AR46" s="231"/>
      <c r="AS46" s="231"/>
      <c r="AT46" s="231"/>
      <c r="AU46" s="231"/>
      <c r="AV46" s="231"/>
      <c r="AW46" s="231"/>
      <c r="AX46" s="231"/>
      <c r="AY46" s="231"/>
      <c r="AZ46" s="231"/>
      <c r="BA46" s="221"/>
      <c r="BB46" s="221"/>
      <c r="BC46" s="233"/>
    </row>
    <row r="47" spans="1:55" ht="12.5">
      <c r="A47" s="220">
        <f t="shared" si="6"/>
        <v>46</v>
      </c>
      <c r="B47" s="221" t="s">
        <v>394</v>
      </c>
      <c r="C47" s="221" t="s">
        <v>341</v>
      </c>
      <c r="D47" s="221" t="s">
        <v>365</v>
      </c>
      <c r="E47" s="221" t="s">
        <v>366</v>
      </c>
      <c r="F47" s="221" t="s">
        <v>2451</v>
      </c>
      <c r="G47" s="222" t="s">
        <v>2455</v>
      </c>
      <c r="H47" s="319"/>
      <c r="I47" s="221"/>
      <c r="J47" s="221"/>
      <c r="K47" s="221"/>
      <c r="L47" s="221"/>
      <c r="M47" s="221"/>
      <c r="N47" s="223"/>
      <c r="O47" s="223"/>
      <c r="P47" s="224"/>
      <c r="Q47" s="228"/>
      <c r="R47" s="228"/>
      <c r="S47" s="225"/>
      <c r="T47" s="228"/>
      <c r="U47" s="226"/>
      <c r="V47" s="226"/>
      <c r="W47" s="320"/>
      <c r="X47" s="320"/>
      <c r="Y47" s="321"/>
      <c r="Z47" s="225"/>
      <c r="AA47" s="225"/>
      <c r="AB47" s="225"/>
      <c r="AC47" s="227"/>
      <c r="AD47" s="322"/>
      <c r="AE47" s="221"/>
      <c r="AF47" s="223"/>
      <c r="AG47" s="223"/>
      <c r="AH47" s="223"/>
      <c r="AI47" s="221"/>
      <c r="AJ47" s="223"/>
      <c r="AK47" s="223"/>
      <c r="AL47" s="230"/>
      <c r="AM47" s="231"/>
      <c r="AN47" s="231"/>
      <c r="AO47" s="231"/>
      <c r="AP47" s="231"/>
      <c r="AQ47" s="231"/>
      <c r="AR47" s="231"/>
      <c r="AS47" s="231"/>
      <c r="AT47" s="231"/>
      <c r="AU47" s="231"/>
      <c r="AV47" s="231"/>
      <c r="AW47" s="231"/>
      <c r="AX47" s="231"/>
      <c r="AY47" s="231"/>
      <c r="AZ47" s="231"/>
      <c r="BA47" s="221"/>
      <c r="BB47" s="221"/>
      <c r="BC47" s="233"/>
    </row>
    <row r="48" spans="1:55" ht="12.5">
      <c r="A48" s="220">
        <f t="shared" si="6"/>
        <v>47</v>
      </c>
      <c r="B48" s="221" t="s">
        <v>394</v>
      </c>
      <c r="C48" s="221" t="s">
        <v>341</v>
      </c>
      <c r="D48" s="221" t="s">
        <v>365</v>
      </c>
      <c r="E48" s="221" t="s">
        <v>366</v>
      </c>
      <c r="F48" s="221" t="s">
        <v>2451</v>
      </c>
      <c r="G48" s="222" t="s">
        <v>2456</v>
      </c>
      <c r="H48" s="319"/>
      <c r="I48" s="221"/>
      <c r="J48" s="221"/>
      <c r="K48" s="221"/>
      <c r="L48" s="221"/>
      <c r="M48" s="221"/>
      <c r="N48" s="223"/>
      <c r="O48" s="223"/>
      <c r="P48" s="224"/>
      <c r="Q48" s="228"/>
      <c r="R48" s="228"/>
      <c r="S48" s="225"/>
      <c r="T48" s="228"/>
      <c r="U48" s="226"/>
      <c r="V48" s="226"/>
      <c r="W48" s="320"/>
      <c r="X48" s="320"/>
      <c r="Y48" s="321"/>
      <c r="Z48" s="225"/>
      <c r="AA48" s="225"/>
      <c r="AB48" s="225"/>
      <c r="AC48" s="227"/>
      <c r="AD48" s="322"/>
      <c r="AE48" s="221"/>
      <c r="AF48" s="223"/>
      <c r="AG48" s="223"/>
      <c r="AH48" s="223"/>
      <c r="AI48" s="221"/>
      <c r="AJ48" s="223"/>
      <c r="AK48" s="223"/>
      <c r="AL48" s="230"/>
      <c r="AM48" s="231"/>
      <c r="AN48" s="231"/>
      <c r="AO48" s="231"/>
      <c r="AP48" s="231"/>
      <c r="AQ48" s="231"/>
      <c r="AR48" s="231"/>
      <c r="AS48" s="231"/>
      <c r="AT48" s="231"/>
      <c r="AU48" s="231"/>
      <c r="AV48" s="231"/>
      <c r="AW48" s="231"/>
      <c r="AX48" s="231"/>
      <c r="AY48" s="231"/>
      <c r="AZ48" s="231"/>
      <c r="BA48" s="221"/>
      <c r="BB48" s="221"/>
      <c r="BC48" s="233"/>
    </row>
    <row r="49" spans="1:58" s="275" customFormat="1" ht="12.5">
      <c r="A49" s="220">
        <f t="shared" si="6"/>
        <v>48</v>
      </c>
      <c r="B49" s="221" t="s">
        <v>394</v>
      </c>
      <c r="C49" s="221" t="s">
        <v>341</v>
      </c>
      <c r="D49" s="221" t="s">
        <v>118</v>
      </c>
      <c r="E49" s="221" t="s">
        <v>314</v>
      </c>
      <c r="F49" s="221" t="s">
        <v>395</v>
      </c>
      <c r="G49" s="222" t="s">
        <v>396</v>
      </c>
      <c r="H49" s="221" t="s">
        <v>397</v>
      </c>
      <c r="I49" s="221" t="s">
        <v>398</v>
      </c>
      <c r="J49" s="221" t="s">
        <v>399</v>
      </c>
      <c r="K49" s="221" t="s">
        <v>400</v>
      </c>
      <c r="L49" s="221">
        <v>-74.778144444444493</v>
      </c>
      <c r="M49" s="221">
        <v>10.9869055555556</v>
      </c>
      <c r="N49" s="223" t="s">
        <v>228</v>
      </c>
      <c r="O49" s="230" t="s">
        <v>229</v>
      </c>
      <c r="P49" s="224">
        <f>+AO49+AT49</f>
        <v>18804848036</v>
      </c>
      <c r="Q49" s="225">
        <v>0.70579999999999998</v>
      </c>
      <c r="R49" s="225">
        <v>0.68489999999999995</v>
      </c>
      <c r="S49" s="225">
        <f t="shared" ref="S49:S101" si="16">+R49-Q49</f>
        <v>-2.090000000000003E-2</v>
      </c>
      <c r="T49" s="225" t="str" cm="1">
        <f t="array" ref="T49">+_xlfn.IFS($P49&lt;=10000000000,IF(S49&gt;-0.05,"Verde",IF(S49&lt;=-0.1,"Rojo","Amarillo")),$P49&gt;10000000000,IF(S49&gt;-0.03,"Verde",IF(S49&lt;=-0.07,"Rojo","Amarillo")))</f>
        <v>Verde</v>
      </c>
      <c r="U49" s="226"/>
      <c r="V49" s="226"/>
      <c r="W49" s="226">
        <v>45505</v>
      </c>
      <c r="X49" s="226">
        <v>45657</v>
      </c>
      <c r="Y49" s="272">
        <v>45976</v>
      </c>
      <c r="Z49" s="225" t="str">
        <f t="shared" ref="Z49:Z99" ca="1" si="17">+IF(AND(O49="En_Ejecución",OR(T49="Rojo",T49="Amarillo")),IF(($Y49-(TODAY())&lt;15),"Rojo",IF(($Y49-TODAY())&gt;=45,"Verde","Amarillo")),O49)</f>
        <v>En_Ejecución</v>
      </c>
      <c r="AA49" s="225"/>
      <c r="AB49" s="273"/>
      <c r="AC49" s="272"/>
      <c r="AD49" s="227">
        <v>0</v>
      </c>
      <c r="AE49" s="221" t="s">
        <v>401</v>
      </c>
      <c r="AF49" s="223" t="s">
        <v>402</v>
      </c>
      <c r="AG49" s="223"/>
      <c r="AH49" s="223" t="s">
        <v>350</v>
      </c>
      <c r="AI49" s="221" t="s">
        <v>403</v>
      </c>
      <c r="AJ49" s="223" t="s">
        <v>336</v>
      </c>
      <c r="AK49" s="223"/>
      <c r="AL49" s="230"/>
      <c r="AM49" s="231">
        <v>17404848036</v>
      </c>
      <c r="AN49" s="231">
        <v>0</v>
      </c>
      <c r="AO49" s="231">
        <f t="shared" ref="AO49:AO108" si="18">AM49+AN49</f>
        <v>17404848036</v>
      </c>
      <c r="AP49" s="231">
        <v>9036372759.4799995</v>
      </c>
      <c r="AQ49" s="231">
        <v>9036372759.4799995</v>
      </c>
      <c r="AR49" s="231">
        <v>1400000000</v>
      </c>
      <c r="AS49" s="231">
        <v>0</v>
      </c>
      <c r="AT49" s="231">
        <f t="shared" ref="AT49:AT87" si="19">AR49+AS49</f>
        <v>1400000000</v>
      </c>
      <c r="AU49" s="231">
        <v>679968181.95000005</v>
      </c>
      <c r="AV49" s="231">
        <v>679968181.95000005</v>
      </c>
      <c r="AW49" s="232"/>
      <c r="AX49" s="232"/>
      <c r="AY49" s="232"/>
      <c r="AZ49" s="232"/>
      <c r="BA49" s="221" t="s">
        <v>404</v>
      </c>
      <c r="BB49" s="221" t="s">
        <v>404</v>
      </c>
      <c r="BC49" s="233" t="s">
        <v>128</v>
      </c>
      <c r="BF49" s="276"/>
    </row>
    <row r="50" spans="1:58" ht="13.5" customHeight="1">
      <c r="A50" s="220">
        <f t="shared" si="6"/>
        <v>49</v>
      </c>
      <c r="B50" s="221" t="s">
        <v>405</v>
      </c>
      <c r="C50" s="221" t="s">
        <v>406</v>
      </c>
      <c r="D50" s="221" t="s">
        <v>407</v>
      </c>
      <c r="E50" s="221" t="s">
        <v>408</v>
      </c>
      <c r="F50" s="221" t="s">
        <v>409</v>
      </c>
      <c r="G50" s="222" t="s">
        <v>410</v>
      </c>
      <c r="H50" s="221" t="s">
        <v>411</v>
      </c>
      <c r="I50" s="221" t="s">
        <v>412</v>
      </c>
      <c r="J50" s="221"/>
      <c r="K50" s="221" t="s">
        <v>413</v>
      </c>
      <c r="L50" s="221">
        <v>-74.845851422432304</v>
      </c>
      <c r="M50" s="221">
        <v>11.0318148608629</v>
      </c>
      <c r="N50" s="223" t="s">
        <v>126</v>
      </c>
      <c r="O50" s="230" t="s">
        <v>127</v>
      </c>
      <c r="P50" s="224">
        <f>+AO50+AT50</f>
        <v>87873793990</v>
      </c>
      <c r="Q50" s="225">
        <v>1</v>
      </c>
      <c r="R50" s="225">
        <v>1</v>
      </c>
      <c r="S50" s="225">
        <f t="shared" si="16"/>
        <v>0</v>
      </c>
      <c r="T50" s="225" t="str" cm="1">
        <f t="array" ref="T50">+_xlfn.IFS($P50&lt;=10000000000,IF(S50&gt;-0.05,"Verde",IF(S50&lt;=-0.1,"Rojo","Amarillo")),$P50&gt;10000000000,IF(S50&gt;-0.03,"Verde",IF(S50&lt;=-0.07,"Rojo","Amarillo")))</f>
        <v>Verde</v>
      </c>
      <c r="U50" s="226">
        <v>44377</v>
      </c>
      <c r="V50" s="226">
        <v>44398</v>
      </c>
      <c r="W50" s="226">
        <v>44440</v>
      </c>
      <c r="X50" s="226">
        <v>44561</v>
      </c>
      <c r="Y50" s="272">
        <v>45378</v>
      </c>
      <c r="Z50" s="225" t="str">
        <f t="shared" ca="1" si="17"/>
        <v>Terminado</v>
      </c>
      <c r="AA50" s="225" t="str">
        <f t="shared" ref="AA50:AA108" ca="1" si="20">+IF(AND(Z50="Amarillo",T50="Rojo"),"En_Seguimiento",IF(AND(Z50="Rojo",T50="Amarillo"),"En_Seguimiento",IF(AND(Z50="Rojo",T50="Rojo"),"En_Seguimiento",IF(AND(Z50="Suspendido",T50="Amarillo"),"En_Seguimiento",IF(AND(Z50="Suspendido",T50="Rojo"),"En_Seguimiento","-")))))</f>
        <v>-</v>
      </c>
      <c r="AB50" s="273"/>
      <c r="AC50" s="272"/>
      <c r="AD50" s="227">
        <v>45378</v>
      </c>
      <c r="AE50" s="221" t="s">
        <v>414</v>
      </c>
      <c r="AF50" s="223" t="s">
        <v>415</v>
      </c>
      <c r="AG50" s="223" t="s">
        <v>416</v>
      </c>
      <c r="AH50" s="223" t="s">
        <v>417</v>
      </c>
      <c r="AI50" s="221" t="s">
        <v>418</v>
      </c>
      <c r="AJ50" s="223" t="s">
        <v>419</v>
      </c>
      <c r="AK50" s="223" t="s">
        <v>420</v>
      </c>
      <c r="AL50" s="230" t="s">
        <v>421</v>
      </c>
      <c r="AM50" s="231">
        <v>82464264620</v>
      </c>
      <c r="AN50" s="231">
        <v>0</v>
      </c>
      <c r="AO50" s="231">
        <f t="shared" si="18"/>
        <v>82464264620</v>
      </c>
      <c r="AP50" s="231">
        <v>82327509369.600006</v>
      </c>
      <c r="AQ50" s="231">
        <v>73910048311.380005</v>
      </c>
      <c r="AR50" s="231">
        <v>3974629750</v>
      </c>
      <c r="AS50" s="231">
        <v>1434899620</v>
      </c>
      <c r="AT50" s="231">
        <f t="shared" si="19"/>
        <v>5409529370</v>
      </c>
      <c r="AU50" s="231">
        <v>4693841462.6800003</v>
      </c>
      <c r="AV50" s="231">
        <v>4593841462.7299995</v>
      </c>
      <c r="AW50" s="232" t="s">
        <v>422</v>
      </c>
      <c r="AX50" s="232" t="s">
        <v>423</v>
      </c>
      <c r="AY50" s="232" t="s">
        <v>424</v>
      </c>
      <c r="AZ50" s="232" t="s">
        <v>425</v>
      </c>
      <c r="BA50" s="221" t="s">
        <v>426</v>
      </c>
      <c r="BB50" s="221"/>
      <c r="BC50" s="233" t="s">
        <v>364</v>
      </c>
      <c r="BF50" s="51"/>
    </row>
    <row r="51" spans="1:58" ht="13.5" customHeight="1">
      <c r="A51" s="220">
        <f t="shared" si="6"/>
        <v>50</v>
      </c>
      <c r="B51" s="221" t="s">
        <v>405</v>
      </c>
      <c r="C51" s="221" t="s">
        <v>29</v>
      </c>
      <c r="D51" s="221" t="s">
        <v>407</v>
      </c>
      <c r="E51" s="221" t="s">
        <v>408</v>
      </c>
      <c r="F51" s="221" t="s">
        <v>409</v>
      </c>
      <c r="G51" s="222" t="s">
        <v>427</v>
      </c>
      <c r="H51" s="221" t="s">
        <v>411</v>
      </c>
      <c r="I51" s="221" t="s">
        <v>412</v>
      </c>
      <c r="J51" s="221"/>
      <c r="K51" s="221" t="s">
        <v>428</v>
      </c>
      <c r="L51" s="221">
        <v>-74.838555555555502</v>
      </c>
      <c r="M51" s="221">
        <v>11.0354166666667</v>
      </c>
      <c r="N51" s="223" t="s">
        <v>126</v>
      </c>
      <c r="O51" s="230" t="s">
        <v>127</v>
      </c>
      <c r="P51" s="224">
        <f>+AO51+AT51</f>
        <v>116179263051</v>
      </c>
      <c r="Q51" s="225">
        <v>1</v>
      </c>
      <c r="R51" s="225">
        <v>1</v>
      </c>
      <c r="S51" s="225">
        <f t="shared" si="16"/>
        <v>0</v>
      </c>
      <c r="T51" s="225" t="str" cm="1">
        <f t="array" ref="T51">+_xlfn.IFS($P51&lt;=10000000000,IF(S51&gt;-0.05,"Verde",IF(S51&lt;=-0.1,"Rojo","Amarillo")),$P51&gt;10000000000,IF(S51&gt;-0.03,"Verde",IF(S51&lt;=-0.07,"Rojo","Amarillo")))</f>
        <v>Verde</v>
      </c>
      <c r="U51" s="226">
        <v>44609</v>
      </c>
      <c r="V51" s="226">
        <v>44622</v>
      </c>
      <c r="W51" s="226">
        <v>44697</v>
      </c>
      <c r="X51" s="226">
        <v>45001</v>
      </c>
      <c r="Y51" s="272">
        <v>45596</v>
      </c>
      <c r="Z51" s="225" t="str">
        <f t="shared" ca="1" si="17"/>
        <v>Terminado</v>
      </c>
      <c r="AA51" s="225" t="str">
        <f t="shared" ca="1" si="20"/>
        <v>-</v>
      </c>
      <c r="AB51" s="273"/>
      <c r="AC51" s="272"/>
      <c r="AD51" s="227">
        <v>45596</v>
      </c>
      <c r="AE51" s="221" t="s">
        <v>429</v>
      </c>
      <c r="AF51" s="223" t="s">
        <v>430</v>
      </c>
      <c r="AG51" s="223" t="s">
        <v>431</v>
      </c>
      <c r="AH51" s="223" t="s">
        <v>432</v>
      </c>
      <c r="AI51" s="221" t="s">
        <v>433</v>
      </c>
      <c r="AJ51" s="223" t="s">
        <v>434</v>
      </c>
      <c r="AK51" s="223" t="s">
        <v>435</v>
      </c>
      <c r="AL51" s="230" t="s">
        <v>436</v>
      </c>
      <c r="AM51" s="231">
        <v>113014745304</v>
      </c>
      <c r="AN51" s="231">
        <v>0</v>
      </c>
      <c r="AO51" s="231">
        <f t="shared" si="18"/>
        <v>113014745304</v>
      </c>
      <c r="AP51" s="231">
        <v>101711034755.38</v>
      </c>
      <c r="AQ51" s="231">
        <v>101711029755.77</v>
      </c>
      <c r="AR51" s="231">
        <v>2656000579</v>
      </c>
      <c r="AS51" s="231">
        <v>508517168</v>
      </c>
      <c r="AT51" s="231">
        <f t="shared" si="19"/>
        <v>3164517747</v>
      </c>
      <c r="AU51" s="231">
        <v>2848065970.77</v>
      </c>
      <c r="AV51" s="231">
        <v>2848065970.77</v>
      </c>
      <c r="AW51" s="232" t="s">
        <v>422</v>
      </c>
      <c r="AX51" s="232" t="s">
        <v>423</v>
      </c>
      <c r="AY51" s="232" t="s">
        <v>424</v>
      </c>
      <c r="AZ51" s="232" t="s">
        <v>425</v>
      </c>
      <c r="BA51" s="221" t="s">
        <v>426</v>
      </c>
      <c r="BB51" s="221"/>
      <c r="BC51" s="233" t="s">
        <v>364</v>
      </c>
      <c r="BF51" s="51"/>
    </row>
    <row r="52" spans="1:58" ht="13.5" customHeight="1">
      <c r="A52" s="220">
        <f t="shared" si="6"/>
        <v>51</v>
      </c>
      <c r="B52" s="221" t="s">
        <v>405</v>
      </c>
      <c r="C52" s="221" t="s">
        <v>406</v>
      </c>
      <c r="D52" s="221" t="s">
        <v>407</v>
      </c>
      <c r="E52" s="221" t="s">
        <v>408</v>
      </c>
      <c r="F52" s="221" t="s">
        <v>437</v>
      </c>
      <c r="G52" s="222" t="s">
        <v>438</v>
      </c>
      <c r="H52" s="221" t="s">
        <v>411</v>
      </c>
      <c r="I52" s="221" t="s">
        <v>439</v>
      </c>
      <c r="J52" s="221"/>
      <c r="K52" s="221" t="s">
        <v>440</v>
      </c>
      <c r="L52" s="221">
        <v>-74.829961787238304</v>
      </c>
      <c r="M52" s="221">
        <v>11.045700454577201</v>
      </c>
      <c r="N52" s="223" t="s">
        <v>126</v>
      </c>
      <c r="O52" s="230" t="s">
        <v>127</v>
      </c>
      <c r="P52" s="224">
        <f>+AO52+AT52</f>
        <v>51953167680.759995</v>
      </c>
      <c r="Q52" s="225">
        <v>1</v>
      </c>
      <c r="R52" s="225">
        <v>1</v>
      </c>
      <c r="S52" s="225">
        <f t="shared" si="16"/>
        <v>0</v>
      </c>
      <c r="T52" s="225" t="str" cm="1">
        <f t="array" ref="T52">+_xlfn.IFS($P52&lt;=10000000000,IF(S52&gt;-0.05,"Verde",IF(S52&lt;=-0.1,"Rojo","Amarillo")),$P52&gt;10000000000,IF(S52&gt;-0.03,"Verde",IF(S52&lt;=-0.07,"Rojo","Amarillo")))</f>
        <v>Verde</v>
      </c>
      <c r="U52" s="226">
        <v>44434</v>
      </c>
      <c r="V52" s="226">
        <v>44494</v>
      </c>
      <c r="W52" s="226">
        <v>44529</v>
      </c>
      <c r="X52" s="226">
        <v>44561</v>
      </c>
      <c r="Y52" s="272">
        <v>45565</v>
      </c>
      <c r="Z52" s="225" t="str">
        <f t="shared" ca="1" si="17"/>
        <v>Terminado</v>
      </c>
      <c r="AA52" s="225" t="str">
        <f t="shared" ca="1" si="20"/>
        <v>-</v>
      </c>
      <c r="AB52" s="273"/>
      <c r="AC52" s="272"/>
      <c r="AD52" s="227">
        <v>45565</v>
      </c>
      <c r="AE52" s="221" t="s">
        <v>441</v>
      </c>
      <c r="AF52" s="223" t="s">
        <v>442</v>
      </c>
      <c r="AG52" s="223" t="s">
        <v>443</v>
      </c>
      <c r="AH52" s="223" t="s">
        <v>444</v>
      </c>
      <c r="AI52" s="221" t="s">
        <v>445</v>
      </c>
      <c r="AJ52" s="223" t="s">
        <v>446</v>
      </c>
      <c r="AK52" s="223" t="s">
        <v>447</v>
      </c>
      <c r="AL52" s="230" t="s">
        <v>448</v>
      </c>
      <c r="AM52" s="231">
        <v>34080465796</v>
      </c>
      <c r="AN52" s="231">
        <v>13111924219.759998</v>
      </c>
      <c r="AO52" s="231">
        <f t="shared" si="18"/>
        <v>47192390015.759995</v>
      </c>
      <c r="AP52" s="231">
        <v>44244542052.089996</v>
      </c>
      <c r="AQ52" s="231">
        <v>41198260008.18</v>
      </c>
      <c r="AR52" s="231">
        <v>1526326725</v>
      </c>
      <c r="AS52" s="231">
        <v>3234450940</v>
      </c>
      <c r="AT52" s="231">
        <f t="shared" si="19"/>
        <v>4760777665</v>
      </c>
      <c r="AU52" s="231">
        <v>4387474665</v>
      </c>
      <c r="AV52" s="231">
        <v>3255898850.0999999</v>
      </c>
      <c r="AW52" s="232" t="s">
        <v>449</v>
      </c>
      <c r="AX52" s="232" t="s">
        <v>450</v>
      </c>
      <c r="AY52" s="232" t="s">
        <v>451</v>
      </c>
      <c r="AZ52" s="232" t="s">
        <v>452</v>
      </c>
      <c r="BA52" s="221" t="s">
        <v>426</v>
      </c>
      <c r="BB52" s="221" t="s">
        <v>453</v>
      </c>
      <c r="BC52" s="233" t="s">
        <v>364</v>
      </c>
      <c r="BF52" s="51"/>
    </row>
    <row r="53" spans="1:58" ht="13.5" customHeight="1">
      <c r="A53" s="220">
        <f t="shared" si="6"/>
        <v>52</v>
      </c>
      <c r="B53" s="221" t="s">
        <v>405</v>
      </c>
      <c r="C53" s="221" t="s">
        <v>454</v>
      </c>
      <c r="D53" s="221" t="s">
        <v>407</v>
      </c>
      <c r="E53" s="221" t="s">
        <v>408</v>
      </c>
      <c r="F53" s="221" t="s">
        <v>455</v>
      </c>
      <c r="G53" s="222" t="s">
        <v>456</v>
      </c>
      <c r="H53" s="221" t="s">
        <v>411</v>
      </c>
      <c r="I53" s="221" t="s">
        <v>439</v>
      </c>
      <c r="J53" s="221"/>
      <c r="K53" s="221" t="s">
        <v>457</v>
      </c>
      <c r="L53" s="221">
        <v>-74.844957557629101</v>
      </c>
      <c r="M53" s="221">
        <v>11.0602146381484</v>
      </c>
      <c r="N53" s="223" t="s">
        <v>126</v>
      </c>
      <c r="O53" s="230" t="s">
        <v>127</v>
      </c>
      <c r="P53" s="224">
        <f>+AO53+AT53</f>
        <v>25046584645</v>
      </c>
      <c r="Q53" s="225">
        <v>1</v>
      </c>
      <c r="R53" s="225">
        <v>1</v>
      </c>
      <c r="S53" s="225">
        <f t="shared" si="16"/>
        <v>0</v>
      </c>
      <c r="T53" s="225" t="str" cm="1">
        <f t="array" ref="T53">+_xlfn.IFS($P53&lt;=10000000000,IF(S53&gt;-0.05,"Verde",IF(S53&lt;=-0.1,"Rojo","Amarillo")),$P53&gt;10000000000,IF(S53&gt;-0.03,"Verde",IF(S53&lt;=-0.07,"Rojo","Amarillo")))</f>
        <v>Verde</v>
      </c>
      <c r="U53" s="226">
        <v>44630</v>
      </c>
      <c r="V53" s="226">
        <v>44655</v>
      </c>
      <c r="W53" s="226">
        <v>44795</v>
      </c>
      <c r="X53" s="226">
        <v>44926</v>
      </c>
      <c r="Y53" s="272">
        <v>45596</v>
      </c>
      <c r="Z53" s="225" t="str">
        <f t="shared" ca="1" si="17"/>
        <v>Terminado</v>
      </c>
      <c r="AA53" s="225" t="str">
        <f t="shared" ca="1" si="20"/>
        <v>-</v>
      </c>
      <c r="AB53" s="273"/>
      <c r="AC53" s="272"/>
      <c r="AD53" s="227">
        <v>45596</v>
      </c>
      <c r="AE53" s="221" t="s">
        <v>458</v>
      </c>
      <c r="AF53" s="223" t="s">
        <v>459</v>
      </c>
      <c r="AG53" s="223" t="s">
        <v>460</v>
      </c>
      <c r="AH53" s="223" t="s">
        <v>461</v>
      </c>
      <c r="AI53" s="221" t="s">
        <v>462</v>
      </c>
      <c r="AJ53" s="223" t="s">
        <v>463</v>
      </c>
      <c r="AK53" s="223" t="s">
        <v>464</v>
      </c>
      <c r="AL53" s="230" t="s">
        <v>465</v>
      </c>
      <c r="AM53" s="231">
        <v>23091329705</v>
      </c>
      <c r="AN53" s="231"/>
      <c r="AO53" s="231">
        <f t="shared" si="18"/>
        <v>23091329705</v>
      </c>
      <c r="AP53" s="231">
        <v>27252197615.169998</v>
      </c>
      <c r="AQ53" s="231">
        <v>27252197615.169998</v>
      </c>
      <c r="AR53" s="231">
        <v>1673561307</v>
      </c>
      <c r="AS53" s="231">
        <v>281693633</v>
      </c>
      <c r="AT53" s="231">
        <f t="shared" si="19"/>
        <v>1955254940</v>
      </c>
      <c r="AU53" s="231">
        <v>1794573057</v>
      </c>
      <c r="AV53" s="231">
        <v>1464243451.8900001</v>
      </c>
      <c r="AW53" s="232" t="s">
        <v>449</v>
      </c>
      <c r="AX53" s="232" t="s">
        <v>466</v>
      </c>
      <c r="AY53" s="232" t="s">
        <v>467</v>
      </c>
      <c r="AZ53" s="232" t="s">
        <v>468</v>
      </c>
      <c r="BA53" s="221" t="s">
        <v>426</v>
      </c>
      <c r="BB53" s="221"/>
      <c r="BC53" s="233" t="s">
        <v>364</v>
      </c>
      <c r="BF53" s="51"/>
    </row>
    <row r="54" spans="1:58" ht="13.5" customHeight="1">
      <c r="A54" s="220">
        <f t="shared" si="6"/>
        <v>53</v>
      </c>
      <c r="B54" s="221" t="s">
        <v>405</v>
      </c>
      <c r="C54" s="221" t="s">
        <v>454</v>
      </c>
      <c r="D54" s="221" t="s">
        <v>407</v>
      </c>
      <c r="E54" s="221" t="s">
        <v>408</v>
      </c>
      <c r="F54" s="221" t="s">
        <v>455</v>
      </c>
      <c r="G54" s="222" t="s">
        <v>469</v>
      </c>
      <c r="H54" s="221" t="s">
        <v>411</v>
      </c>
      <c r="I54" s="221" t="s">
        <v>439</v>
      </c>
      <c r="J54" s="221"/>
      <c r="K54" s="221" t="s">
        <v>457</v>
      </c>
      <c r="L54" s="221"/>
      <c r="M54" s="221"/>
      <c r="N54" s="223" t="s">
        <v>126</v>
      </c>
      <c r="O54" s="230" t="s">
        <v>127</v>
      </c>
      <c r="P54" s="224">
        <v>15877908853.200001</v>
      </c>
      <c r="Q54" s="225">
        <v>1</v>
      </c>
      <c r="R54" s="225">
        <v>1</v>
      </c>
      <c r="S54" s="225">
        <f t="shared" si="16"/>
        <v>0</v>
      </c>
      <c r="T54" s="225" t="str" cm="1">
        <f t="array" ref="T54">+_xlfn.IFS($P54&lt;=10000000000,IF(S54&gt;-0.05,"Verde",IF(S54&lt;=-0.1,"Rojo","Amarillo")),$P54&gt;10000000000,IF(S54&gt;-0.03,"Verde",IF(S54&lt;=-0.07,"Rojo","Amarillo")))</f>
        <v>Verde</v>
      </c>
      <c r="U54" s="226">
        <v>44630</v>
      </c>
      <c r="V54" s="226">
        <v>44655</v>
      </c>
      <c r="W54" s="226">
        <v>45405</v>
      </c>
      <c r="X54" s="226">
        <v>45504</v>
      </c>
      <c r="Y54" s="272">
        <v>45596</v>
      </c>
      <c r="Z54" s="225" t="str">
        <f t="shared" ca="1" si="17"/>
        <v>Terminado</v>
      </c>
      <c r="AA54" s="225" t="str">
        <f t="shared" ca="1" si="20"/>
        <v>-</v>
      </c>
      <c r="AB54" s="273"/>
      <c r="AC54" s="272"/>
      <c r="AD54" s="227">
        <v>45596</v>
      </c>
      <c r="AE54" s="221" t="s">
        <v>458</v>
      </c>
      <c r="AF54" s="223" t="s">
        <v>459</v>
      </c>
      <c r="AG54" s="223" t="s">
        <v>460</v>
      </c>
      <c r="AH54" s="223" t="s">
        <v>461</v>
      </c>
      <c r="AI54" s="221" t="s">
        <v>462</v>
      </c>
      <c r="AJ54" s="223" t="s">
        <v>463</v>
      </c>
      <c r="AK54" s="223" t="s">
        <v>464</v>
      </c>
      <c r="AL54" s="230" t="s">
        <v>465</v>
      </c>
      <c r="AM54" s="231"/>
      <c r="AN54" s="231">
        <v>15009346085</v>
      </c>
      <c r="AO54" s="231">
        <f t="shared" si="18"/>
        <v>15009346085</v>
      </c>
      <c r="AP54" s="231"/>
      <c r="AQ54" s="231"/>
      <c r="AR54" s="231"/>
      <c r="AS54" s="231">
        <v>868562768.20000005</v>
      </c>
      <c r="AT54" s="231">
        <f t="shared" si="19"/>
        <v>868562768.20000005</v>
      </c>
      <c r="AU54" s="231"/>
      <c r="AV54" s="231"/>
      <c r="AW54" s="232" t="s">
        <v>449</v>
      </c>
      <c r="AX54" s="232" t="s">
        <v>466</v>
      </c>
      <c r="AY54" s="232" t="s">
        <v>467</v>
      </c>
      <c r="AZ54" s="232" t="s">
        <v>468</v>
      </c>
      <c r="BA54" s="221"/>
      <c r="BB54" s="221"/>
      <c r="BC54" s="233" t="s">
        <v>364</v>
      </c>
      <c r="BF54" s="51"/>
    </row>
    <row r="55" spans="1:58" ht="13.5" customHeight="1">
      <c r="A55" s="220">
        <f t="shared" si="6"/>
        <v>54</v>
      </c>
      <c r="B55" s="221" t="s">
        <v>405</v>
      </c>
      <c r="C55" s="221" t="s">
        <v>470</v>
      </c>
      <c r="D55" s="221" t="s">
        <v>118</v>
      </c>
      <c r="E55" s="221" t="s">
        <v>326</v>
      </c>
      <c r="F55" s="221" t="s">
        <v>342</v>
      </c>
      <c r="G55" s="222" t="s">
        <v>471</v>
      </c>
      <c r="H55" s="221" t="s">
        <v>411</v>
      </c>
      <c r="I55" s="221" t="s">
        <v>439</v>
      </c>
      <c r="J55" s="221" t="s">
        <v>472</v>
      </c>
      <c r="K55" s="221" t="s">
        <v>440</v>
      </c>
      <c r="L55" s="221">
        <v>-74.826944444444393</v>
      </c>
      <c r="M55" s="221">
        <v>11.045</v>
      </c>
      <c r="N55" s="223" t="s">
        <v>126</v>
      </c>
      <c r="O55" s="230" t="s">
        <v>372</v>
      </c>
      <c r="P55" s="224">
        <v>12636583690</v>
      </c>
      <c r="Q55" s="225">
        <v>1</v>
      </c>
      <c r="R55" s="225">
        <v>1</v>
      </c>
      <c r="S55" s="225">
        <f t="shared" si="16"/>
        <v>0</v>
      </c>
      <c r="T55" s="225" t="str" cm="1">
        <f t="array" ref="T55">+_xlfn.IFS($P55&lt;=10000000000,IF(S55&gt;-0.05,"Verde",IF(S55&lt;=-0.1,"Rojo","Amarillo")),$P55&gt;10000000000,IF(S55&gt;-0.03,"Verde",IF(S55&lt;=-0.07,"Rojo","Amarillo")))</f>
        <v>Verde</v>
      </c>
      <c r="U55" s="226">
        <v>44511</v>
      </c>
      <c r="V55" s="226">
        <v>44557</v>
      </c>
      <c r="W55" s="226">
        <v>44643</v>
      </c>
      <c r="X55" s="226">
        <v>44926</v>
      </c>
      <c r="Y55" s="272">
        <v>45540</v>
      </c>
      <c r="Z55" s="225" t="str">
        <f t="shared" ca="1" si="17"/>
        <v>Entregado</v>
      </c>
      <c r="AA55" s="225" t="str">
        <f t="shared" ca="1" si="20"/>
        <v>-</v>
      </c>
      <c r="AB55" s="273"/>
      <c r="AC55" s="272"/>
      <c r="AD55" s="227">
        <v>45540</v>
      </c>
      <c r="AE55" s="221" t="s">
        <v>473</v>
      </c>
      <c r="AF55" s="223" t="s">
        <v>474</v>
      </c>
      <c r="AG55" s="223" t="s">
        <v>475</v>
      </c>
      <c r="AH55" s="223" t="s">
        <v>476</v>
      </c>
      <c r="AI55" s="221" t="s">
        <v>477</v>
      </c>
      <c r="AJ55" s="223" t="s">
        <v>478</v>
      </c>
      <c r="AK55" s="223" t="s">
        <v>479</v>
      </c>
      <c r="AL55" s="230" t="s">
        <v>480</v>
      </c>
      <c r="AM55" s="231">
        <v>12636583690</v>
      </c>
      <c r="AN55" s="231">
        <v>0</v>
      </c>
      <c r="AO55" s="231">
        <f t="shared" si="18"/>
        <v>12636583690</v>
      </c>
      <c r="AP55" s="231">
        <v>80675437214.520004</v>
      </c>
      <c r="AQ55" s="231">
        <v>80502232639.990005</v>
      </c>
      <c r="AR55" s="231">
        <v>2506709098</v>
      </c>
      <c r="AS55" s="231">
        <v>2372520475</v>
      </c>
      <c r="AT55" s="231">
        <f t="shared" si="19"/>
        <v>4879229573</v>
      </c>
      <c r="AU55" s="231">
        <v>4520872712.4300003</v>
      </c>
      <c r="AV55" s="231">
        <v>3232977515.0700002</v>
      </c>
      <c r="AW55" s="232" t="s">
        <v>481</v>
      </c>
      <c r="AX55" s="232" t="s">
        <v>482</v>
      </c>
      <c r="AY55" s="232" t="s">
        <v>483</v>
      </c>
      <c r="AZ55" s="232" t="s">
        <v>484</v>
      </c>
      <c r="BA55" s="221"/>
      <c r="BB55" s="221"/>
      <c r="BC55" s="233" t="s">
        <v>364</v>
      </c>
      <c r="BF55" s="51"/>
    </row>
    <row r="56" spans="1:58" ht="13.5" customHeight="1">
      <c r="A56" s="220">
        <f t="shared" si="6"/>
        <v>55</v>
      </c>
      <c r="B56" s="221" t="s">
        <v>405</v>
      </c>
      <c r="C56" s="221" t="s">
        <v>470</v>
      </c>
      <c r="D56" s="221" t="s">
        <v>118</v>
      </c>
      <c r="E56" s="221" t="s">
        <v>326</v>
      </c>
      <c r="F56" s="221" t="s">
        <v>342</v>
      </c>
      <c r="G56" s="222" t="s">
        <v>485</v>
      </c>
      <c r="H56" s="221" t="s">
        <v>397</v>
      </c>
      <c r="I56" s="221" t="s">
        <v>486</v>
      </c>
      <c r="J56" s="221" t="s">
        <v>487</v>
      </c>
      <c r="K56" s="221" t="s">
        <v>488</v>
      </c>
      <c r="L56" s="221">
        <v>-74.781063619064199</v>
      </c>
      <c r="M56" s="221">
        <v>10.981995032310699</v>
      </c>
      <c r="N56" s="223" t="s">
        <v>126</v>
      </c>
      <c r="O56" s="230" t="s">
        <v>372</v>
      </c>
      <c r="P56" s="224">
        <v>7709538000</v>
      </c>
      <c r="Q56" s="225">
        <v>1</v>
      </c>
      <c r="R56" s="225">
        <v>1</v>
      </c>
      <c r="S56" s="225">
        <f t="shared" si="16"/>
        <v>0</v>
      </c>
      <c r="T56" s="225" t="str" cm="1">
        <f t="array" ref="T56">+_xlfn.IFS($P56&lt;=10000000000,IF(S56&gt;-0.05,"Verde",IF(S56&lt;=-0.1,"Rojo","Amarillo")),$P56&gt;10000000000,IF(S56&gt;-0.03,"Verde",IF(S56&lt;=-0.07,"Rojo","Amarillo")))</f>
        <v>Verde</v>
      </c>
      <c r="U56" s="226">
        <v>44511</v>
      </c>
      <c r="V56" s="226">
        <v>44557</v>
      </c>
      <c r="W56" s="226">
        <v>44643</v>
      </c>
      <c r="X56" s="226">
        <v>44926</v>
      </c>
      <c r="Y56" s="272">
        <v>45343</v>
      </c>
      <c r="Z56" s="225" t="str">
        <f t="shared" ca="1" si="17"/>
        <v>Entregado</v>
      </c>
      <c r="AA56" s="225" t="str">
        <f t="shared" ca="1" si="20"/>
        <v>-</v>
      </c>
      <c r="AB56" s="273"/>
      <c r="AC56" s="272"/>
      <c r="AD56" s="227">
        <v>45343</v>
      </c>
      <c r="AE56" s="221" t="s">
        <v>473</v>
      </c>
      <c r="AF56" s="223" t="s">
        <v>474</v>
      </c>
      <c r="AG56" s="223" t="s">
        <v>475</v>
      </c>
      <c r="AH56" s="223" t="s">
        <v>476</v>
      </c>
      <c r="AI56" s="221" t="s">
        <v>477</v>
      </c>
      <c r="AJ56" s="223" t="s">
        <v>478</v>
      </c>
      <c r="AK56" s="223" t="s">
        <v>479</v>
      </c>
      <c r="AL56" s="230" t="s">
        <v>480</v>
      </c>
      <c r="AM56" s="231">
        <v>7709538000</v>
      </c>
      <c r="AN56" s="231">
        <v>0</v>
      </c>
      <c r="AO56" s="231">
        <f t="shared" si="18"/>
        <v>7709538000</v>
      </c>
      <c r="AP56" s="231">
        <v>80675437214.520004</v>
      </c>
      <c r="AQ56" s="231">
        <v>80502232639.990005</v>
      </c>
      <c r="AR56" s="231">
        <v>2506709098</v>
      </c>
      <c r="AS56" s="231">
        <v>2372520475</v>
      </c>
      <c r="AT56" s="231">
        <f t="shared" si="19"/>
        <v>4879229573</v>
      </c>
      <c r="AU56" s="231">
        <v>4520872712.4300003</v>
      </c>
      <c r="AV56" s="231">
        <v>3232977515.0700002</v>
      </c>
      <c r="AW56" s="232" t="s">
        <v>489</v>
      </c>
      <c r="AX56" s="232" t="s">
        <v>482</v>
      </c>
      <c r="AY56" s="232" t="s">
        <v>490</v>
      </c>
      <c r="AZ56" s="232" t="s">
        <v>491</v>
      </c>
      <c r="BA56" s="221"/>
      <c r="BB56" s="221"/>
      <c r="BC56" s="233" t="s">
        <v>128</v>
      </c>
      <c r="BF56" s="51"/>
    </row>
    <row r="57" spans="1:58" ht="13.5" customHeight="1">
      <c r="A57" s="220">
        <f t="shared" si="6"/>
        <v>56</v>
      </c>
      <c r="B57" s="221" t="s">
        <v>405</v>
      </c>
      <c r="C57" s="221" t="s">
        <v>470</v>
      </c>
      <c r="D57" s="221" t="s">
        <v>118</v>
      </c>
      <c r="E57" s="221" t="s">
        <v>326</v>
      </c>
      <c r="F57" s="221" t="s">
        <v>342</v>
      </c>
      <c r="G57" s="222" t="s">
        <v>492</v>
      </c>
      <c r="H57" s="221" t="s">
        <v>397</v>
      </c>
      <c r="I57" s="221" t="s">
        <v>493</v>
      </c>
      <c r="J57" s="221"/>
      <c r="K57" s="221" t="s">
        <v>494</v>
      </c>
      <c r="L57" s="221">
        <v>-74.769972222222194</v>
      </c>
      <c r="M57" s="221">
        <v>10.9930555555556</v>
      </c>
      <c r="N57" s="223" t="s">
        <v>228</v>
      </c>
      <c r="O57" s="230" t="s">
        <v>229</v>
      </c>
      <c r="P57" s="224">
        <v>29920187933.189999</v>
      </c>
      <c r="Q57" s="225">
        <v>0.99</v>
      </c>
      <c r="R57" s="225">
        <v>0.93020000000000003</v>
      </c>
      <c r="S57" s="225">
        <f t="shared" si="16"/>
        <v>-5.9799999999999964E-2</v>
      </c>
      <c r="T57" s="225" t="str" cm="1">
        <f t="array" ref="T57">+_xlfn.IFS($P57&lt;=10000000000,IF(S57&gt;-0.05,"Verde",IF(S57&lt;=-0.1,"Rojo","Amarillo")),$P57&gt;10000000000,IF(S57&gt;-0.03,"Verde",IF(S57&lt;=-0.07,"Rojo","Amarillo")))</f>
        <v>Amarillo</v>
      </c>
      <c r="U57" s="226">
        <v>44511</v>
      </c>
      <c r="V57" s="226">
        <v>44557</v>
      </c>
      <c r="W57" s="226">
        <v>44643</v>
      </c>
      <c r="X57" s="226">
        <v>44926</v>
      </c>
      <c r="Y57" s="272">
        <v>45991</v>
      </c>
      <c r="Z57" s="225" t="str">
        <f t="shared" ca="1" si="17"/>
        <v>Amarillo</v>
      </c>
      <c r="AA57" s="225" t="str">
        <f t="shared" ca="1" si="20"/>
        <v>-</v>
      </c>
      <c r="AB57" s="273"/>
      <c r="AC57" s="272"/>
      <c r="AD57" s="227">
        <v>45991</v>
      </c>
      <c r="AE57" s="221" t="s">
        <v>473</v>
      </c>
      <c r="AF57" s="223" t="s">
        <v>474</v>
      </c>
      <c r="AG57" s="223" t="s">
        <v>475</v>
      </c>
      <c r="AH57" s="223" t="s">
        <v>476</v>
      </c>
      <c r="AI57" s="221" t="s">
        <v>477</v>
      </c>
      <c r="AJ57" s="223" t="s">
        <v>478</v>
      </c>
      <c r="AK57" s="223" t="s">
        <v>479</v>
      </c>
      <c r="AL57" s="230" t="s">
        <v>480</v>
      </c>
      <c r="AM57" s="231">
        <v>29920187933.189999</v>
      </c>
      <c r="AN57" s="231">
        <v>0</v>
      </c>
      <c r="AO57" s="231">
        <f t="shared" si="18"/>
        <v>29920187933.189999</v>
      </c>
      <c r="AP57" s="231">
        <v>80675437214.520004</v>
      </c>
      <c r="AQ57" s="231">
        <v>80502232639.990005</v>
      </c>
      <c r="AR57" s="231">
        <v>2506709098</v>
      </c>
      <c r="AS57" s="231">
        <v>2372520475</v>
      </c>
      <c r="AT57" s="231">
        <f t="shared" si="19"/>
        <v>4879229573</v>
      </c>
      <c r="AU57" s="231">
        <v>4520872712.4300003</v>
      </c>
      <c r="AV57" s="231">
        <v>3232977515.0700002</v>
      </c>
      <c r="AW57" s="232" t="s">
        <v>495</v>
      </c>
      <c r="AX57" s="232" t="s">
        <v>482</v>
      </c>
      <c r="AY57" s="232" t="s">
        <v>490</v>
      </c>
      <c r="AZ57" s="232" t="s">
        <v>491</v>
      </c>
      <c r="BA57" s="221"/>
      <c r="BB57" s="221"/>
      <c r="BC57" s="233" t="s">
        <v>364</v>
      </c>
      <c r="BF57" s="51"/>
    </row>
    <row r="58" spans="1:58" ht="13.5" customHeight="1">
      <c r="A58" s="220">
        <f t="shared" si="6"/>
        <v>57</v>
      </c>
      <c r="B58" s="221" t="s">
        <v>405</v>
      </c>
      <c r="C58" s="221" t="s">
        <v>470</v>
      </c>
      <c r="D58" s="221" t="s">
        <v>118</v>
      </c>
      <c r="E58" s="221" t="s">
        <v>326</v>
      </c>
      <c r="F58" s="221" t="s">
        <v>342</v>
      </c>
      <c r="G58" s="222" t="s">
        <v>496</v>
      </c>
      <c r="H58" s="221" t="s">
        <v>397</v>
      </c>
      <c r="I58" s="221" t="s">
        <v>497</v>
      </c>
      <c r="J58" s="221" t="s">
        <v>498</v>
      </c>
      <c r="K58" s="221" t="s">
        <v>499</v>
      </c>
      <c r="L58" s="221">
        <v>-74.775379475435997</v>
      </c>
      <c r="M58" s="221">
        <v>10.9793540249345</v>
      </c>
      <c r="N58" s="223" t="s">
        <v>126</v>
      </c>
      <c r="O58" s="230" t="s">
        <v>372</v>
      </c>
      <c r="P58" s="224">
        <v>1050450000</v>
      </c>
      <c r="Q58" s="225">
        <v>1</v>
      </c>
      <c r="R58" s="225">
        <v>1</v>
      </c>
      <c r="S58" s="225">
        <f t="shared" si="16"/>
        <v>0</v>
      </c>
      <c r="T58" s="225" t="str" cm="1">
        <f t="array" ref="T58">+_xlfn.IFS($P58&lt;=10000000000,IF(S58&gt;-0.05,"Verde",IF(S58&lt;=-0.1,"Rojo","Amarillo")),$P58&gt;10000000000,IF(S58&gt;-0.03,"Verde",IF(S58&lt;=-0.07,"Rojo","Amarillo")))</f>
        <v>Verde</v>
      </c>
      <c r="U58" s="226">
        <v>44511</v>
      </c>
      <c r="V58" s="226">
        <v>44557</v>
      </c>
      <c r="W58" s="226">
        <v>44643</v>
      </c>
      <c r="X58" s="226">
        <v>44926</v>
      </c>
      <c r="Y58" s="272">
        <v>45473</v>
      </c>
      <c r="Z58" s="225" t="str">
        <f t="shared" ca="1" si="17"/>
        <v>Entregado</v>
      </c>
      <c r="AA58" s="225" t="str">
        <f t="shared" ca="1" si="20"/>
        <v>-</v>
      </c>
      <c r="AB58" s="273"/>
      <c r="AC58" s="272"/>
      <c r="AD58" s="227">
        <v>45473</v>
      </c>
      <c r="AE58" s="221" t="s">
        <v>473</v>
      </c>
      <c r="AF58" s="223" t="s">
        <v>474</v>
      </c>
      <c r="AG58" s="223" t="s">
        <v>475</v>
      </c>
      <c r="AH58" s="223" t="s">
        <v>476</v>
      </c>
      <c r="AI58" s="221" t="s">
        <v>477</v>
      </c>
      <c r="AJ58" s="223" t="s">
        <v>478</v>
      </c>
      <c r="AK58" s="223" t="s">
        <v>479</v>
      </c>
      <c r="AL58" s="230" t="s">
        <v>480</v>
      </c>
      <c r="AM58" s="231">
        <v>1050450000</v>
      </c>
      <c r="AN58" s="231">
        <v>0</v>
      </c>
      <c r="AO58" s="231">
        <f t="shared" si="18"/>
        <v>1050450000</v>
      </c>
      <c r="AP58" s="231">
        <v>80675437214.520004</v>
      </c>
      <c r="AQ58" s="231">
        <v>80502232639.990005</v>
      </c>
      <c r="AR58" s="231">
        <v>2506709098</v>
      </c>
      <c r="AS58" s="231">
        <v>2372520475</v>
      </c>
      <c r="AT58" s="231">
        <f t="shared" si="19"/>
        <v>4879229573</v>
      </c>
      <c r="AU58" s="231">
        <v>4520872712.4300003</v>
      </c>
      <c r="AV58" s="231">
        <v>3232977515.0700002</v>
      </c>
      <c r="AW58" s="232" t="s">
        <v>500</v>
      </c>
      <c r="AX58" s="232" t="s">
        <v>501</v>
      </c>
      <c r="AY58" s="232" t="s">
        <v>502</v>
      </c>
      <c r="AZ58" s="232" t="s">
        <v>490</v>
      </c>
      <c r="BA58" s="221"/>
      <c r="BB58" s="221"/>
      <c r="BC58" s="233" t="s">
        <v>128</v>
      </c>
      <c r="BF58" s="51"/>
    </row>
    <row r="59" spans="1:58" ht="13.5" customHeight="1">
      <c r="A59" s="220">
        <f t="shared" ref="A59:A100" si="21">+A58+1</f>
        <v>58</v>
      </c>
      <c r="B59" s="221" t="s">
        <v>405</v>
      </c>
      <c r="C59" s="221" t="s">
        <v>470</v>
      </c>
      <c r="D59" s="221" t="s">
        <v>118</v>
      </c>
      <c r="E59" s="221" t="s">
        <v>326</v>
      </c>
      <c r="F59" s="221" t="s">
        <v>342</v>
      </c>
      <c r="G59" s="222" t="s">
        <v>503</v>
      </c>
      <c r="H59" s="221" t="s">
        <v>397</v>
      </c>
      <c r="I59" s="221" t="s">
        <v>504</v>
      </c>
      <c r="J59" s="221" t="s">
        <v>505</v>
      </c>
      <c r="K59" s="221" t="s">
        <v>506</v>
      </c>
      <c r="L59" s="221">
        <v>-74.775876790848201</v>
      </c>
      <c r="M59" s="221">
        <v>10.9865245262628</v>
      </c>
      <c r="N59" s="223" t="s">
        <v>126</v>
      </c>
      <c r="O59" s="230" t="s">
        <v>372</v>
      </c>
      <c r="P59" s="224">
        <v>2797245954</v>
      </c>
      <c r="Q59" s="225">
        <v>1</v>
      </c>
      <c r="R59" s="225">
        <v>1</v>
      </c>
      <c r="S59" s="225">
        <f t="shared" si="16"/>
        <v>0</v>
      </c>
      <c r="T59" s="225" t="str" cm="1">
        <f t="array" ref="T59">+_xlfn.IFS($P59&lt;=10000000000,IF(S59&gt;-0.05,"Verde",IF(S59&lt;=-0.1,"Rojo","Amarillo")),$P59&gt;10000000000,IF(S59&gt;-0.03,"Verde",IF(S59&lt;=-0.07,"Rojo","Amarillo")))</f>
        <v>Verde</v>
      </c>
      <c r="U59" s="226">
        <v>44511</v>
      </c>
      <c r="V59" s="226">
        <v>44557</v>
      </c>
      <c r="W59" s="226">
        <v>44643</v>
      </c>
      <c r="X59" s="226">
        <v>44926</v>
      </c>
      <c r="Y59" s="272">
        <v>45473</v>
      </c>
      <c r="Z59" s="225" t="str">
        <f t="shared" ca="1" si="17"/>
        <v>Entregado</v>
      </c>
      <c r="AA59" s="225" t="str">
        <f t="shared" ca="1" si="20"/>
        <v>-</v>
      </c>
      <c r="AB59" s="273"/>
      <c r="AC59" s="272"/>
      <c r="AD59" s="227">
        <v>45473</v>
      </c>
      <c r="AE59" s="221" t="s">
        <v>473</v>
      </c>
      <c r="AF59" s="223" t="s">
        <v>474</v>
      </c>
      <c r="AG59" s="223" t="s">
        <v>475</v>
      </c>
      <c r="AH59" s="223" t="s">
        <v>476</v>
      </c>
      <c r="AI59" s="221" t="s">
        <v>477</v>
      </c>
      <c r="AJ59" s="223" t="s">
        <v>478</v>
      </c>
      <c r="AK59" s="223" t="s">
        <v>479</v>
      </c>
      <c r="AL59" s="230" t="s">
        <v>480</v>
      </c>
      <c r="AM59" s="231">
        <v>2797245954</v>
      </c>
      <c r="AN59" s="231">
        <v>0</v>
      </c>
      <c r="AO59" s="231">
        <f t="shared" si="18"/>
        <v>2797245954</v>
      </c>
      <c r="AP59" s="231">
        <v>80675437214.520004</v>
      </c>
      <c r="AQ59" s="231">
        <v>80502232639.990005</v>
      </c>
      <c r="AR59" s="231">
        <v>2506709098</v>
      </c>
      <c r="AS59" s="231">
        <v>2372520475</v>
      </c>
      <c r="AT59" s="231">
        <f t="shared" si="19"/>
        <v>4879229573</v>
      </c>
      <c r="AU59" s="231">
        <v>4520872712.4300003</v>
      </c>
      <c r="AV59" s="231">
        <v>3232977515.0700002</v>
      </c>
      <c r="AW59" s="232" t="s">
        <v>507</v>
      </c>
      <c r="AX59" s="232" t="s">
        <v>508</v>
      </c>
      <c r="AY59" s="232" t="s">
        <v>490</v>
      </c>
      <c r="AZ59" s="232"/>
      <c r="BA59" s="221"/>
      <c r="BB59" s="221"/>
      <c r="BC59" s="233" t="s">
        <v>128</v>
      </c>
      <c r="BF59" s="51"/>
    </row>
    <row r="60" spans="1:58" ht="13.5" customHeight="1">
      <c r="A60" s="220">
        <f t="shared" si="21"/>
        <v>59</v>
      </c>
      <c r="B60" s="221" t="s">
        <v>405</v>
      </c>
      <c r="C60" s="221" t="s">
        <v>470</v>
      </c>
      <c r="D60" s="221" t="s">
        <v>118</v>
      </c>
      <c r="E60" s="221" t="s">
        <v>326</v>
      </c>
      <c r="F60" s="221" t="s">
        <v>342</v>
      </c>
      <c r="G60" s="222" t="s">
        <v>509</v>
      </c>
      <c r="H60" s="221" t="s">
        <v>397</v>
      </c>
      <c r="I60" s="221" t="s">
        <v>510</v>
      </c>
      <c r="J60" s="221" t="s">
        <v>511</v>
      </c>
      <c r="K60" s="221" t="s">
        <v>512</v>
      </c>
      <c r="L60" s="221">
        <v>-74.772587387278406</v>
      </c>
      <c r="M60" s="221">
        <v>10.9786919520834</v>
      </c>
      <c r="N60" s="223" t="s">
        <v>126</v>
      </c>
      <c r="O60" s="230" t="s">
        <v>372</v>
      </c>
      <c r="P60" s="224">
        <v>36506105153.07</v>
      </c>
      <c r="Q60" s="225">
        <v>1</v>
      </c>
      <c r="R60" s="225">
        <v>1</v>
      </c>
      <c r="S60" s="225">
        <f t="shared" si="16"/>
        <v>0</v>
      </c>
      <c r="T60" s="225" t="str" cm="1">
        <f t="array" ref="T60">+_xlfn.IFS($P60&lt;=10000000000,IF(S60&gt;-0.05,"Verde",IF(S60&lt;=-0.1,"Rojo","Amarillo")),$P60&gt;10000000000,IF(S60&gt;-0.03,"Verde",IF(S60&lt;=-0.07,"Rojo","Amarillo")))</f>
        <v>Verde</v>
      </c>
      <c r="U60" s="226">
        <v>44511</v>
      </c>
      <c r="V60" s="226">
        <v>44557</v>
      </c>
      <c r="W60" s="226">
        <v>44627</v>
      </c>
      <c r="X60" s="226">
        <v>44926</v>
      </c>
      <c r="Y60" s="272">
        <v>45214</v>
      </c>
      <c r="Z60" s="225" t="str">
        <f t="shared" ca="1" si="17"/>
        <v>Entregado</v>
      </c>
      <c r="AA60" s="225" t="str">
        <f t="shared" ca="1" si="20"/>
        <v>-</v>
      </c>
      <c r="AB60" s="273"/>
      <c r="AC60" s="272"/>
      <c r="AD60" s="227">
        <v>45214</v>
      </c>
      <c r="AE60" s="221" t="s">
        <v>513</v>
      </c>
      <c r="AF60" s="223" t="s">
        <v>514</v>
      </c>
      <c r="AG60" s="223" t="s">
        <v>515</v>
      </c>
      <c r="AH60" s="223" t="s">
        <v>516</v>
      </c>
      <c r="AI60" s="221" t="s">
        <v>517</v>
      </c>
      <c r="AJ60" s="223" t="s">
        <v>518</v>
      </c>
      <c r="AK60" s="223" t="s">
        <v>519</v>
      </c>
      <c r="AL60" s="230" t="s">
        <v>520</v>
      </c>
      <c r="AM60" s="231">
        <v>36506105153.07</v>
      </c>
      <c r="AN60" s="231">
        <v>0</v>
      </c>
      <c r="AO60" s="231">
        <f t="shared" si="18"/>
        <v>36506105153.07</v>
      </c>
      <c r="AP60" s="231">
        <v>36506105153.050003</v>
      </c>
      <c r="AQ60" s="231">
        <v>33656319525.029999</v>
      </c>
      <c r="AR60" s="231">
        <v>1549714271</v>
      </c>
      <c r="AS60" s="231">
        <v>197575700</v>
      </c>
      <c r="AT60" s="231">
        <f t="shared" si="19"/>
        <v>1747289971</v>
      </c>
      <c r="AU60" s="231">
        <v>1747289971.0000002</v>
      </c>
      <c r="AV60" s="231">
        <v>1615249862.8500001</v>
      </c>
      <c r="AW60" s="232" t="s">
        <v>521</v>
      </c>
      <c r="AX60" s="232" t="s">
        <v>482</v>
      </c>
      <c r="AY60" s="232" t="s">
        <v>490</v>
      </c>
      <c r="AZ60" s="232" t="s">
        <v>491</v>
      </c>
      <c r="BA60" s="221"/>
      <c r="BB60" s="221"/>
      <c r="BC60" s="233" t="s">
        <v>128</v>
      </c>
      <c r="BF60" s="51"/>
    </row>
    <row r="61" spans="1:58" ht="13.5" customHeight="1">
      <c r="A61" s="220">
        <f t="shared" si="21"/>
        <v>60</v>
      </c>
      <c r="B61" s="221" t="s">
        <v>405</v>
      </c>
      <c r="C61" s="221" t="s">
        <v>470</v>
      </c>
      <c r="D61" s="221" t="s">
        <v>118</v>
      </c>
      <c r="E61" s="221" t="s">
        <v>326</v>
      </c>
      <c r="F61" s="221" t="s">
        <v>342</v>
      </c>
      <c r="G61" s="222" t="s">
        <v>522</v>
      </c>
      <c r="H61" s="221" t="s">
        <v>397</v>
      </c>
      <c r="I61" s="221" t="s">
        <v>510</v>
      </c>
      <c r="J61" s="221" t="s">
        <v>523</v>
      </c>
      <c r="K61" s="221" t="s">
        <v>524</v>
      </c>
      <c r="L61" s="221"/>
      <c r="M61" s="221"/>
      <c r="N61" s="223" t="s">
        <v>126</v>
      </c>
      <c r="O61" s="230" t="s">
        <v>372</v>
      </c>
      <c r="P61" s="224">
        <v>1080269844</v>
      </c>
      <c r="Q61" s="225">
        <v>1</v>
      </c>
      <c r="R61" s="225">
        <v>1</v>
      </c>
      <c r="S61" s="225">
        <f t="shared" si="16"/>
        <v>0</v>
      </c>
      <c r="T61" s="225" t="str" cm="1">
        <f t="array" ref="T61">+_xlfn.IFS($P61&lt;=10000000000,IF(S61&gt;-0.05,"Verde",IF(S61&lt;=-0.1,"Rojo","Amarillo")),$P61&gt;10000000000,IF(S61&gt;-0.03,"Verde",IF(S61&lt;=-0.07,"Rojo","Amarillo")))</f>
        <v>Verde</v>
      </c>
      <c r="U61" s="226">
        <v>44511</v>
      </c>
      <c r="V61" s="226">
        <v>44557</v>
      </c>
      <c r="W61" s="226">
        <v>44643</v>
      </c>
      <c r="X61" s="226">
        <v>44906</v>
      </c>
      <c r="Y61" s="272">
        <v>45644</v>
      </c>
      <c r="Z61" s="225" t="str">
        <f t="shared" ca="1" si="17"/>
        <v>Entregado</v>
      </c>
      <c r="AA61" s="225" t="str">
        <f t="shared" ca="1" si="20"/>
        <v>-</v>
      </c>
      <c r="AB61" s="273"/>
      <c r="AC61" s="272"/>
      <c r="AD61" s="227">
        <v>45611</v>
      </c>
      <c r="AE61" s="221" t="s">
        <v>473</v>
      </c>
      <c r="AF61" s="223" t="s">
        <v>474</v>
      </c>
      <c r="AG61" s="223" t="s">
        <v>475</v>
      </c>
      <c r="AH61" s="223" t="s">
        <v>476</v>
      </c>
      <c r="AI61" s="221" t="s">
        <v>477</v>
      </c>
      <c r="AJ61" s="223" t="s">
        <v>478</v>
      </c>
      <c r="AK61" s="223" t="s">
        <v>479</v>
      </c>
      <c r="AL61" s="230" t="s">
        <v>480</v>
      </c>
      <c r="AM61" s="231">
        <v>1080269844</v>
      </c>
      <c r="AN61" s="231">
        <v>0</v>
      </c>
      <c r="AO61" s="231">
        <f t="shared" si="18"/>
        <v>1080269844</v>
      </c>
      <c r="AP61" s="231">
        <v>80675437214.520004</v>
      </c>
      <c r="AQ61" s="231">
        <v>80502232639.990005</v>
      </c>
      <c r="AR61" s="231">
        <v>2506709098</v>
      </c>
      <c r="AS61" s="231">
        <v>2372520475</v>
      </c>
      <c r="AT61" s="231">
        <f t="shared" si="19"/>
        <v>4879229573</v>
      </c>
      <c r="AU61" s="231">
        <v>4520872712.4300003</v>
      </c>
      <c r="AV61" s="231">
        <v>3232977515.0700002</v>
      </c>
      <c r="AW61" s="232"/>
      <c r="AX61" s="232"/>
      <c r="AY61" s="232"/>
      <c r="AZ61" s="232"/>
      <c r="BA61" s="221"/>
      <c r="BB61" s="221"/>
      <c r="BC61" s="233" t="s">
        <v>128</v>
      </c>
      <c r="BF61" s="51"/>
    </row>
    <row r="62" spans="1:58" ht="13.5" customHeight="1">
      <c r="A62" s="220">
        <f t="shared" si="21"/>
        <v>61</v>
      </c>
      <c r="B62" s="221" t="s">
        <v>405</v>
      </c>
      <c r="C62" s="221" t="s">
        <v>470</v>
      </c>
      <c r="D62" s="221" t="s">
        <v>118</v>
      </c>
      <c r="E62" s="221" t="s">
        <v>326</v>
      </c>
      <c r="F62" s="221" t="s">
        <v>342</v>
      </c>
      <c r="G62" s="222" t="s">
        <v>525</v>
      </c>
      <c r="H62" s="221" t="s">
        <v>397</v>
      </c>
      <c r="I62" s="221" t="s">
        <v>510</v>
      </c>
      <c r="J62" s="221" t="s">
        <v>526</v>
      </c>
      <c r="K62" s="221" t="s">
        <v>527</v>
      </c>
      <c r="L62" s="221"/>
      <c r="M62" s="221"/>
      <c r="N62" s="223" t="s">
        <v>228</v>
      </c>
      <c r="O62" s="230" t="s">
        <v>229</v>
      </c>
      <c r="P62" s="224">
        <v>30652617135</v>
      </c>
      <c r="Q62" s="225">
        <v>0.55700000000000005</v>
      </c>
      <c r="R62" s="225">
        <v>0.55700000000000005</v>
      </c>
      <c r="S62" s="225">
        <f t="shared" si="16"/>
        <v>0</v>
      </c>
      <c r="T62" s="225" t="str" cm="1">
        <f t="array" ref="T62">+_xlfn.IFS($P62&lt;=10000000000,IF(S62&gt;-0.05,"Verde",IF(S62&lt;=-0.1,"Rojo","Amarillo")),$P62&gt;10000000000,IF(S62&gt;-0.03,"Verde",IF(S62&lt;=-0.07,"Rojo","Amarillo")))</f>
        <v>Verde</v>
      </c>
      <c r="U62" s="226">
        <v>44511</v>
      </c>
      <c r="V62" s="226">
        <v>44557</v>
      </c>
      <c r="W62" s="226">
        <v>44643</v>
      </c>
      <c r="X62" s="226">
        <v>44906</v>
      </c>
      <c r="Y62" s="272">
        <v>45991</v>
      </c>
      <c r="Z62" s="225" t="str">
        <f t="shared" ca="1" si="17"/>
        <v>En_Ejecución</v>
      </c>
      <c r="AA62" s="225" t="str">
        <f t="shared" ca="1" si="20"/>
        <v>-</v>
      </c>
      <c r="AB62" s="273"/>
      <c r="AC62" s="272"/>
      <c r="AD62" s="227">
        <v>45991</v>
      </c>
      <c r="AE62" s="221" t="s">
        <v>473</v>
      </c>
      <c r="AF62" s="223" t="s">
        <v>474</v>
      </c>
      <c r="AG62" s="223" t="s">
        <v>475</v>
      </c>
      <c r="AH62" s="223" t="s">
        <v>476</v>
      </c>
      <c r="AI62" s="221" t="s">
        <v>477</v>
      </c>
      <c r="AJ62" s="223" t="s">
        <v>478</v>
      </c>
      <c r="AK62" s="223" t="s">
        <v>479</v>
      </c>
      <c r="AL62" s="230" t="s">
        <v>480</v>
      </c>
      <c r="AM62" s="231">
        <v>30652617135</v>
      </c>
      <c r="AN62" s="231">
        <v>0</v>
      </c>
      <c r="AO62" s="231">
        <f t="shared" si="18"/>
        <v>30652617135</v>
      </c>
      <c r="AP62" s="231">
        <v>80675437214.520004</v>
      </c>
      <c r="AQ62" s="231">
        <v>80502232639.990005</v>
      </c>
      <c r="AR62" s="231">
        <v>2506709098</v>
      </c>
      <c r="AS62" s="231">
        <v>2372520475</v>
      </c>
      <c r="AT62" s="231">
        <f t="shared" si="19"/>
        <v>4879229573</v>
      </c>
      <c r="AU62" s="231">
        <v>4520872712.4300003</v>
      </c>
      <c r="AV62" s="231">
        <v>3232977515.0700002</v>
      </c>
      <c r="AW62" s="232"/>
      <c r="AX62" s="232"/>
      <c r="AY62" s="232"/>
      <c r="AZ62" s="232"/>
      <c r="BA62" s="221"/>
      <c r="BB62" s="221" t="s">
        <v>2498</v>
      </c>
      <c r="BC62" s="233" t="s">
        <v>128</v>
      </c>
      <c r="BF62" s="51"/>
    </row>
    <row r="63" spans="1:58" ht="13.5" customHeight="1">
      <c r="A63" s="220">
        <f t="shared" si="21"/>
        <v>62</v>
      </c>
      <c r="B63" s="221" t="s">
        <v>405</v>
      </c>
      <c r="C63" s="221" t="s">
        <v>528</v>
      </c>
      <c r="D63" s="221" t="s">
        <v>118</v>
      </c>
      <c r="E63" s="221" t="s">
        <v>326</v>
      </c>
      <c r="F63" s="221" t="s">
        <v>529</v>
      </c>
      <c r="G63" s="222" t="s">
        <v>530</v>
      </c>
      <c r="H63" s="221" t="s">
        <v>397</v>
      </c>
      <c r="I63" s="221" t="s">
        <v>531</v>
      </c>
      <c r="J63" s="221" t="s">
        <v>532</v>
      </c>
      <c r="K63" s="221" t="s">
        <v>533</v>
      </c>
      <c r="L63" s="221">
        <v>-74.811666666666696</v>
      </c>
      <c r="M63" s="221">
        <v>11.005555555555601</v>
      </c>
      <c r="N63" s="223" t="s">
        <v>228</v>
      </c>
      <c r="O63" s="230" t="s">
        <v>534</v>
      </c>
      <c r="P63" s="224">
        <v>9254168380.3500004</v>
      </c>
      <c r="Q63" s="225">
        <v>1</v>
      </c>
      <c r="R63" s="225">
        <v>0.99780000000000002</v>
      </c>
      <c r="S63" s="225">
        <f t="shared" si="16"/>
        <v>-2.1999999999999797E-3</v>
      </c>
      <c r="T63" s="225" t="str" cm="1">
        <f t="array" ref="T63">+_xlfn.IFS($P63&lt;=10000000000,IF(S63&gt;-0.05,"Verde",IF(S63&lt;=-0.1,"Rojo","Amarillo")),$P63&gt;10000000000,IF(S63&gt;-0.03,"Verde",IF(S63&lt;=-0.07,"Rojo","Amarillo")))</f>
        <v>Verde</v>
      </c>
      <c r="U63" s="226">
        <v>44561</v>
      </c>
      <c r="V63" s="226">
        <v>44651</v>
      </c>
      <c r="W63" s="226">
        <v>44706</v>
      </c>
      <c r="X63" s="226">
        <v>44926</v>
      </c>
      <c r="Y63" s="272">
        <v>45473</v>
      </c>
      <c r="Z63" s="225" t="str">
        <f t="shared" ca="1" si="17"/>
        <v>Suspendido</v>
      </c>
      <c r="AA63" s="225" t="str">
        <f t="shared" ca="1" si="20"/>
        <v>-</v>
      </c>
      <c r="AB63" s="273"/>
      <c r="AC63" s="272"/>
      <c r="AD63" s="227">
        <v>45473</v>
      </c>
      <c r="AE63" s="221" t="s">
        <v>535</v>
      </c>
      <c r="AF63" s="223" t="s">
        <v>536</v>
      </c>
      <c r="AG63" s="223" t="s">
        <v>537</v>
      </c>
      <c r="AH63" s="223" t="s">
        <v>538</v>
      </c>
      <c r="AI63" s="221" t="s">
        <v>539</v>
      </c>
      <c r="AJ63" s="223" t="s">
        <v>540</v>
      </c>
      <c r="AK63" s="223" t="s">
        <v>541</v>
      </c>
      <c r="AL63" s="230" t="s">
        <v>542</v>
      </c>
      <c r="AM63" s="231">
        <v>9254168380.3500004</v>
      </c>
      <c r="AN63" s="231">
        <v>0</v>
      </c>
      <c r="AO63" s="231">
        <f t="shared" si="18"/>
        <v>9254168380.3500004</v>
      </c>
      <c r="AP63" s="231">
        <v>25196782528</v>
      </c>
      <c r="AQ63" s="231">
        <v>23908722669</v>
      </c>
      <c r="AR63" s="231">
        <v>1226742000</v>
      </c>
      <c r="AS63" s="231">
        <v>270858875</v>
      </c>
      <c r="AT63" s="231">
        <f t="shared" si="19"/>
        <v>1497600875</v>
      </c>
      <c r="AU63" s="231">
        <v>1126553602</v>
      </c>
      <c r="AV63" s="231">
        <v>995962806</v>
      </c>
      <c r="AW63" s="232" t="s">
        <v>543</v>
      </c>
      <c r="AX63" s="232" t="s">
        <v>544</v>
      </c>
      <c r="AY63" s="232" t="s">
        <v>545</v>
      </c>
      <c r="AZ63" s="232" t="s">
        <v>546</v>
      </c>
      <c r="BA63" s="221"/>
      <c r="BB63" s="221"/>
      <c r="BC63" s="233" t="s">
        <v>364</v>
      </c>
      <c r="BF63" s="51"/>
    </row>
    <row r="64" spans="1:58" ht="13.5" customHeight="1">
      <c r="A64" s="220">
        <f t="shared" si="21"/>
        <v>63</v>
      </c>
      <c r="B64" s="221" t="s">
        <v>405</v>
      </c>
      <c r="C64" s="221" t="s">
        <v>528</v>
      </c>
      <c r="D64" s="221" t="s">
        <v>118</v>
      </c>
      <c r="E64" s="221" t="s">
        <v>326</v>
      </c>
      <c r="F64" s="221" t="s">
        <v>529</v>
      </c>
      <c r="G64" s="222" t="s">
        <v>547</v>
      </c>
      <c r="H64" s="221" t="s">
        <v>397</v>
      </c>
      <c r="I64" s="221" t="s">
        <v>497</v>
      </c>
      <c r="J64" s="221" t="s">
        <v>548</v>
      </c>
      <c r="K64" s="221" t="s">
        <v>549</v>
      </c>
      <c r="L64" s="221">
        <v>-74.788611111111095</v>
      </c>
      <c r="M64" s="221">
        <v>11.015277777777801</v>
      </c>
      <c r="N64" s="223" t="s">
        <v>126</v>
      </c>
      <c r="O64" s="230" t="s">
        <v>372</v>
      </c>
      <c r="P64" s="224">
        <v>13100000000</v>
      </c>
      <c r="Q64" s="225">
        <v>1</v>
      </c>
      <c r="R64" s="225">
        <v>1</v>
      </c>
      <c r="S64" s="225">
        <f t="shared" si="16"/>
        <v>0</v>
      </c>
      <c r="T64" s="225" t="str" cm="1">
        <f t="array" ref="T64">+_xlfn.IFS($P64&lt;=10000000000,IF(S64&gt;-0.05,"Verde",IF(S64&lt;=-0.1,"Rojo","Amarillo")),$P64&gt;10000000000,IF(S64&gt;-0.03,"Verde",IF(S64&lt;=-0.07,"Rojo","Amarillo")))</f>
        <v>Verde</v>
      </c>
      <c r="U64" s="226">
        <v>44561</v>
      </c>
      <c r="V64" s="226">
        <v>44651</v>
      </c>
      <c r="W64" s="226">
        <v>44706</v>
      </c>
      <c r="X64" s="226">
        <v>44926</v>
      </c>
      <c r="Y64" s="272">
        <v>45473</v>
      </c>
      <c r="Z64" s="225" t="str">
        <f t="shared" ca="1" si="17"/>
        <v>Entregado</v>
      </c>
      <c r="AA64" s="225" t="str">
        <f t="shared" ca="1" si="20"/>
        <v>-</v>
      </c>
      <c r="AB64" s="273"/>
      <c r="AC64" s="272"/>
      <c r="AD64" s="227">
        <v>45473</v>
      </c>
      <c r="AE64" s="221" t="s">
        <v>535</v>
      </c>
      <c r="AF64" s="223" t="s">
        <v>536</v>
      </c>
      <c r="AG64" s="223" t="s">
        <v>537</v>
      </c>
      <c r="AH64" s="223" t="s">
        <v>538</v>
      </c>
      <c r="AI64" s="221" t="s">
        <v>539</v>
      </c>
      <c r="AJ64" s="223" t="s">
        <v>540</v>
      </c>
      <c r="AK64" s="223" t="s">
        <v>541</v>
      </c>
      <c r="AL64" s="230" t="s">
        <v>542</v>
      </c>
      <c r="AM64" s="231">
        <v>13100000000</v>
      </c>
      <c r="AN64" s="231">
        <v>0</v>
      </c>
      <c r="AO64" s="231">
        <f t="shared" si="18"/>
        <v>13100000000</v>
      </c>
      <c r="AP64" s="231">
        <v>25196782528</v>
      </c>
      <c r="AQ64" s="231">
        <v>23908722669</v>
      </c>
      <c r="AR64" s="231">
        <v>1226742000</v>
      </c>
      <c r="AS64" s="231">
        <v>270858875</v>
      </c>
      <c r="AT64" s="231">
        <f t="shared" si="19"/>
        <v>1497600875</v>
      </c>
      <c r="AU64" s="231">
        <v>1126553602</v>
      </c>
      <c r="AV64" s="231">
        <v>995962806</v>
      </c>
      <c r="AW64" s="232" t="s">
        <v>550</v>
      </c>
      <c r="AX64" s="232" t="s">
        <v>551</v>
      </c>
      <c r="AY64" s="232" t="s">
        <v>552</v>
      </c>
      <c r="AZ64" s="232" t="s">
        <v>553</v>
      </c>
      <c r="BA64" s="221"/>
      <c r="BB64" s="221"/>
      <c r="BC64" s="233" t="s">
        <v>128</v>
      </c>
      <c r="BF64" s="51"/>
    </row>
    <row r="65" spans="1:58" ht="13.5" customHeight="1">
      <c r="A65" s="220">
        <f t="shared" si="21"/>
        <v>64</v>
      </c>
      <c r="B65" s="221" t="s">
        <v>405</v>
      </c>
      <c r="C65" s="221" t="s">
        <v>528</v>
      </c>
      <c r="D65" s="221" t="s">
        <v>118</v>
      </c>
      <c r="E65" s="221" t="s">
        <v>326</v>
      </c>
      <c r="F65" s="221" t="s">
        <v>529</v>
      </c>
      <c r="G65" s="222" t="s">
        <v>554</v>
      </c>
      <c r="H65" s="221" t="s">
        <v>397</v>
      </c>
      <c r="I65" s="221" t="s">
        <v>504</v>
      </c>
      <c r="J65" s="221" t="s">
        <v>555</v>
      </c>
      <c r="K65" s="221" t="s">
        <v>556</v>
      </c>
      <c r="L65" s="221">
        <v>-74.776108780285696</v>
      </c>
      <c r="M65" s="221">
        <v>10.9879639948718</v>
      </c>
      <c r="N65" s="223" t="s">
        <v>126</v>
      </c>
      <c r="O65" s="230" t="s">
        <v>372</v>
      </c>
      <c r="P65" s="224">
        <v>543695547.98000002</v>
      </c>
      <c r="Q65" s="225">
        <v>1</v>
      </c>
      <c r="R65" s="225">
        <v>1</v>
      </c>
      <c r="S65" s="225">
        <f t="shared" si="16"/>
        <v>0</v>
      </c>
      <c r="T65" s="225" t="str" cm="1">
        <f t="array" ref="T65">+_xlfn.IFS($P65&lt;=10000000000,IF(S65&gt;-0.05,"Verde",IF(S65&lt;=-0.1,"Rojo","Amarillo")),$P65&gt;10000000000,IF(S65&gt;-0.03,"Verde",IF(S65&lt;=-0.07,"Rojo","Amarillo")))</f>
        <v>Verde</v>
      </c>
      <c r="U65" s="226">
        <v>44561</v>
      </c>
      <c r="V65" s="226">
        <v>44651</v>
      </c>
      <c r="W65" s="226">
        <v>44706</v>
      </c>
      <c r="X65" s="226">
        <v>44926</v>
      </c>
      <c r="Y65" s="272">
        <v>45473</v>
      </c>
      <c r="Z65" s="225" t="str">
        <f t="shared" ca="1" si="17"/>
        <v>Entregado</v>
      </c>
      <c r="AA65" s="225" t="str">
        <f t="shared" ca="1" si="20"/>
        <v>-</v>
      </c>
      <c r="AB65" s="273"/>
      <c r="AC65" s="272"/>
      <c r="AD65" s="227">
        <v>45392</v>
      </c>
      <c r="AE65" s="221" t="s">
        <v>535</v>
      </c>
      <c r="AF65" s="223" t="s">
        <v>536</v>
      </c>
      <c r="AG65" s="223" t="s">
        <v>537</v>
      </c>
      <c r="AH65" s="223" t="s">
        <v>538</v>
      </c>
      <c r="AI65" s="221" t="s">
        <v>539</v>
      </c>
      <c r="AJ65" s="223" t="s">
        <v>540</v>
      </c>
      <c r="AK65" s="223" t="s">
        <v>541</v>
      </c>
      <c r="AL65" s="230" t="s">
        <v>542</v>
      </c>
      <c r="AM65" s="231">
        <v>543695547.98000002</v>
      </c>
      <c r="AN65" s="231">
        <v>0</v>
      </c>
      <c r="AO65" s="231">
        <f t="shared" si="18"/>
        <v>543695547.98000002</v>
      </c>
      <c r="AP65" s="231">
        <v>25196782528</v>
      </c>
      <c r="AQ65" s="231">
        <v>23908722669</v>
      </c>
      <c r="AR65" s="231">
        <v>1226742000</v>
      </c>
      <c r="AS65" s="231">
        <v>270858875</v>
      </c>
      <c r="AT65" s="231">
        <f t="shared" si="19"/>
        <v>1497600875</v>
      </c>
      <c r="AU65" s="231">
        <v>1126553602</v>
      </c>
      <c r="AV65" s="231">
        <v>995962806</v>
      </c>
      <c r="AW65" s="232" t="s">
        <v>557</v>
      </c>
      <c r="AX65" s="232" t="s">
        <v>558</v>
      </c>
      <c r="AY65" s="232" t="s">
        <v>559</v>
      </c>
      <c r="AZ65" s="232"/>
      <c r="BA65" s="221"/>
      <c r="BB65" s="221"/>
      <c r="BC65" s="233" t="s">
        <v>128</v>
      </c>
      <c r="BF65" s="51"/>
    </row>
    <row r="66" spans="1:58" ht="13.5" customHeight="1">
      <c r="A66" s="220">
        <f t="shared" si="21"/>
        <v>65</v>
      </c>
      <c r="B66" s="221" t="s">
        <v>405</v>
      </c>
      <c r="C66" s="221" t="s">
        <v>528</v>
      </c>
      <c r="D66" s="221" t="s">
        <v>118</v>
      </c>
      <c r="E66" s="221" t="s">
        <v>326</v>
      </c>
      <c r="F66" s="221" t="s">
        <v>529</v>
      </c>
      <c r="G66" s="222" t="s">
        <v>560</v>
      </c>
      <c r="H66" s="221" t="s">
        <v>397</v>
      </c>
      <c r="I66" s="221" t="s">
        <v>497</v>
      </c>
      <c r="J66" s="221" t="s">
        <v>561</v>
      </c>
      <c r="K66" s="221" t="s">
        <v>562</v>
      </c>
      <c r="L66" s="221">
        <v>-74.771111111111097</v>
      </c>
      <c r="M66" s="221">
        <v>10.9791666666667</v>
      </c>
      <c r="N66" s="223" t="s">
        <v>126</v>
      </c>
      <c r="O66" s="230" t="s">
        <v>372</v>
      </c>
      <c r="P66" s="224">
        <v>937747043.15999997</v>
      </c>
      <c r="Q66" s="225">
        <v>1</v>
      </c>
      <c r="R66" s="225">
        <v>1</v>
      </c>
      <c r="S66" s="225">
        <f t="shared" si="16"/>
        <v>0</v>
      </c>
      <c r="T66" s="225" t="str" cm="1">
        <f t="array" ref="T66">+_xlfn.IFS($P66&lt;=10000000000,IF(S66&gt;-0.05,"Verde",IF(S66&lt;=-0.1,"Rojo","Amarillo")),$P66&gt;10000000000,IF(S66&gt;-0.03,"Verde",IF(S66&lt;=-0.07,"Rojo","Amarillo")))</f>
        <v>Verde</v>
      </c>
      <c r="U66" s="226">
        <v>44561</v>
      </c>
      <c r="V66" s="226">
        <v>44651</v>
      </c>
      <c r="W66" s="226">
        <v>44706</v>
      </c>
      <c r="X66" s="226">
        <v>44926</v>
      </c>
      <c r="Y66" s="272">
        <v>45473</v>
      </c>
      <c r="Z66" s="225" t="str">
        <f t="shared" ca="1" si="17"/>
        <v>Entregado</v>
      </c>
      <c r="AA66" s="225" t="str">
        <f t="shared" ca="1" si="20"/>
        <v>-</v>
      </c>
      <c r="AB66" s="273"/>
      <c r="AC66" s="272"/>
      <c r="AD66" s="227">
        <v>45473</v>
      </c>
      <c r="AE66" s="221" t="s">
        <v>535</v>
      </c>
      <c r="AF66" s="223" t="s">
        <v>536</v>
      </c>
      <c r="AG66" s="223" t="s">
        <v>537</v>
      </c>
      <c r="AH66" s="223" t="s">
        <v>538</v>
      </c>
      <c r="AI66" s="221" t="s">
        <v>539</v>
      </c>
      <c r="AJ66" s="223" t="s">
        <v>540</v>
      </c>
      <c r="AK66" s="223" t="s">
        <v>541</v>
      </c>
      <c r="AL66" s="230" t="s">
        <v>542</v>
      </c>
      <c r="AM66" s="231">
        <v>937747043.15999997</v>
      </c>
      <c r="AN66" s="231">
        <v>0</v>
      </c>
      <c r="AO66" s="231">
        <f t="shared" si="18"/>
        <v>937747043.15999997</v>
      </c>
      <c r="AP66" s="231">
        <v>25196782528</v>
      </c>
      <c r="AQ66" s="231">
        <v>23908722669</v>
      </c>
      <c r="AR66" s="231">
        <v>1226742000</v>
      </c>
      <c r="AS66" s="231">
        <v>270858875</v>
      </c>
      <c r="AT66" s="231">
        <f t="shared" si="19"/>
        <v>1497600875</v>
      </c>
      <c r="AU66" s="231">
        <v>1126553602</v>
      </c>
      <c r="AV66" s="231">
        <v>995962806</v>
      </c>
      <c r="AW66" s="232" t="s">
        <v>563</v>
      </c>
      <c r="AX66" s="232" t="s">
        <v>564</v>
      </c>
      <c r="AY66" s="232" t="s">
        <v>565</v>
      </c>
      <c r="AZ66" s="232" t="s">
        <v>566</v>
      </c>
      <c r="BA66" s="221"/>
      <c r="BB66" s="221"/>
      <c r="BC66" s="233" t="s">
        <v>364</v>
      </c>
      <c r="BF66" s="51"/>
    </row>
    <row r="67" spans="1:58" ht="13.5" customHeight="1">
      <c r="A67" s="220">
        <f t="shared" si="21"/>
        <v>66</v>
      </c>
      <c r="B67" s="221" t="s">
        <v>405</v>
      </c>
      <c r="C67" s="221" t="s">
        <v>528</v>
      </c>
      <c r="D67" s="221" t="s">
        <v>118</v>
      </c>
      <c r="E67" s="221" t="s">
        <v>326</v>
      </c>
      <c r="F67" s="221" t="s">
        <v>529</v>
      </c>
      <c r="G67" s="222" t="s">
        <v>567</v>
      </c>
      <c r="H67" s="221" t="s">
        <v>397</v>
      </c>
      <c r="I67" s="221" t="s">
        <v>497</v>
      </c>
      <c r="J67" s="221" t="s">
        <v>568</v>
      </c>
      <c r="K67" s="221" t="s">
        <v>569</v>
      </c>
      <c r="L67" s="221">
        <v>-74.776636122107504</v>
      </c>
      <c r="M67" s="221">
        <v>10.9793415083964</v>
      </c>
      <c r="N67" s="223" t="s">
        <v>126</v>
      </c>
      <c r="O67" s="230" t="s">
        <v>372</v>
      </c>
      <c r="P67" s="224">
        <v>167859788.03</v>
      </c>
      <c r="Q67" s="225">
        <v>1</v>
      </c>
      <c r="R67" s="225">
        <v>1</v>
      </c>
      <c r="S67" s="225">
        <f t="shared" si="16"/>
        <v>0</v>
      </c>
      <c r="T67" s="225" t="str" cm="1">
        <f t="array" ref="T67">+_xlfn.IFS($P67&lt;=10000000000,IF(S67&gt;-0.05,"Verde",IF(S67&lt;=-0.1,"Rojo","Amarillo")),$P67&gt;10000000000,IF(S67&gt;-0.03,"Verde",IF(S67&lt;=-0.07,"Rojo","Amarillo")))</f>
        <v>Verde</v>
      </c>
      <c r="U67" s="226">
        <v>44561</v>
      </c>
      <c r="V67" s="226">
        <v>44651</v>
      </c>
      <c r="W67" s="226">
        <v>44706</v>
      </c>
      <c r="X67" s="226">
        <v>44926</v>
      </c>
      <c r="Y67" s="272">
        <v>45473</v>
      </c>
      <c r="Z67" s="225" t="str">
        <f t="shared" ca="1" si="17"/>
        <v>Entregado</v>
      </c>
      <c r="AA67" s="225" t="str">
        <f t="shared" ca="1" si="20"/>
        <v>-</v>
      </c>
      <c r="AB67" s="273"/>
      <c r="AC67" s="272"/>
      <c r="AD67" s="227">
        <v>45473</v>
      </c>
      <c r="AE67" s="221" t="s">
        <v>535</v>
      </c>
      <c r="AF67" s="223" t="s">
        <v>536</v>
      </c>
      <c r="AG67" s="223" t="s">
        <v>537</v>
      </c>
      <c r="AH67" s="223" t="s">
        <v>538</v>
      </c>
      <c r="AI67" s="221" t="s">
        <v>539</v>
      </c>
      <c r="AJ67" s="223" t="s">
        <v>540</v>
      </c>
      <c r="AK67" s="223" t="s">
        <v>541</v>
      </c>
      <c r="AL67" s="230" t="s">
        <v>542</v>
      </c>
      <c r="AM67" s="231">
        <v>167859788.03</v>
      </c>
      <c r="AN67" s="231">
        <v>0</v>
      </c>
      <c r="AO67" s="231">
        <f t="shared" si="18"/>
        <v>167859788.03</v>
      </c>
      <c r="AP67" s="231">
        <v>25196782528</v>
      </c>
      <c r="AQ67" s="231">
        <v>23908722669</v>
      </c>
      <c r="AR67" s="231">
        <v>1226742000</v>
      </c>
      <c r="AS67" s="231">
        <v>270858875</v>
      </c>
      <c r="AT67" s="231">
        <f t="shared" si="19"/>
        <v>1497600875</v>
      </c>
      <c r="AU67" s="231">
        <v>1126553602</v>
      </c>
      <c r="AV67" s="231">
        <v>995962806</v>
      </c>
      <c r="AW67" s="232" t="s">
        <v>570</v>
      </c>
      <c r="AX67" s="232" t="s">
        <v>571</v>
      </c>
      <c r="AY67" s="232"/>
      <c r="AZ67" s="232"/>
      <c r="BA67" s="221"/>
      <c r="BB67" s="221"/>
      <c r="BC67" s="233" t="s">
        <v>128</v>
      </c>
      <c r="BF67" s="51"/>
    </row>
    <row r="68" spans="1:58" ht="13.5" customHeight="1">
      <c r="A68" s="220">
        <f t="shared" si="21"/>
        <v>67</v>
      </c>
      <c r="B68" s="221" t="s">
        <v>405</v>
      </c>
      <c r="C68" s="221" t="s">
        <v>528</v>
      </c>
      <c r="D68" s="221" t="s">
        <v>118</v>
      </c>
      <c r="E68" s="221" t="s">
        <v>326</v>
      </c>
      <c r="F68" s="221" t="s">
        <v>529</v>
      </c>
      <c r="G68" s="222" t="s">
        <v>572</v>
      </c>
      <c r="H68" s="221" t="s">
        <v>397</v>
      </c>
      <c r="I68" s="221" t="s">
        <v>497</v>
      </c>
      <c r="J68" s="221" t="s">
        <v>498</v>
      </c>
      <c r="K68" s="221" t="s">
        <v>573</v>
      </c>
      <c r="L68" s="221">
        <v>-74.775833930791805</v>
      </c>
      <c r="M68" s="221">
        <v>10.9799622887294</v>
      </c>
      <c r="N68" s="223" t="s">
        <v>126</v>
      </c>
      <c r="O68" s="230" t="s">
        <v>372</v>
      </c>
      <c r="P68" s="224">
        <v>292208995.13</v>
      </c>
      <c r="Q68" s="225">
        <v>1</v>
      </c>
      <c r="R68" s="225">
        <v>1</v>
      </c>
      <c r="S68" s="225">
        <f t="shared" si="16"/>
        <v>0</v>
      </c>
      <c r="T68" s="225" t="str" cm="1">
        <f t="array" ref="T68">+_xlfn.IFS($P68&lt;=10000000000,IF(S68&gt;-0.05,"Verde",IF(S68&lt;=-0.1,"Rojo","Amarillo")),$P68&gt;10000000000,IF(S68&gt;-0.03,"Verde",IF(S68&lt;=-0.07,"Rojo","Amarillo")))</f>
        <v>Verde</v>
      </c>
      <c r="U68" s="226">
        <v>44561</v>
      </c>
      <c r="V68" s="226">
        <v>44651</v>
      </c>
      <c r="W68" s="226">
        <v>44706</v>
      </c>
      <c r="X68" s="226">
        <v>44926</v>
      </c>
      <c r="Y68" s="272">
        <v>45473</v>
      </c>
      <c r="Z68" s="225" t="str">
        <f t="shared" ca="1" si="17"/>
        <v>Entregado</v>
      </c>
      <c r="AA68" s="225" t="str">
        <f t="shared" ca="1" si="20"/>
        <v>-</v>
      </c>
      <c r="AB68" s="273"/>
      <c r="AC68" s="272"/>
      <c r="AD68" s="227">
        <v>45473</v>
      </c>
      <c r="AE68" s="221" t="s">
        <v>535</v>
      </c>
      <c r="AF68" s="223" t="s">
        <v>536</v>
      </c>
      <c r="AG68" s="223" t="s">
        <v>537</v>
      </c>
      <c r="AH68" s="223" t="s">
        <v>538</v>
      </c>
      <c r="AI68" s="221" t="s">
        <v>539</v>
      </c>
      <c r="AJ68" s="223" t="s">
        <v>540</v>
      </c>
      <c r="AK68" s="223" t="s">
        <v>541</v>
      </c>
      <c r="AL68" s="230" t="s">
        <v>542</v>
      </c>
      <c r="AM68" s="231">
        <v>292208995.13</v>
      </c>
      <c r="AN68" s="231">
        <v>0</v>
      </c>
      <c r="AO68" s="231">
        <f t="shared" si="18"/>
        <v>292208995.13</v>
      </c>
      <c r="AP68" s="231">
        <v>25196782528</v>
      </c>
      <c r="AQ68" s="231">
        <v>23908722669</v>
      </c>
      <c r="AR68" s="231">
        <v>1226742000</v>
      </c>
      <c r="AS68" s="231">
        <v>270858875</v>
      </c>
      <c r="AT68" s="231">
        <f t="shared" si="19"/>
        <v>1497600875</v>
      </c>
      <c r="AU68" s="231">
        <v>1126553602</v>
      </c>
      <c r="AV68" s="231">
        <v>995962806</v>
      </c>
      <c r="AW68" s="232" t="s">
        <v>570</v>
      </c>
      <c r="AX68" s="232" t="s">
        <v>571</v>
      </c>
      <c r="AY68" s="232"/>
      <c r="AZ68" s="232"/>
      <c r="BA68" s="221"/>
      <c r="BB68" s="221"/>
      <c r="BC68" s="233" t="s">
        <v>128</v>
      </c>
      <c r="BF68" s="51"/>
    </row>
    <row r="69" spans="1:58" ht="13.5" customHeight="1">
      <c r="A69" s="220">
        <f t="shared" si="21"/>
        <v>68</v>
      </c>
      <c r="B69" s="221" t="s">
        <v>405</v>
      </c>
      <c r="C69" s="221" t="s">
        <v>528</v>
      </c>
      <c r="D69" s="221" t="s">
        <v>118</v>
      </c>
      <c r="E69" s="221" t="s">
        <v>326</v>
      </c>
      <c r="F69" s="221" t="s">
        <v>529</v>
      </c>
      <c r="G69" s="222" t="s">
        <v>574</v>
      </c>
      <c r="H69" s="221" t="s">
        <v>397</v>
      </c>
      <c r="I69" s="221" t="s">
        <v>575</v>
      </c>
      <c r="J69" s="221" t="s">
        <v>576</v>
      </c>
      <c r="K69" s="221" t="s">
        <v>577</v>
      </c>
      <c r="L69" s="221">
        <v>-74.811111111111103</v>
      </c>
      <c r="M69" s="221">
        <v>10.9408333333333</v>
      </c>
      <c r="N69" s="223" t="s">
        <v>126</v>
      </c>
      <c r="O69" s="230" t="s">
        <v>372</v>
      </c>
      <c r="P69" s="224">
        <v>534416086.04000002</v>
      </c>
      <c r="Q69" s="225">
        <v>1</v>
      </c>
      <c r="R69" s="225">
        <v>1</v>
      </c>
      <c r="S69" s="225">
        <f t="shared" si="16"/>
        <v>0</v>
      </c>
      <c r="T69" s="225" t="str" cm="1">
        <f t="array" ref="T69">+_xlfn.IFS($P69&lt;=10000000000,IF(S69&gt;-0.05,"Verde",IF(S69&lt;=-0.1,"Rojo","Amarillo")),$P69&gt;10000000000,IF(S69&gt;-0.03,"Verde",IF(S69&lt;=-0.07,"Rojo","Amarillo")))</f>
        <v>Verde</v>
      </c>
      <c r="U69" s="226">
        <v>44561</v>
      </c>
      <c r="V69" s="226">
        <v>44651</v>
      </c>
      <c r="W69" s="226">
        <v>44706</v>
      </c>
      <c r="X69" s="226">
        <v>44926</v>
      </c>
      <c r="Y69" s="272">
        <v>45473</v>
      </c>
      <c r="Z69" s="225" t="str">
        <f t="shared" ca="1" si="17"/>
        <v>Entregado</v>
      </c>
      <c r="AA69" s="225" t="str">
        <f t="shared" ca="1" si="20"/>
        <v>-</v>
      </c>
      <c r="AB69" s="273"/>
      <c r="AC69" s="272"/>
      <c r="AD69" s="227">
        <v>45358</v>
      </c>
      <c r="AE69" s="221" t="s">
        <v>535</v>
      </c>
      <c r="AF69" s="223" t="s">
        <v>536</v>
      </c>
      <c r="AG69" s="223" t="s">
        <v>537</v>
      </c>
      <c r="AH69" s="223" t="s">
        <v>538</v>
      </c>
      <c r="AI69" s="221" t="s">
        <v>539</v>
      </c>
      <c r="AJ69" s="223" t="s">
        <v>540</v>
      </c>
      <c r="AK69" s="223" t="s">
        <v>541</v>
      </c>
      <c r="AL69" s="230" t="s">
        <v>542</v>
      </c>
      <c r="AM69" s="231">
        <v>534416086.04000002</v>
      </c>
      <c r="AN69" s="231">
        <v>0</v>
      </c>
      <c r="AO69" s="231">
        <f t="shared" si="18"/>
        <v>534416086.04000002</v>
      </c>
      <c r="AP69" s="231">
        <v>25196782528</v>
      </c>
      <c r="AQ69" s="231">
        <v>23908722669</v>
      </c>
      <c r="AR69" s="231">
        <v>1226742000</v>
      </c>
      <c r="AS69" s="231">
        <v>270858875</v>
      </c>
      <c r="AT69" s="231">
        <f t="shared" si="19"/>
        <v>1497600875</v>
      </c>
      <c r="AU69" s="231">
        <v>1126553602</v>
      </c>
      <c r="AV69" s="231">
        <v>995962806</v>
      </c>
      <c r="AW69" s="232" t="s">
        <v>578</v>
      </c>
      <c r="AX69" s="232" t="s">
        <v>558</v>
      </c>
      <c r="AY69" s="232" t="s">
        <v>559</v>
      </c>
      <c r="AZ69" s="232"/>
      <c r="BA69" s="221"/>
      <c r="BB69" s="221"/>
      <c r="BC69" s="233" t="s">
        <v>128</v>
      </c>
      <c r="BF69" s="51"/>
    </row>
    <row r="70" spans="1:58" ht="13.5" customHeight="1">
      <c r="A70" s="220">
        <f t="shared" si="21"/>
        <v>69</v>
      </c>
      <c r="B70" s="221" t="s">
        <v>405</v>
      </c>
      <c r="C70" s="221" t="s">
        <v>44</v>
      </c>
      <c r="D70" s="221" t="s">
        <v>118</v>
      </c>
      <c r="E70" s="221" t="s">
        <v>579</v>
      </c>
      <c r="F70" s="221" t="s">
        <v>580</v>
      </c>
      <c r="G70" s="222" t="s">
        <v>581</v>
      </c>
      <c r="H70" s="221" t="s">
        <v>582</v>
      </c>
      <c r="I70" s="221" t="s">
        <v>583</v>
      </c>
      <c r="J70" s="221" t="s">
        <v>124</v>
      </c>
      <c r="K70" s="221" t="s">
        <v>584</v>
      </c>
      <c r="L70" s="221">
        <v>-74.770579836641403</v>
      </c>
      <c r="M70" s="221">
        <v>10.9686395656787</v>
      </c>
      <c r="N70" s="223" t="s">
        <v>228</v>
      </c>
      <c r="O70" s="230" t="s">
        <v>229</v>
      </c>
      <c r="P70" s="224">
        <v>99979996094</v>
      </c>
      <c r="Q70" s="225">
        <v>0.8</v>
      </c>
      <c r="R70" s="225">
        <v>0.73799999999999999</v>
      </c>
      <c r="S70" s="225">
        <f t="shared" si="16"/>
        <v>-6.2000000000000055E-2</v>
      </c>
      <c r="T70" s="225" t="str" cm="1">
        <f t="array" ref="T70">+_xlfn.IFS($P70&lt;=10000000000,IF(S70&gt;-0.05,"Verde",IF(S70&lt;=-0.1,"Rojo","Amarillo")),$P70&gt;10000000000,IF(S70&gt;-0.03,"Verde",IF(S70&lt;=-0.07,"Rojo","Amarillo")))</f>
        <v>Amarillo</v>
      </c>
      <c r="U70" s="226">
        <v>44606</v>
      </c>
      <c r="V70" s="226">
        <v>44627</v>
      </c>
      <c r="W70" s="226">
        <v>44692</v>
      </c>
      <c r="X70" s="226">
        <v>45016</v>
      </c>
      <c r="Y70" s="272">
        <v>45930</v>
      </c>
      <c r="Z70" s="225" t="str">
        <f t="shared" ca="1" si="17"/>
        <v>Rojo</v>
      </c>
      <c r="AA70" s="225" t="str">
        <f t="shared" ca="1" si="20"/>
        <v>En_Seguimiento</v>
      </c>
      <c r="AB70" s="273"/>
      <c r="AC70" s="272"/>
      <c r="AD70" s="227">
        <v>45930</v>
      </c>
      <c r="AE70" s="221" t="s">
        <v>585</v>
      </c>
      <c r="AF70" s="223" t="s">
        <v>586</v>
      </c>
      <c r="AG70" s="223" t="s">
        <v>587</v>
      </c>
      <c r="AH70" s="223" t="s">
        <v>197</v>
      </c>
      <c r="AI70" s="221" t="s">
        <v>588</v>
      </c>
      <c r="AJ70" s="223" t="s">
        <v>589</v>
      </c>
      <c r="AK70" s="223" t="s">
        <v>590</v>
      </c>
      <c r="AL70" s="230" t="s">
        <v>591</v>
      </c>
      <c r="AM70" s="231">
        <v>93425142894</v>
      </c>
      <c r="AN70" s="231">
        <v>0</v>
      </c>
      <c r="AO70" s="231">
        <f t="shared" si="18"/>
        <v>93425142894</v>
      </c>
      <c r="AP70" s="231">
        <v>65554736477</v>
      </c>
      <c r="AQ70" s="231">
        <v>65554736477</v>
      </c>
      <c r="AR70" s="231">
        <v>6554853200</v>
      </c>
      <c r="AS70" s="231">
        <v>0</v>
      </c>
      <c r="AT70" s="231">
        <f t="shared" si="19"/>
        <v>6554853200</v>
      </c>
      <c r="AU70" s="231">
        <v>4527437105.2399998</v>
      </c>
      <c r="AV70" s="231">
        <v>4527437105.2399998</v>
      </c>
      <c r="AW70" s="232" t="s">
        <v>592</v>
      </c>
      <c r="AX70" s="232" t="s">
        <v>593</v>
      </c>
      <c r="AY70" s="232" t="s">
        <v>594</v>
      </c>
      <c r="AZ70" s="232"/>
      <c r="BA70" s="221" t="s">
        <v>595</v>
      </c>
      <c r="BB70" s="221"/>
      <c r="BC70" s="233" t="s">
        <v>364</v>
      </c>
      <c r="BF70" s="51"/>
    </row>
    <row r="71" spans="1:58" ht="13.5" customHeight="1">
      <c r="A71" s="220">
        <f t="shared" si="21"/>
        <v>70</v>
      </c>
      <c r="B71" s="221" t="s">
        <v>405</v>
      </c>
      <c r="C71" s="221" t="s">
        <v>47</v>
      </c>
      <c r="D71" s="221" t="s">
        <v>365</v>
      </c>
      <c r="E71" s="221" t="s">
        <v>596</v>
      </c>
      <c r="F71" s="221" t="s">
        <v>597</v>
      </c>
      <c r="G71" s="222" t="s">
        <v>598</v>
      </c>
      <c r="H71" s="221" t="s">
        <v>397</v>
      </c>
      <c r="I71" s="221" t="s">
        <v>124</v>
      </c>
      <c r="J71" s="221" t="s">
        <v>124</v>
      </c>
      <c r="K71" s="221" t="s">
        <v>599</v>
      </c>
      <c r="L71" s="221">
        <v>-74.834880404584496</v>
      </c>
      <c r="M71" s="221">
        <v>10.998345725251999</v>
      </c>
      <c r="N71" s="223" t="s">
        <v>126</v>
      </c>
      <c r="O71" s="230" t="s">
        <v>372</v>
      </c>
      <c r="P71" s="224">
        <v>35618673238.57</v>
      </c>
      <c r="Q71" s="225">
        <v>1</v>
      </c>
      <c r="R71" s="225">
        <v>1</v>
      </c>
      <c r="S71" s="225">
        <f t="shared" si="16"/>
        <v>0</v>
      </c>
      <c r="T71" s="225" t="str" cm="1">
        <f t="array" ref="T71">+_xlfn.IFS($P71&lt;=10000000000,IF(S71&gt;-0.05,"Verde",IF(S71&lt;=-0.1,"Rojo","Amarillo")),$P71&gt;10000000000,IF(S71&gt;-0.03,"Verde",IF(S71&lt;=-0.07,"Rojo","Amarillo")))</f>
        <v>Verde</v>
      </c>
      <c r="U71" s="226">
        <v>44573</v>
      </c>
      <c r="V71" s="226">
        <v>44623</v>
      </c>
      <c r="W71" s="226">
        <v>44721</v>
      </c>
      <c r="X71" s="226">
        <v>44926</v>
      </c>
      <c r="Y71" s="272">
        <v>45616</v>
      </c>
      <c r="Z71" s="225" t="str">
        <f t="shared" ca="1" si="17"/>
        <v>Entregado</v>
      </c>
      <c r="AA71" s="225" t="str">
        <f t="shared" ca="1" si="20"/>
        <v>-</v>
      </c>
      <c r="AB71" s="273"/>
      <c r="AC71" s="272"/>
      <c r="AD71" s="227">
        <v>45616</v>
      </c>
      <c r="AE71" s="221" t="s">
        <v>600</v>
      </c>
      <c r="AF71" s="223" t="s">
        <v>601</v>
      </c>
      <c r="AG71" s="223" t="s">
        <v>602</v>
      </c>
      <c r="AH71" s="223" t="s">
        <v>603</v>
      </c>
      <c r="AI71" s="221" t="s">
        <v>341</v>
      </c>
      <c r="AJ71" s="223" t="s">
        <v>341</v>
      </c>
      <c r="AK71" s="223" t="s">
        <v>341</v>
      </c>
      <c r="AL71" s="230" t="s">
        <v>341</v>
      </c>
      <c r="AM71" s="231">
        <v>31980740561.16</v>
      </c>
      <c r="AN71" s="231">
        <v>3637932677.4099998</v>
      </c>
      <c r="AO71" s="231">
        <f t="shared" si="18"/>
        <v>35618673238.57</v>
      </c>
      <c r="AP71" s="231">
        <v>28779232093.529999</v>
      </c>
      <c r="AQ71" s="231">
        <v>28779232093.529999</v>
      </c>
      <c r="AR71" s="231">
        <v>0</v>
      </c>
      <c r="AS71" s="231">
        <v>0</v>
      </c>
      <c r="AT71" s="231">
        <f t="shared" si="19"/>
        <v>0</v>
      </c>
      <c r="AU71" s="231">
        <v>0</v>
      </c>
      <c r="AV71" s="231">
        <v>0</v>
      </c>
      <c r="AW71" s="232"/>
      <c r="AX71" s="232"/>
      <c r="AY71" s="232"/>
      <c r="AZ71" s="232"/>
      <c r="BA71" s="221" t="s">
        <v>604</v>
      </c>
      <c r="BB71" s="221" t="s">
        <v>605</v>
      </c>
      <c r="BC71" s="233" t="s">
        <v>364</v>
      </c>
      <c r="BF71" s="51"/>
    </row>
    <row r="72" spans="1:58" ht="13.5" customHeight="1">
      <c r="A72" s="220">
        <f t="shared" si="21"/>
        <v>71</v>
      </c>
      <c r="B72" s="221" t="s">
        <v>405</v>
      </c>
      <c r="C72" s="221" t="s">
        <v>606</v>
      </c>
      <c r="D72" s="221" t="s">
        <v>365</v>
      </c>
      <c r="E72" s="221" t="s">
        <v>607</v>
      </c>
      <c r="F72" s="221" t="s">
        <v>608</v>
      </c>
      <c r="G72" s="222" t="s">
        <v>609</v>
      </c>
      <c r="H72" s="221" t="s">
        <v>163</v>
      </c>
      <c r="I72" s="221" t="s">
        <v>610</v>
      </c>
      <c r="J72" s="221" t="s">
        <v>611</v>
      </c>
      <c r="K72" s="221" t="s">
        <v>612</v>
      </c>
      <c r="L72" s="221">
        <v>-74.804487274730903</v>
      </c>
      <c r="M72" s="221">
        <v>10.931653628221801</v>
      </c>
      <c r="N72" s="223" t="s">
        <v>228</v>
      </c>
      <c r="O72" s="230" t="s">
        <v>229</v>
      </c>
      <c r="P72" s="224">
        <v>1374984440</v>
      </c>
      <c r="Q72" s="225">
        <v>1</v>
      </c>
      <c r="R72" s="225">
        <v>1</v>
      </c>
      <c r="S72" s="225">
        <f t="shared" si="16"/>
        <v>0</v>
      </c>
      <c r="T72" s="225" t="str" cm="1">
        <f t="array" ref="T72">+_xlfn.IFS($P72&lt;=10000000000,IF(S72&gt;-0.05,"Verde",IF(S72&lt;=-0.1,"Rojo","Amarillo")),$P72&gt;10000000000,IF(S72&gt;-0.03,"Verde",IF(S72&lt;=-0.07,"Rojo","Amarillo")))</f>
        <v>Verde</v>
      </c>
      <c r="U72" s="226">
        <v>44831</v>
      </c>
      <c r="V72" s="226">
        <v>44862</v>
      </c>
      <c r="W72" s="226">
        <v>44901</v>
      </c>
      <c r="X72" s="226">
        <v>44926</v>
      </c>
      <c r="Y72" s="272">
        <v>45930</v>
      </c>
      <c r="Z72" s="225" t="str">
        <f t="shared" ca="1" si="17"/>
        <v>En_Ejecución</v>
      </c>
      <c r="AA72" s="225" t="str">
        <f t="shared" ca="1" si="20"/>
        <v>-</v>
      </c>
      <c r="AB72" s="273"/>
      <c r="AC72" s="272"/>
      <c r="AD72" s="227">
        <v>45601</v>
      </c>
      <c r="AE72" s="221" t="s">
        <v>613</v>
      </c>
      <c r="AF72" s="223" t="s">
        <v>614</v>
      </c>
      <c r="AG72" s="223" t="s">
        <v>615</v>
      </c>
      <c r="AH72" s="223" t="s">
        <v>323</v>
      </c>
      <c r="AI72" s="221" t="s">
        <v>616</v>
      </c>
      <c r="AJ72" s="223" t="s">
        <v>617</v>
      </c>
      <c r="AK72" s="223" t="s">
        <v>618</v>
      </c>
      <c r="AL72" s="230" t="s">
        <v>619</v>
      </c>
      <c r="AM72" s="231">
        <v>1374984440</v>
      </c>
      <c r="AN72" s="231">
        <v>0</v>
      </c>
      <c r="AO72" s="231">
        <f t="shared" si="18"/>
        <v>1374984440</v>
      </c>
      <c r="AP72" s="231">
        <v>27569081197.830002</v>
      </c>
      <c r="AQ72" s="231">
        <v>26728811132.41</v>
      </c>
      <c r="AR72" s="231">
        <v>79841522</v>
      </c>
      <c r="AS72" s="231"/>
      <c r="AT72" s="231">
        <f t="shared" si="19"/>
        <v>79841522</v>
      </c>
      <c r="AU72" s="231">
        <v>1552067709.4200001</v>
      </c>
      <c r="AV72" s="231">
        <v>1552067709.4200001</v>
      </c>
      <c r="AW72" s="232"/>
      <c r="AX72" s="232" t="s">
        <v>620</v>
      </c>
      <c r="AY72" s="232" t="s">
        <v>621</v>
      </c>
      <c r="AZ72" s="232" t="s">
        <v>622</v>
      </c>
      <c r="BA72" s="221" t="s">
        <v>623</v>
      </c>
      <c r="BB72" s="221"/>
      <c r="BC72" s="233" t="s">
        <v>364</v>
      </c>
      <c r="BF72" s="51"/>
    </row>
    <row r="73" spans="1:58" ht="13.5" customHeight="1">
      <c r="A73" s="220">
        <f t="shared" si="21"/>
        <v>72</v>
      </c>
      <c r="B73" s="221" t="s">
        <v>405</v>
      </c>
      <c r="C73" s="221" t="s">
        <v>606</v>
      </c>
      <c r="D73" s="221" t="s">
        <v>365</v>
      </c>
      <c r="E73" s="221" t="s">
        <v>607</v>
      </c>
      <c r="F73" s="221" t="s">
        <v>608</v>
      </c>
      <c r="G73" s="222" t="s">
        <v>624</v>
      </c>
      <c r="H73" s="221" t="s">
        <v>154</v>
      </c>
      <c r="I73" s="221" t="s">
        <v>625</v>
      </c>
      <c r="J73" s="221" t="s">
        <v>626</v>
      </c>
      <c r="K73" s="221" t="s">
        <v>627</v>
      </c>
      <c r="L73" s="221">
        <v>-74.789017379784397</v>
      </c>
      <c r="M73" s="221">
        <v>10.974971446467</v>
      </c>
      <c r="N73" s="223" t="s">
        <v>228</v>
      </c>
      <c r="O73" s="230" t="s">
        <v>229</v>
      </c>
      <c r="P73" s="224">
        <v>2111537064</v>
      </c>
      <c r="Q73" s="225">
        <v>1</v>
      </c>
      <c r="R73" s="225">
        <v>1</v>
      </c>
      <c r="S73" s="225">
        <f t="shared" si="16"/>
        <v>0</v>
      </c>
      <c r="T73" s="225" t="str" cm="1">
        <f t="array" ref="T73">+_xlfn.IFS($P73&lt;=10000000000,IF(S73&gt;-0.05,"Verde",IF(S73&lt;=-0.1,"Rojo","Amarillo")),$P73&gt;10000000000,IF(S73&gt;-0.03,"Verde",IF(S73&lt;=-0.07,"Rojo","Amarillo")))</f>
        <v>Verde</v>
      </c>
      <c r="U73" s="226">
        <v>44831</v>
      </c>
      <c r="V73" s="226">
        <v>44862</v>
      </c>
      <c r="W73" s="226">
        <v>44901</v>
      </c>
      <c r="X73" s="226">
        <v>44926</v>
      </c>
      <c r="Y73" s="272">
        <v>45930</v>
      </c>
      <c r="Z73" s="225" t="str">
        <f t="shared" ca="1" si="17"/>
        <v>En_Ejecución</v>
      </c>
      <c r="AA73" s="225" t="str">
        <f t="shared" ca="1" si="20"/>
        <v>-</v>
      </c>
      <c r="AB73" s="273"/>
      <c r="AC73" s="272"/>
      <c r="AD73" s="227">
        <v>45684</v>
      </c>
      <c r="AE73" s="221" t="s">
        <v>613</v>
      </c>
      <c r="AF73" s="223" t="s">
        <v>614</v>
      </c>
      <c r="AG73" s="223" t="s">
        <v>615</v>
      </c>
      <c r="AH73" s="223" t="s">
        <v>323</v>
      </c>
      <c r="AI73" s="221" t="s">
        <v>616</v>
      </c>
      <c r="AJ73" s="223" t="s">
        <v>617</v>
      </c>
      <c r="AK73" s="223" t="s">
        <v>618</v>
      </c>
      <c r="AL73" s="230" t="s">
        <v>619</v>
      </c>
      <c r="AM73" s="231">
        <v>2111537064</v>
      </c>
      <c r="AN73" s="231">
        <v>0</v>
      </c>
      <c r="AO73" s="231">
        <f t="shared" si="18"/>
        <v>2111537064</v>
      </c>
      <c r="AP73" s="231">
        <v>27569081197.830002</v>
      </c>
      <c r="AQ73" s="231">
        <v>26728811132.41</v>
      </c>
      <c r="AR73" s="231">
        <v>122611083</v>
      </c>
      <c r="AS73" s="231"/>
      <c r="AT73" s="231">
        <f t="shared" si="19"/>
        <v>122611083</v>
      </c>
      <c r="AU73" s="231">
        <v>1552067709.4200001</v>
      </c>
      <c r="AV73" s="231">
        <v>1552067709.4200001</v>
      </c>
      <c r="AW73" s="232" t="s">
        <v>628</v>
      </c>
      <c r="AX73" s="232" t="s">
        <v>620</v>
      </c>
      <c r="AY73" s="232" t="s">
        <v>621</v>
      </c>
      <c r="AZ73" s="232" t="s">
        <v>622</v>
      </c>
      <c r="BA73" s="221" t="s">
        <v>623</v>
      </c>
      <c r="BB73" s="221"/>
      <c r="BC73" s="233" t="s">
        <v>364</v>
      </c>
      <c r="BF73" s="51"/>
    </row>
    <row r="74" spans="1:58" ht="13.5" customHeight="1">
      <c r="A74" s="220">
        <f t="shared" si="21"/>
        <v>73</v>
      </c>
      <c r="B74" s="221" t="s">
        <v>405</v>
      </c>
      <c r="C74" s="221" t="s">
        <v>606</v>
      </c>
      <c r="D74" s="221" t="s">
        <v>365</v>
      </c>
      <c r="E74" s="221" t="s">
        <v>607</v>
      </c>
      <c r="F74" s="221" t="s">
        <v>608</v>
      </c>
      <c r="G74" s="222" t="s">
        <v>629</v>
      </c>
      <c r="H74" s="221" t="s">
        <v>154</v>
      </c>
      <c r="I74" s="221" t="s">
        <v>630</v>
      </c>
      <c r="J74" s="221" t="s">
        <v>631</v>
      </c>
      <c r="K74" s="221" t="s">
        <v>632</v>
      </c>
      <c r="L74" s="221">
        <v>-74.8081269393616</v>
      </c>
      <c r="M74" s="221">
        <v>10.9745878312687</v>
      </c>
      <c r="N74" s="223" t="s">
        <v>228</v>
      </c>
      <c r="O74" s="230" t="s">
        <v>229</v>
      </c>
      <c r="P74" s="224">
        <v>399243209.67000002</v>
      </c>
      <c r="Q74" s="225">
        <v>1</v>
      </c>
      <c r="R74" s="225">
        <v>1</v>
      </c>
      <c r="S74" s="225">
        <f t="shared" si="16"/>
        <v>0</v>
      </c>
      <c r="T74" s="225" t="str" cm="1">
        <f t="array" ref="T74">+_xlfn.IFS($P74&lt;=10000000000,IF(S74&gt;-0.05,"Verde",IF(S74&lt;=-0.1,"Rojo","Amarillo")),$P74&gt;10000000000,IF(S74&gt;-0.03,"Verde",IF(S74&lt;=-0.07,"Rojo","Amarillo")))</f>
        <v>Verde</v>
      </c>
      <c r="U74" s="226">
        <v>44831</v>
      </c>
      <c r="V74" s="226">
        <v>44862</v>
      </c>
      <c r="W74" s="226">
        <v>44901</v>
      </c>
      <c r="X74" s="226">
        <v>44926</v>
      </c>
      <c r="Y74" s="272">
        <v>45930</v>
      </c>
      <c r="Z74" s="225" t="str">
        <f t="shared" ca="1" si="17"/>
        <v>En_Ejecución</v>
      </c>
      <c r="AA74" s="225" t="str">
        <f t="shared" ca="1" si="20"/>
        <v>-</v>
      </c>
      <c r="AB74" s="273"/>
      <c r="AC74" s="272"/>
      <c r="AD74" s="227">
        <v>45495</v>
      </c>
      <c r="AE74" s="221" t="s">
        <v>613</v>
      </c>
      <c r="AF74" s="223" t="s">
        <v>614</v>
      </c>
      <c r="AG74" s="223" t="s">
        <v>615</v>
      </c>
      <c r="AH74" s="223" t="s">
        <v>323</v>
      </c>
      <c r="AI74" s="221" t="s">
        <v>616</v>
      </c>
      <c r="AJ74" s="223" t="s">
        <v>617</v>
      </c>
      <c r="AK74" s="223" t="s">
        <v>618</v>
      </c>
      <c r="AL74" s="230" t="s">
        <v>619</v>
      </c>
      <c r="AM74" s="231">
        <v>405015605.77999997</v>
      </c>
      <c r="AN74" s="231">
        <v>0</v>
      </c>
      <c r="AO74" s="231">
        <f t="shared" si="18"/>
        <v>405015605.77999997</v>
      </c>
      <c r="AP74" s="231">
        <v>27569081197.830002</v>
      </c>
      <c r="AQ74" s="231">
        <v>26728811132.41</v>
      </c>
      <c r="AR74" s="231">
        <v>23518130</v>
      </c>
      <c r="AS74" s="231"/>
      <c r="AT74" s="231">
        <f t="shared" si="19"/>
        <v>23518130</v>
      </c>
      <c r="AU74" s="231">
        <v>1552067709.4200001</v>
      </c>
      <c r="AV74" s="231">
        <v>1552067709.4200001</v>
      </c>
      <c r="AW74" s="232" t="s">
        <v>633</v>
      </c>
      <c r="AX74" s="232" t="s">
        <v>620</v>
      </c>
      <c r="AY74" s="232" t="s">
        <v>621</v>
      </c>
      <c r="AZ74" s="232" t="s">
        <v>622</v>
      </c>
      <c r="BA74" s="221" t="s">
        <v>623</v>
      </c>
      <c r="BB74" s="221"/>
      <c r="BC74" s="233" t="s">
        <v>364</v>
      </c>
      <c r="BF74" s="51"/>
    </row>
    <row r="75" spans="1:58" ht="13.5" customHeight="1">
      <c r="A75" s="220">
        <f t="shared" si="21"/>
        <v>74</v>
      </c>
      <c r="B75" s="221" t="s">
        <v>405</v>
      </c>
      <c r="C75" s="221" t="s">
        <v>606</v>
      </c>
      <c r="D75" s="221" t="s">
        <v>365</v>
      </c>
      <c r="E75" s="221" t="s">
        <v>607</v>
      </c>
      <c r="F75" s="221" t="s">
        <v>608</v>
      </c>
      <c r="G75" s="222" t="s">
        <v>634</v>
      </c>
      <c r="H75" s="221" t="s">
        <v>163</v>
      </c>
      <c r="I75" s="221" t="s">
        <v>635</v>
      </c>
      <c r="J75" s="221" t="s">
        <v>636</v>
      </c>
      <c r="K75" s="221" t="s">
        <v>637</v>
      </c>
      <c r="L75" s="221">
        <v>-74.808605555555602</v>
      </c>
      <c r="M75" s="221">
        <v>10.937516666666699</v>
      </c>
      <c r="N75" s="223" t="s">
        <v>228</v>
      </c>
      <c r="O75" s="230" t="s">
        <v>229</v>
      </c>
      <c r="P75" s="224">
        <v>6843381947.6300001</v>
      </c>
      <c r="Q75" s="225">
        <v>1</v>
      </c>
      <c r="R75" s="225">
        <v>0.94069999999999998</v>
      </c>
      <c r="S75" s="225">
        <f t="shared" si="16"/>
        <v>-5.9300000000000019E-2</v>
      </c>
      <c r="T75" s="225" t="str" cm="1">
        <f t="array" ref="T75">+_xlfn.IFS($P75&lt;=10000000000,IF(S75&gt;-0.05,"Verde",IF(S75&lt;=-0.1,"Rojo","Amarillo")),$P75&gt;10000000000,IF(S75&gt;-0.03,"Verde",IF(S75&lt;=-0.07,"Rojo","Amarillo")))</f>
        <v>Amarillo</v>
      </c>
      <c r="U75" s="226">
        <v>44831</v>
      </c>
      <c r="V75" s="226">
        <v>44862</v>
      </c>
      <c r="W75" s="226">
        <v>44901</v>
      </c>
      <c r="X75" s="226">
        <v>44926</v>
      </c>
      <c r="Y75" s="272">
        <v>45930</v>
      </c>
      <c r="Z75" s="225" t="str">
        <f t="shared" ca="1" si="17"/>
        <v>Rojo</v>
      </c>
      <c r="AA75" s="225" t="str">
        <f t="shared" ca="1" si="20"/>
        <v>En_Seguimiento</v>
      </c>
      <c r="AB75" s="273"/>
      <c r="AC75" s="272"/>
      <c r="AD75" s="227">
        <v>45899</v>
      </c>
      <c r="AE75" s="221" t="s">
        <v>613</v>
      </c>
      <c r="AF75" s="223" t="s">
        <v>614</v>
      </c>
      <c r="AG75" s="223" t="s">
        <v>615</v>
      </c>
      <c r="AH75" s="223" t="s">
        <v>323</v>
      </c>
      <c r="AI75" s="221" t="s">
        <v>616</v>
      </c>
      <c r="AJ75" s="223" t="s">
        <v>617</v>
      </c>
      <c r="AK75" s="223" t="s">
        <v>618</v>
      </c>
      <c r="AL75" s="230" t="s">
        <v>619</v>
      </c>
      <c r="AM75" s="231">
        <v>6245181088</v>
      </c>
      <c r="AN75" s="231">
        <v>0</v>
      </c>
      <c r="AO75" s="231">
        <f t="shared" si="18"/>
        <v>6245181088</v>
      </c>
      <c r="AP75" s="231">
        <v>27569081197.830002</v>
      </c>
      <c r="AQ75" s="231">
        <v>26728811132.41</v>
      </c>
      <c r="AR75" s="231">
        <v>362640293</v>
      </c>
      <c r="AS75" s="231"/>
      <c r="AT75" s="231">
        <f t="shared" si="19"/>
        <v>362640293</v>
      </c>
      <c r="AU75" s="231">
        <v>1552067709.4200001</v>
      </c>
      <c r="AV75" s="231">
        <v>1552067709.4200001</v>
      </c>
      <c r="AW75" s="232" t="s">
        <v>638</v>
      </c>
      <c r="AX75" s="232" t="s">
        <v>620</v>
      </c>
      <c r="AY75" s="232" t="s">
        <v>621</v>
      </c>
      <c r="AZ75" s="232" t="s">
        <v>622</v>
      </c>
      <c r="BA75" s="221" t="s">
        <v>639</v>
      </c>
      <c r="BB75" s="221"/>
      <c r="BC75" s="233" t="s">
        <v>364</v>
      </c>
      <c r="BF75" s="51"/>
    </row>
    <row r="76" spans="1:58" ht="14.9" customHeight="1">
      <c r="A76" s="220">
        <f t="shared" si="21"/>
        <v>75</v>
      </c>
      <c r="B76" s="221" t="s">
        <v>405</v>
      </c>
      <c r="C76" s="221" t="s">
        <v>606</v>
      </c>
      <c r="D76" s="221" t="s">
        <v>365</v>
      </c>
      <c r="E76" s="221" t="s">
        <v>607</v>
      </c>
      <c r="F76" s="221" t="s">
        <v>608</v>
      </c>
      <c r="G76" s="222" t="s">
        <v>640</v>
      </c>
      <c r="H76" s="221" t="s">
        <v>397</v>
      </c>
      <c r="I76" s="221" t="s">
        <v>497</v>
      </c>
      <c r="J76" s="221" t="s">
        <v>641</v>
      </c>
      <c r="K76" s="221" t="s">
        <v>642</v>
      </c>
      <c r="L76" s="221">
        <v>-74.786993842555006</v>
      </c>
      <c r="M76" s="221">
        <v>10.985841090876299</v>
      </c>
      <c r="N76" s="223" t="s">
        <v>228</v>
      </c>
      <c r="O76" s="230" t="s">
        <v>229</v>
      </c>
      <c r="P76" s="224">
        <v>3559766405</v>
      </c>
      <c r="Q76" s="225">
        <v>1</v>
      </c>
      <c r="R76" s="225">
        <v>0.99</v>
      </c>
      <c r="S76" s="225">
        <f t="shared" si="16"/>
        <v>-1.0000000000000009E-2</v>
      </c>
      <c r="T76" s="225" t="str" cm="1">
        <f t="array" ref="T76">+_xlfn.IFS($P76&lt;=10000000000,IF(S76&gt;-0.05,"Verde",IF(S76&lt;=-0.1,"Rojo","Amarillo")),$P76&gt;10000000000,IF(S76&gt;-0.03,"Verde",IF(S76&lt;=-0.07,"Rojo","Amarillo")))</f>
        <v>Verde</v>
      </c>
      <c r="U76" s="226">
        <v>44831</v>
      </c>
      <c r="V76" s="226">
        <v>44862</v>
      </c>
      <c r="W76" s="226">
        <v>44901</v>
      </c>
      <c r="X76" s="226">
        <v>44926</v>
      </c>
      <c r="Y76" s="272">
        <v>45930</v>
      </c>
      <c r="Z76" s="225" t="str">
        <f t="shared" ca="1" si="17"/>
        <v>En_Ejecución</v>
      </c>
      <c r="AA76" s="225" t="str">
        <f t="shared" ca="1" si="20"/>
        <v>-</v>
      </c>
      <c r="AB76" s="273"/>
      <c r="AC76" s="272"/>
      <c r="AD76" s="227">
        <v>45853</v>
      </c>
      <c r="AE76" s="221" t="s">
        <v>613</v>
      </c>
      <c r="AF76" s="223" t="s">
        <v>614</v>
      </c>
      <c r="AG76" s="223" t="s">
        <v>615</v>
      </c>
      <c r="AH76" s="223" t="s">
        <v>323</v>
      </c>
      <c r="AI76" s="221" t="s">
        <v>616</v>
      </c>
      <c r="AJ76" s="223" t="s">
        <v>617</v>
      </c>
      <c r="AK76" s="223" t="s">
        <v>618</v>
      </c>
      <c r="AL76" s="230" t="s">
        <v>619</v>
      </c>
      <c r="AM76" s="231">
        <v>3559766405</v>
      </c>
      <c r="AN76" s="231">
        <v>0</v>
      </c>
      <c r="AO76" s="231">
        <f t="shared" si="18"/>
        <v>3559766405</v>
      </c>
      <c r="AP76" s="231">
        <v>27569081197.830002</v>
      </c>
      <c r="AQ76" s="231">
        <v>26728811132.41</v>
      </c>
      <c r="AR76" s="231">
        <v>206705733</v>
      </c>
      <c r="AS76" s="231"/>
      <c r="AT76" s="231">
        <f t="shared" si="19"/>
        <v>206705733</v>
      </c>
      <c r="AU76" s="231">
        <v>1552067709.4200001</v>
      </c>
      <c r="AV76" s="231">
        <v>1552067709.4200001</v>
      </c>
      <c r="AW76" s="232" t="s">
        <v>643</v>
      </c>
      <c r="AX76" s="232" t="s">
        <v>620</v>
      </c>
      <c r="AY76" s="232" t="s">
        <v>621</v>
      </c>
      <c r="AZ76" s="232" t="s">
        <v>622</v>
      </c>
      <c r="BA76" s="221" t="s">
        <v>644</v>
      </c>
      <c r="BB76" s="221"/>
      <c r="BC76" s="233" t="s">
        <v>364</v>
      </c>
      <c r="BF76" s="51"/>
    </row>
    <row r="77" spans="1:58" ht="13.5" customHeight="1">
      <c r="A77" s="220">
        <f t="shared" si="21"/>
        <v>76</v>
      </c>
      <c r="B77" s="221" t="s">
        <v>405</v>
      </c>
      <c r="C77" s="221" t="s">
        <v>606</v>
      </c>
      <c r="D77" s="221" t="s">
        <v>365</v>
      </c>
      <c r="E77" s="221" t="s">
        <v>607</v>
      </c>
      <c r="F77" s="221" t="s">
        <v>608</v>
      </c>
      <c r="G77" s="222" t="s">
        <v>645</v>
      </c>
      <c r="H77" s="221" t="s">
        <v>154</v>
      </c>
      <c r="I77" s="221" t="s">
        <v>630</v>
      </c>
      <c r="J77" s="221" t="s">
        <v>646</v>
      </c>
      <c r="K77" s="221" t="s">
        <v>647</v>
      </c>
      <c r="L77" s="221">
        <v>-74.805361930000004</v>
      </c>
      <c r="M77" s="221">
        <v>10.97291023</v>
      </c>
      <c r="N77" s="223" t="s">
        <v>228</v>
      </c>
      <c r="O77" s="230" t="s">
        <v>229</v>
      </c>
      <c r="P77" s="224">
        <v>138325539</v>
      </c>
      <c r="Q77" s="225">
        <v>1</v>
      </c>
      <c r="R77" s="225">
        <v>1</v>
      </c>
      <c r="S77" s="225">
        <f t="shared" si="16"/>
        <v>0</v>
      </c>
      <c r="T77" s="225" t="str" cm="1">
        <f t="array" ref="T77">+_xlfn.IFS($P77&lt;=10000000000,IF(S77&gt;-0.05,"Verde",IF(S77&lt;=-0.1,"Rojo","Amarillo")),$P77&gt;10000000000,IF(S77&gt;-0.03,"Verde",IF(S77&lt;=-0.07,"Rojo","Amarillo")))</f>
        <v>Verde</v>
      </c>
      <c r="U77" s="226">
        <v>44831</v>
      </c>
      <c r="V77" s="226">
        <v>44862</v>
      </c>
      <c r="W77" s="226">
        <v>44901</v>
      </c>
      <c r="X77" s="226">
        <v>44926</v>
      </c>
      <c r="Y77" s="272">
        <v>45930</v>
      </c>
      <c r="Z77" s="225" t="str">
        <f t="shared" ca="1" si="17"/>
        <v>En_Ejecución</v>
      </c>
      <c r="AA77" s="225" t="str">
        <f t="shared" ca="1" si="20"/>
        <v>-</v>
      </c>
      <c r="AB77" s="273"/>
      <c r="AC77" s="272"/>
      <c r="AD77" s="227">
        <v>45499</v>
      </c>
      <c r="AE77" s="221" t="s">
        <v>613</v>
      </c>
      <c r="AF77" s="223" t="s">
        <v>614</v>
      </c>
      <c r="AG77" s="223" t="s">
        <v>648</v>
      </c>
      <c r="AH77" s="223" t="s">
        <v>323</v>
      </c>
      <c r="AI77" s="221" t="s">
        <v>616</v>
      </c>
      <c r="AJ77" s="223" t="s">
        <v>617</v>
      </c>
      <c r="AK77" s="223" t="s">
        <v>649</v>
      </c>
      <c r="AL77" s="230" t="s">
        <v>619</v>
      </c>
      <c r="AM77" s="231">
        <v>138325539</v>
      </c>
      <c r="AN77" s="231">
        <v>0</v>
      </c>
      <c r="AO77" s="231">
        <f t="shared" si="18"/>
        <v>138325539</v>
      </c>
      <c r="AP77" s="231">
        <v>27569081197.830002</v>
      </c>
      <c r="AQ77" s="231">
        <v>26728811132.41</v>
      </c>
      <c r="AR77" s="231">
        <v>8032179</v>
      </c>
      <c r="AS77" s="231"/>
      <c r="AT77" s="231">
        <f t="shared" si="19"/>
        <v>8032179</v>
      </c>
      <c r="AU77" s="231">
        <v>1552067709.4200001</v>
      </c>
      <c r="AV77" s="231">
        <v>1552067709.4200001</v>
      </c>
      <c r="AW77" s="232" t="s">
        <v>650</v>
      </c>
      <c r="AX77" s="232" t="s">
        <v>620</v>
      </c>
      <c r="AY77" s="232" t="s">
        <v>621</v>
      </c>
      <c r="AZ77" s="232" t="s">
        <v>622</v>
      </c>
      <c r="BA77" s="221" t="s">
        <v>623</v>
      </c>
      <c r="BB77" s="221"/>
      <c r="BC77" s="233" t="s">
        <v>128</v>
      </c>
      <c r="BF77" s="51"/>
    </row>
    <row r="78" spans="1:58" ht="13.5" customHeight="1">
      <c r="A78" s="220">
        <f t="shared" si="21"/>
        <v>77</v>
      </c>
      <c r="B78" s="221" t="s">
        <v>405</v>
      </c>
      <c r="C78" s="221" t="s">
        <v>606</v>
      </c>
      <c r="D78" s="221" t="s">
        <v>365</v>
      </c>
      <c r="E78" s="221" t="s">
        <v>607</v>
      </c>
      <c r="F78" s="221" t="s">
        <v>608</v>
      </c>
      <c r="G78" s="222" t="s">
        <v>651</v>
      </c>
      <c r="H78" s="221" t="s">
        <v>154</v>
      </c>
      <c r="I78" s="221" t="s">
        <v>652</v>
      </c>
      <c r="J78" s="221" t="s">
        <v>653</v>
      </c>
      <c r="K78" s="221" t="s">
        <v>654</v>
      </c>
      <c r="L78" s="221">
        <v>-74.804780910000005</v>
      </c>
      <c r="M78" s="221">
        <v>10.97645661</v>
      </c>
      <c r="N78" s="223" t="s">
        <v>228</v>
      </c>
      <c r="O78" s="230" t="s">
        <v>229</v>
      </c>
      <c r="P78" s="224">
        <v>301355388</v>
      </c>
      <c r="Q78" s="225">
        <v>1</v>
      </c>
      <c r="R78" s="225">
        <v>1</v>
      </c>
      <c r="S78" s="225">
        <f t="shared" si="16"/>
        <v>0</v>
      </c>
      <c r="T78" s="225" t="str" cm="1">
        <f t="array" ref="T78">+_xlfn.IFS($P78&lt;=10000000000,IF(S78&gt;-0.05,"Verde",IF(S78&lt;=-0.1,"Rojo","Amarillo")),$P78&gt;10000000000,IF(S78&gt;-0.03,"Verde",IF(S78&lt;=-0.07,"Rojo","Amarillo")))</f>
        <v>Verde</v>
      </c>
      <c r="U78" s="226">
        <v>44831</v>
      </c>
      <c r="V78" s="226">
        <v>44862</v>
      </c>
      <c r="W78" s="226">
        <v>44901</v>
      </c>
      <c r="X78" s="226">
        <v>44926</v>
      </c>
      <c r="Y78" s="272">
        <v>45930</v>
      </c>
      <c r="Z78" s="225" t="str">
        <f t="shared" ca="1" si="17"/>
        <v>En_Ejecución</v>
      </c>
      <c r="AA78" s="225" t="str">
        <f t="shared" ca="1" si="20"/>
        <v>-</v>
      </c>
      <c r="AB78" s="273"/>
      <c r="AC78" s="272"/>
      <c r="AD78" s="227">
        <v>45594</v>
      </c>
      <c r="AE78" s="221" t="s">
        <v>613</v>
      </c>
      <c r="AF78" s="223" t="s">
        <v>614</v>
      </c>
      <c r="AG78" s="223" t="s">
        <v>648</v>
      </c>
      <c r="AH78" s="223" t="s">
        <v>323</v>
      </c>
      <c r="AI78" s="221" t="s">
        <v>616</v>
      </c>
      <c r="AJ78" s="223" t="s">
        <v>617</v>
      </c>
      <c r="AK78" s="223" t="s">
        <v>649</v>
      </c>
      <c r="AL78" s="230" t="s">
        <v>619</v>
      </c>
      <c r="AM78" s="231">
        <v>301355388</v>
      </c>
      <c r="AN78" s="231">
        <v>0</v>
      </c>
      <c r="AO78" s="231">
        <f t="shared" si="18"/>
        <v>301355388</v>
      </c>
      <c r="AP78" s="231">
        <v>27569081197.830002</v>
      </c>
      <c r="AQ78" s="231">
        <v>26728811132.41</v>
      </c>
      <c r="AR78" s="231">
        <v>17498869</v>
      </c>
      <c r="AS78" s="231"/>
      <c r="AT78" s="231">
        <f t="shared" si="19"/>
        <v>17498869</v>
      </c>
      <c r="AU78" s="231">
        <v>1552067709.4200001</v>
      </c>
      <c r="AV78" s="231">
        <v>1552067709.4200001</v>
      </c>
      <c r="AW78" s="232" t="s">
        <v>655</v>
      </c>
      <c r="AX78" s="232" t="s">
        <v>620</v>
      </c>
      <c r="AY78" s="232" t="s">
        <v>621</v>
      </c>
      <c r="AZ78" s="232" t="s">
        <v>622</v>
      </c>
      <c r="BA78" s="221" t="s">
        <v>623</v>
      </c>
      <c r="BB78" s="221"/>
      <c r="BC78" s="233" t="s">
        <v>128</v>
      </c>
      <c r="BF78" s="51"/>
    </row>
    <row r="79" spans="1:58" ht="13.5" customHeight="1">
      <c r="A79" s="220">
        <f t="shared" si="21"/>
        <v>78</v>
      </c>
      <c r="B79" s="221" t="s">
        <v>405</v>
      </c>
      <c r="C79" s="221" t="s">
        <v>606</v>
      </c>
      <c r="D79" s="221" t="s">
        <v>365</v>
      </c>
      <c r="E79" s="221" t="s">
        <v>607</v>
      </c>
      <c r="F79" s="221" t="s">
        <v>608</v>
      </c>
      <c r="G79" s="222" t="s">
        <v>656</v>
      </c>
      <c r="H79" s="221" t="s">
        <v>397</v>
      </c>
      <c r="I79" s="221" t="s">
        <v>486</v>
      </c>
      <c r="J79" s="221" t="s">
        <v>657</v>
      </c>
      <c r="K79" s="221" t="s">
        <v>658</v>
      </c>
      <c r="L79" s="221">
        <v>-74.782328559999996</v>
      </c>
      <c r="M79" s="221">
        <v>10.978455179999999</v>
      </c>
      <c r="N79" s="223" t="s">
        <v>228</v>
      </c>
      <c r="O79" s="230" t="s">
        <v>229</v>
      </c>
      <c r="P79" s="224">
        <v>245789393</v>
      </c>
      <c r="Q79" s="225">
        <v>1</v>
      </c>
      <c r="R79" s="225">
        <v>1</v>
      </c>
      <c r="S79" s="225">
        <f t="shared" si="16"/>
        <v>0</v>
      </c>
      <c r="T79" s="225" t="str" cm="1">
        <f t="array" ref="T79">+_xlfn.IFS($P79&lt;=10000000000,IF(S79&gt;-0.05,"Verde",IF(S79&lt;=-0.1,"Rojo","Amarillo")),$P79&gt;10000000000,IF(S79&gt;-0.03,"Verde",IF(S79&lt;=-0.07,"Rojo","Amarillo")))</f>
        <v>Verde</v>
      </c>
      <c r="U79" s="226">
        <v>44831</v>
      </c>
      <c r="V79" s="226">
        <v>44862</v>
      </c>
      <c r="W79" s="226">
        <v>44901</v>
      </c>
      <c r="X79" s="226">
        <v>44926</v>
      </c>
      <c r="Y79" s="272">
        <v>45930</v>
      </c>
      <c r="Z79" s="225" t="str">
        <f t="shared" ca="1" si="17"/>
        <v>En_Ejecución</v>
      </c>
      <c r="AA79" s="225" t="str">
        <f t="shared" ca="1" si="20"/>
        <v>-</v>
      </c>
      <c r="AB79" s="273"/>
      <c r="AC79" s="272"/>
      <c r="AD79" s="227">
        <v>45674</v>
      </c>
      <c r="AE79" s="221" t="s">
        <v>613</v>
      </c>
      <c r="AF79" s="223" t="s">
        <v>614</v>
      </c>
      <c r="AG79" s="223" t="s">
        <v>648</v>
      </c>
      <c r="AH79" s="223" t="s">
        <v>323</v>
      </c>
      <c r="AI79" s="221" t="s">
        <v>616</v>
      </c>
      <c r="AJ79" s="223" t="s">
        <v>617</v>
      </c>
      <c r="AK79" s="223" t="s">
        <v>649</v>
      </c>
      <c r="AL79" s="230" t="s">
        <v>619</v>
      </c>
      <c r="AM79" s="231">
        <v>245789393</v>
      </c>
      <c r="AN79" s="231">
        <v>0</v>
      </c>
      <c r="AO79" s="231">
        <f t="shared" si="18"/>
        <v>245789393</v>
      </c>
      <c r="AP79" s="231">
        <v>27569081197.830002</v>
      </c>
      <c r="AQ79" s="231">
        <v>26728811132.41</v>
      </c>
      <c r="AR79" s="231">
        <v>14272306</v>
      </c>
      <c r="AS79" s="231"/>
      <c r="AT79" s="231">
        <f t="shared" si="19"/>
        <v>14272306</v>
      </c>
      <c r="AU79" s="231">
        <v>1552067709.4200001</v>
      </c>
      <c r="AV79" s="231">
        <v>1552067709.4200001</v>
      </c>
      <c r="AW79" s="232" t="s">
        <v>659</v>
      </c>
      <c r="AX79" s="232" t="s">
        <v>620</v>
      </c>
      <c r="AY79" s="232" t="s">
        <v>621</v>
      </c>
      <c r="AZ79" s="232" t="s">
        <v>622</v>
      </c>
      <c r="BA79" s="221" t="s">
        <v>623</v>
      </c>
      <c r="BB79" s="221"/>
      <c r="BC79" s="233" t="s">
        <v>128</v>
      </c>
      <c r="BF79" s="51"/>
    </row>
    <row r="80" spans="1:58" ht="13.5" customHeight="1">
      <c r="A80" s="220">
        <f t="shared" si="21"/>
        <v>79</v>
      </c>
      <c r="B80" s="221" t="s">
        <v>405</v>
      </c>
      <c r="C80" s="221" t="s">
        <v>606</v>
      </c>
      <c r="D80" s="221" t="s">
        <v>365</v>
      </c>
      <c r="E80" s="221" t="s">
        <v>607</v>
      </c>
      <c r="F80" s="221" t="s">
        <v>608</v>
      </c>
      <c r="G80" s="222" t="s">
        <v>660</v>
      </c>
      <c r="H80" s="221" t="s">
        <v>154</v>
      </c>
      <c r="I80" s="221" t="s">
        <v>661</v>
      </c>
      <c r="J80" s="221" t="s">
        <v>662</v>
      </c>
      <c r="K80" s="221" t="s">
        <v>663</v>
      </c>
      <c r="L80" s="221">
        <v>-74.816548330000003</v>
      </c>
      <c r="M80" s="221">
        <v>10.977097949999999</v>
      </c>
      <c r="N80" s="223" t="s">
        <v>228</v>
      </c>
      <c r="O80" s="230" t="s">
        <v>229</v>
      </c>
      <c r="P80" s="224">
        <v>277730081.36000001</v>
      </c>
      <c r="Q80" s="225">
        <v>1</v>
      </c>
      <c r="R80" s="225">
        <v>1</v>
      </c>
      <c r="S80" s="225">
        <f t="shared" si="16"/>
        <v>0</v>
      </c>
      <c r="T80" s="225" t="str" cm="1">
        <f t="array" ref="T80">+_xlfn.IFS($P80&lt;=10000000000,IF(S80&gt;-0.05,"Verde",IF(S80&lt;=-0.1,"Rojo","Amarillo")),$P80&gt;10000000000,IF(S80&gt;-0.03,"Verde",IF(S80&lt;=-0.07,"Rojo","Amarillo")))</f>
        <v>Verde</v>
      </c>
      <c r="U80" s="226">
        <v>44831</v>
      </c>
      <c r="V80" s="226">
        <v>44862</v>
      </c>
      <c r="W80" s="226">
        <v>44901</v>
      </c>
      <c r="X80" s="226">
        <v>44926</v>
      </c>
      <c r="Y80" s="272">
        <v>45930</v>
      </c>
      <c r="Z80" s="225" t="str">
        <f t="shared" ca="1" si="17"/>
        <v>En_Ejecución</v>
      </c>
      <c r="AA80" s="225" t="str">
        <f t="shared" ca="1" si="20"/>
        <v>-</v>
      </c>
      <c r="AB80" s="273"/>
      <c r="AC80" s="272"/>
      <c r="AD80" s="227">
        <v>45772</v>
      </c>
      <c r="AE80" s="221" t="s">
        <v>613</v>
      </c>
      <c r="AF80" s="223" t="s">
        <v>614</v>
      </c>
      <c r="AG80" s="223" t="s">
        <v>648</v>
      </c>
      <c r="AH80" s="223" t="s">
        <v>323</v>
      </c>
      <c r="AI80" s="221" t="s">
        <v>616</v>
      </c>
      <c r="AJ80" s="223" t="s">
        <v>617</v>
      </c>
      <c r="AK80" s="223" t="s">
        <v>649</v>
      </c>
      <c r="AL80" s="230" t="s">
        <v>619</v>
      </c>
      <c r="AM80" s="231">
        <v>277730081.36000001</v>
      </c>
      <c r="AN80" s="231">
        <v>0</v>
      </c>
      <c r="AO80" s="231">
        <f t="shared" si="18"/>
        <v>277730081.36000001</v>
      </c>
      <c r="AP80" s="231">
        <v>27569081197.830002</v>
      </c>
      <c r="AQ80" s="231">
        <v>26728811132.41</v>
      </c>
      <c r="AR80" s="231">
        <v>16127013</v>
      </c>
      <c r="AS80" s="231"/>
      <c r="AT80" s="231">
        <f t="shared" si="19"/>
        <v>16127013</v>
      </c>
      <c r="AU80" s="231">
        <v>1552067709.4200001</v>
      </c>
      <c r="AV80" s="231">
        <v>1552067709.4200001</v>
      </c>
      <c r="AW80" s="232" t="s">
        <v>664</v>
      </c>
      <c r="AX80" s="232" t="s">
        <v>620</v>
      </c>
      <c r="AY80" s="232" t="s">
        <v>621</v>
      </c>
      <c r="AZ80" s="232" t="s">
        <v>622</v>
      </c>
      <c r="BA80" s="221" t="s">
        <v>623</v>
      </c>
      <c r="BB80" s="221"/>
      <c r="BC80" s="233" t="s">
        <v>128</v>
      </c>
      <c r="BF80" s="51"/>
    </row>
    <row r="81" spans="1:58" ht="13.5" customHeight="1">
      <c r="A81" s="220">
        <f t="shared" si="21"/>
        <v>80</v>
      </c>
      <c r="B81" s="221" t="s">
        <v>405</v>
      </c>
      <c r="C81" s="221" t="s">
        <v>606</v>
      </c>
      <c r="D81" s="221" t="s">
        <v>365</v>
      </c>
      <c r="E81" s="221" t="s">
        <v>607</v>
      </c>
      <c r="F81" s="221" t="s">
        <v>608</v>
      </c>
      <c r="G81" s="222" t="s">
        <v>665</v>
      </c>
      <c r="H81" s="221" t="s">
        <v>397</v>
      </c>
      <c r="I81" s="221" t="s">
        <v>486</v>
      </c>
      <c r="J81" s="221" t="s">
        <v>666</v>
      </c>
      <c r="K81" s="221" t="s">
        <v>667</v>
      </c>
      <c r="L81" s="221">
        <v>-74.787226110000006</v>
      </c>
      <c r="M81" s="221">
        <v>10.98309233</v>
      </c>
      <c r="N81" s="223" t="s">
        <v>228</v>
      </c>
      <c r="O81" s="230" t="s">
        <v>229</v>
      </c>
      <c r="P81" s="224">
        <v>153482039</v>
      </c>
      <c r="Q81" s="225">
        <v>1</v>
      </c>
      <c r="R81" s="225">
        <v>0.33</v>
      </c>
      <c r="S81" s="225">
        <f t="shared" si="16"/>
        <v>-0.66999999999999993</v>
      </c>
      <c r="T81" s="225" t="str" cm="1">
        <f t="array" ref="T81">+_xlfn.IFS($P81&lt;=10000000000,IF(S81&gt;-0.05,"Verde",IF(S81&lt;=-0.1,"Rojo","Amarillo")),$P81&gt;10000000000,IF(S81&gt;-0.03,"Verde",IF(S81&lt;=-0.07,"Rojo","Amarillo")))</f>
        <v>Rojo</v>
      </c>
      <c r="U81" s="226">
        <v>44831</v>
      </c>
      <c r="V81" s="226">
        <v>44862</v>
      </c>
      <c r="W81" s="226">
        <v>44901</v>
      </c>
      <c r="X81" s="226">
        <v>44926</v>
      </c>
      <c r="Y81" s="272">
        <v>45930</v>
      </c>
      <c r="Z81" s="225" t="str">
        <f t="shared" ca="1" si="17"/>
        <v>Rojo</v>
      </c>
      <c r="AA81" s="225" t="str">
        <f t="shared" ca="1" si="20"/>
        <v>En_Seguimiento</v>
      </c>
      <c r="AB81" s="273"/>
      <c r="AC81" s="272"/>
      <c r="AD81" s="227">
        <v>45884</v>
      </c>
      <c r="AE81" s="221" t="s">
        <v>613</v>
      </c>
      <c r="AF81" s="223" t="s">
        <v>614</v>
      </c>
      <c r="AG81" s="223" t="s">
        <v>648</v>
      </c>
      <c r="AH81" s="223" t="s">
        <v>323</v>
      </c>
      <c r="AI81" s="221" t="s">
        <v>616</v>
      </c>
      <c r="AJ81" s="223" t="s">
        <v>617</v>
      </c>
      <c r="AK81" s="223" t="s">
        <v>649</v>
      </c>
      <c r="AL81" s="230" t="s">
        <v>619</v>
      </c>
      <c r="AM81" s="231">
        <v>153482039</v>
      </c>
      <c r="AN81" s="231">
        <v>0</v>
      </c>
      <c r="AO81" s="231">
        <f t="shared" si="18"/>
        <v>153482039</v>
      </c>
      <c r="AP81" s="231">
        <v>27569081197.830002</v>
      </c>
      <c r="AQ81" s="231">
        <v>26728811132.41</v>
      </c>
      <c r="AR81" s="231">
        <v>8912275</v>
      </c>
      <c r="AS81" s="231"/>
      <c r="AT81" s="231">
        <f t="shared" si="19"/>
        <v>8912275</v>
      </c>
      <c r="AU81" s="231">
        <v>1552067709.4200001</v>
      </c>
      <c r="AV81" s="231">
        <v>1552067709.4200001</v>
      </c>
      <c r="AW81" s="232" t="s">
        <v>668</v>
      </c>
      <c r="AX81" s="232" t="s">
        <v>620</v>
      </c>
      <c r="AY81" s="232" t="s">
        <v>621</v>
      </c>
      <c r="AZ81" s="232" t="s">
        <v>622</v>
      </c>
      <c r="BA81" s="221" t="s">
        <v>669</v>
      </c>
      <c r="BB81" s="221"/>
      <c r="BC81" s="233" t="s">
        <v>128</v>
      </c>
      <c r="BF81" s="51"/>
    </row>
    <row r="82" spans="1:58" ht="13.5" customHeight="1">
      <c r="A82" s="220">
        <f t="shared" si="21"/>
        <v>81</v>
      </c>
      <c r="B82" s="221" t="s">
        <v>405</v>
      </c>
      <c r="C82" s="221" t="s">
        <v>606</v>
      </c>
      <c r="D82" s="221" t="s">
        <v>365</v>
      </c>
      <c r="E82" s="221" t="s">
        <v>607</v>
      </c>
      <c r="F82" s="221" t="s">
        <v>608</v>
      </c>
      <c r="G82" s="222" t="s">
        <v>670</v>
      </c>
      <c r="H82" s="221" t="s">
        <v>154</v>
      </c>
      <c r="I82" s="221" t="s">
        <v>671</v>
      </c>
      <c r="J82" s="221" t="s">
        <v>672</v>
      </c>
      <c r="K82" s="221" t="s">
        <v>673</v>
      </c>
      <c r="L82" s="221">
        <v>-74.829291920000003</v>
      </c>
      <c r="M82" s="221">
        <v>10.96282957</v>
      </c>
      <c r="N82" s="223" t="s">
        <v>228</v>
      </c>
      <c r="O82" s="230" t="s">
        <v>229</v>
      </c>
      <c r="P82" s="224">
        <v>151020467</v>
      </c>
      <c r="Q82" s="225">
        <v>1</v>
      </c>
      <c r="R82" s="225">
        <v>1</v>
      </c>
      <c r="S82" s="225">
        <f t="shared" si="16"/>
        <v>0</v>
      </c>
      <c r="T82" s="225" t="str" cm="1">
        <f t="array" ref="T82">+_xlfn.IFS($P82&lt;=10000000000,IF(S82&gt;-0.05,"Verde",IF(S82&lt;=-0.1,"Rojo","Amarillo")),$P82&gt;10000000000,IF(S82&gt;-0.03,"Verde",IF(S82&lt;=-0.07,"Rojo","Amarillo")))</f>
        <v>Verde</v>
      </c>
      <c r="U82" s="226">
        <v>44831</v>
      </c>
      <c r="V82" s="226">
        <v>44862</v>
      </c>
      <c r="W82" s="226">
        <v>44901</v>
      </c>
      <c r="X82" s="226">
        <v>44926</v>
      </c>
      <c r="Y82" s="272">
        <v>45930</v>
      </c>
      <c r="Z82" s="225" t="str">
        <f t="shared" ca="1" si="17"/>
        <v>En_Ejecución</v>
      </c>
      <c r="AA82" s="225" t="str">
        <f t="shared" ca="1" si="20"/>
        <v>-</v>
      </c>
      <c r="AB82" s="273"/>
      <c r="AC82" s="272"/>
      <c r="AD82" s="227">
        <v>45594</v>
      </c>
      <c r="AE82" s="221" t="s">
        <v>613</v>
      </c>
      <c r="AF82" s="223" t="s">
        <v>614</v>
      </c>
      <c r="AG82" s="223" t="s">
        <v>648</v>
      </c>
      <c r="AH82" s="223" t="s">
        <v>323</v>
      </c>
      <c r="AI82" s="221" t="s">
        <v>616</v>
      </c>
      <c r="AJ82" s="223" t="s">
        <v>617</v>
      </c>
      <c r="AK82" s="223" t="s">
        <v>649</v>
      </c>
      <c r="AL82" s="230"/>
      <c r="AM82" s="231">
        <v>151020467</v>
      </c>
      <c r="AN82" s="231">
        <v>0</v>
      </c>
      <c r="AO82" s="231">
        <f t="shared" si="18"/>
        <v>151020467</v>
      </c>
      <c r="AP82" s="231">
        <v>27569081197.830002</v>
      </c>
      <c r="AQ82" s="231">
        <v>26728811132.41</v>
      </c>
      <c r="AR82" s="231">
        <v>8769338</v>
      </c>
      <c r="AS82" s="231"/>
      <c r="AT82" s="231">
        <f t="shared" si="19"/>
        <v>8769338</v>
      </c>
      <c r="AU82" s="231">
        <v>1552067709.4200001</v>
      </c>
      <c r="AV82" s="231">
        <v>1552067709.4200001</v>
      </c>
      <c r="AW82" s="232" t="s">
        <v>674</v>
      </c>
      <c r="AX82" s="232" t="s">
        <v>620</v>
      </c>
      <c r="AY82" s="232" t="s">
        <v>621</v>
      </c>
      <c r="AZ82" s="232" t="s">
        <v>622</v>
      </c>
      <c r="BA82" s="221" t="s">
        <v>623</v>
      </c>
      <c r="BB82" s="221"/>
      <c r="BC82" s="233" t="s">
        <v>128</v>
      </c>
      <c r="BF82" s="51"/>
    </row>
    <row r="83" spans="1:58" ht="13.5" customHeight="1">
      <c r="A83" s="220">
        <f t="shared" si="21"/>
        <v>82</v>
      </c>
      <c r="B83" s="221" t="s">
        <v>405</v>
      </c>
      <c r="C83" s="221" t="s">
        <v>606</v>
      </c>
      <c r="D83" s="221" t="s">
        <v>365</v>
      </c>
      <c r="E83" s="221" t="s">
        <v>607</v>
      </c>
      <c r="F83" s="221" t="s">
        <v>608</v>
      </c>
      <c r="G83" s="222" t="s">
        <v>675</v>
      </c>
      <c r="H83" s="221" t="s">
        <v>582</v>
      </c>
      <c r="I83" s="221" t="s">
        <v>676</v>
      </c>
      <c r="J83" s="221" t="s">
        <v>677</v>
      </c>
      <c r="K83" s="221" t="s">
        <v>678</v>
      </c>
      <c r="L83" s="221">
        <v>-74.776794841624906</v>
      </c>
      <c r="M83" s="221">
        <v>10.9498001537004</v>
      </c>
      <c r="N83" s="223" t="s">
        <v>228</v>
      </c>
      <c r="O83" s="230" t="s">
        <v>229</v>
      </c>
      <c r="P83" s="224">
        <v>225259654</v>
      </c>
      <c r="Q83" s="225">
        <v>1</v>
      </c>
      <c r="R83" s="225">
        <v>1</v>
      </c>
      <c r="S83" s="225">
        <f t="shared" si="16"/>
        <v>0</v>
      </c>
      <c r="T83" s="225" t="str" cm="1">
        <f t="array" ref="T83">+_xlfn.IFS($P83&lt;=10000000000,IF(S83&gt;-0.05,"Verde",IF(S83&lt;=-0.1,"Rojo","Amarillo")),$P83&gt;10000000000,IF(S83&gt;-0.03,"Verde",IF(S83&lt;=-0.07,"Rojo","Amarillo")))</f>
        <v>Verde</v>
      </c>
      <c r="U83" s="226">
        <v>44831</v>
      </c>
      <c r="V83" s="226">
        <v>44862</v>
      </c>
      <c r="W83" s="226">
        <v>44901</v>
      </c>
      <c r="X83" s="226">
        <v>44926</v>
      </c>
      <c r="Y83" s="272">
        <v>45930</v>
      </c>
      <c r="Z83" s="225" t="str">
        <f t="shared" ca="1" si="17"/>
        <v>En_Ejecución</v>
      </c>
      <c r="AA83" s="225" t="str">
        <f t="shared" ca="1" si="20"/>
        <v>-</v>
      </c>
      <c r="AB83" s="273"/>
      <c r="AC83" s="272"/>
      <c r="AD83" s="227">
        <v>45594</v>
      </c>
      <c r="AE83" s="221" t="s">
        <v>613</v>
      </c>
      <c r="AF83" s="223" t="s">
        <v>614</v>
      </c>
      <c r="AG83" s="223" t="s">
        <v>648</v>
      </c>
      <c r="AH83" s="223" t="s">
        <v>323</v>
      </c>
      <c r="AI83" s="221" t="s">
        <v>616</v>
      </c>
      <c r="AJ83" s="223" t="s">
        <v>617</v>
      </c>
      <c r="AK83" s="223" t="s">
        <v>649</v>
      </c>
      <c r="AL83" s="230"/>
      <c r="AM83" s="231">
        <v>225259654</v>
      </c>
      <c r="AN83" s="231">
        <v>0</v>
      </c>
      <c r="AO83" s="231">
        <f t="shared" si="18"/>
        <v>225259654</v>
      </c>
      <c r="AP83" s="231">
        <v>27569081197.830002</v>
      </c>
      <c r="AQ83" s="231">
        <v>26728811132.41</v>
      </c>
      <c r="AR83" s="231">
        <v>13080201</v>
      </c>
      <c r="AS83" s="231"/>
      <c r="AT83" s="231">
        <f t="shared" si="19"/>
        <v>13080201</v>
      </c>
      <c r="AU83" s="231">
        <v>1552067709.4200001</v>
      </c>
      <c r="AV83" s="231">
        <v>1552067709.4200001</v>
      </c>
      <c r="AW83" s="232" t="s">
        <v>679</v>
      </c>
      <c r="AX83" s="232" t="s">
        <v>620</v>
      </c>
      <c r="AY83" s="232" t="s">
        <v>621</v>
      </c>
      <c r="AZ83" s="232" t="s">
        <v>622</v>
      </c>
      <c r="BA83" s="221" t="s">
        <v>623</v>
      </c>
      <c r="BB83" s="221"/>
      <c r="BC83" s="233" t="s">
        <v>128</v>
      </c>
      <c r="BF83" s="51"/>
    </row>
    <row r="84" spans="1:58" ht="13.5" customHeight="1">
      <c r="A84" s="220">
        <f t="shared" si="21"/>
        <v>83</v>
      </c>
      <c r="B84" s="221" t="s">
        <v>405</v>
      </c>
      <c r="C84" s="221" t="s">
        <v>606</v>
      </c>
      <c r="D84" s="221" t="s">
        <v>365</v>
      </c>
      <c r="E84" s="221" t="s">
        <v>607</v>
      </c>
      <c r="F84" s="221" t="s">
        <v>608</v>
      </c>
      <c r="G84" s="222" t="s">
        <v>680</v>
      </c>
      <c r="H84" s="221" t="s">
        <v>163</v>
      </c>
      <c r="I84" s="221" t="s">
        <v>610</v>
      </c>
      <c r="J84" s="221" t="s">
        <v>681</v>
      </c>
      <c r="K84" s="221" t="s">
        <v>682</v>
      </c>
      <c r="L84" s="221">
        <v>-74.807737948539895</v>
      </c>
      <c r="M84" s="221">
        <v>10.931444772491201</v>
      </c>
      <c r="N84" s="223" t="s">
        <v>228</v>
      </c>
      <c r="O84" s="230" t="s">
        <v>229</v>
      </c>
      <c r="P84" s="224">
        <v>547819451</v>
      </c>
      <c r="Q84" s="225">
        <v>1</v>
      </c>
      <c r="R84" s="225">
        <v>1</v>
      </c>
      <c r="S84" s="225">
        <f t="shared" si="16"/>
        <v>0</v>
      </c>
      <c r="T84" s="225" t="str" cm="1">
        <f t="array" ref="T84">+_xlfn.IFS($P84&lt;=10000000000,IF(S84&gt;-0.05,"Verde",IF(S84&lt;=-0.1,"Rojo","Amarillo")),$P84&gt;10000000000,IF(S84&gt;-0.03,"Verde",IF(S84&lt;=-0.07,"Rojo","Amarillo")))</f>
        <v>Verde</v>
      </c>
      <c r="U84" s="226">
        <v>44831</v>
      </c>
      <c r="V84" s="226">
        <v>44862</v>
      </c>
      <c r="W84" s="226">
        <v>44901</v>
      </c>
      <c r="X84" s="226">
        <v>44926</v>
      </c>
      <c r="Y84" s="272">
        <v>45930</v>
      </c>
      <c r="Z84" s="225" t="str">
        <f t="shared" ca="1" si="17"/>
        <v>En_Ejecución</v>
      </c>
      <c r="AA84" s="225" t="str">
        <f t="shared" ca="1" si="20"/>
        <v>-</v>
      </c>
      <c r="AB84" s="273"/>
      <c r="AC84" s="272"/>
      <c r="AD84" s="227">
        <v>45796</v>
      </c>
      <c r="AE84" s="221" t="s">
        <v>613</v>
      </c>
      <c r="AF84" s="223" t="s">
        <v>614</v>
      </c>
      <c r="AG84" s="223" t="s">
        <v>648</v>
      </c>
      <c r="AH84" s="223" t="s">
        <v>323</v>
      </c>
      <c r="AI84" s="221" t="s">
        <v>616</v>
      </c>
      <c r="AJ84" s="223" t="s">
        <v>617</v>
      </c>
      <c r="AK84" s="223" t="s">
        <v>649</v>
      </c>
      <c r="AL84" s="230"/>
      <c r="AM84" s="231">
        <v>547819451</v>
      </c>
      <c r="AN84" s="231">
        <v>0</v>
      </c>
      <c r="AO84" s="231">
        <f t="shared" si="18"/>
        <v>547819451</v>
      </c>
      <c r="AP84" s="231">
        <v>27569081197.830002</v>
      </c>
      <c r="AQ84" s="231">
        <v>26728811132.41</v>
      </c>
      <c r="AR84" s="231">
        <v>31810352</v>
      </c>
      <c r="AS84" s="231"/>
      <c r="AT84" s="231">
        <f t="shared" si="19"/>
        <v>31810352</v>
      </c>
      <c r="AU84" s="231">
        <v>1552067709.4200001</v>
      </c>
      <c r="AV84" s="231">
        <v>1552067709.4200001</v>
      </c>
      <c r="AW84" s="232" t="s">
        <v>683</v>
      </c>
      <c r="AX84" s="232" t="s">
        <v>620</v>
      </c>
      <c r="AY84" s="232" t="s">
        <v>621</v>
      </c>
      <c r="AZ84" s="232" t="s">
        <v>622</v>
      </c>
      <c r="BA84" s="221" t="s">
        <v>623</v>
      </c>
      <c r="BB84" s="221"/>
      <c r="BC84" s="233" t="s">
        <v>684</v>
      </c>
      <c r="BF84" s="51"/>
    </row>
    <row r="85" spans="1:58" ht="13.5" customHeight="1">
      <c r="A85" s="220">
        <f t="shared" si="21"/>
        <v>84</v>
      </c>
      <c r="B85" s="221" t="s">
        <v>405</v>
      </c>
      <c r="C85" s="221" t="s">
        <v>606</v>
      </c>
      <c r="D85" s="221" t="s">
        <v>365</v>
      </c>
      <c r="E85" s="221" t="s">
        <v>607</v>
      </c>
      <c r="F85" s="221" t="s">
        <v>608</v>
      </c>
      <c r="G85" s="222" t="s">
        <v>685</v>
      </c>
      <c r="H85" s="221" t="s">
        <v>582</v>
      </c>
      <c r="I85" s="221" t="s">
        <v>686</v>
      </c>
      <c r="J85" s="221" t="s">
        <v>687</v>
      </c>
      <c r="K85" s="221" t="s">
        <v>688</v>
      </c>
      <c r="L85" s="221">
        <v>-74.777579406211501</v>
      </c>
      <c r="M85" s="221">
        <v>10.943708330034999</v>
      </c>
      <c r="N85" s="223" t="s">
        <v>228</v>
      </c>
      <c r="O85" s="230" t="s">
        <v>229</v>
      </c>
      <c r="P85" s="224">
        <v>447711864</v>
      </c>
      <c r="Q85" s="225">
        <v>1</v>
      </c>
      <c r="R85" s="225">
        <v>1</v>
      </c>
      <c r="S85" s="225">
        <f t="shared" si="16"/>
        <v>0</v>
      </c>
      <c r="T85" s="225" t="str" cm="1">
        <f t="array" ref="T85">+_xlfn.IFS($P85&lt;=10000000000,IF(S85&gt;-0.05,"Verde",IF(S85&lt;=-0.1,"Rojo","Amarillo")),$P85&gt;10000000000,IF(S85&gt;-0.03,"Verde",IF(S85&lt;=-0.07,"Rojo","Amarillo")))</f>
        <v>Verde</v>
      </c>
      <c r="U85" s="226">
        <v>44831</v>
      </c>
      <c r="V85" s="226">
        <v>44862</v>
      </c>
      <c r="W85" s="226">
        <v>44901</v>
      </c>
      <c r="X85" s="226">
        <v>44926</v>
      </c>
      <c r="Y85" s="272">
        <v>45930</v>
      </c>
      <c r="Z85" s="225" t="str">
        <f t="shared" ca="1" si="17"/>
        <v>En_Ejecución</v>
      </c>
      <c r="AA85" s="225" t="str">
        <f t="shared" ca="1" si="20"/>
        <v>-</v>
      </c>
      <c r="AB85" s="273"/>
      <c r="AC85" s="272"/>
      <c r="AD85" s="227">
        <v>45772</v>
      </c>
      <c r="AE85" s="221" t="s">
        <v>613</v>
      </c>
      <c r="AF85" s="223" t="s">
        <v>614</v>
      </c>
      <c r="AG85" s="223" t="s">
        <v>648</v>
      </c>
      <c r="AH85" s="223" t="s">
        <v>323</v>
      </c>
      <c r="AI85" s="221" t="s">
        <v>616</v>
      </c>
      <c r="AJ85" s="223" t="s">
        <v>617</v>
      </c>
      <c r="AK85" s="223" t="s">
        <v>649</v>
      </c>
      <c r="AL85" s="230"/>
      <c r="AM85" s="231">
        <v>447711864</v>
      </c>
      <c r="AN85" s="231">
        <v>0</v>
      </c>
      <c r="AO85" s="231">
        <f t="shared" si="18"/>
        <v>447711864</v>
      </c>
      <c r="AP85" s="231">
        <v>27569081197.830002</v>
      </c>
      <c r="AQ85" s="231">
        <v>26728811132.41</v>
      </c>
      <c r="AR85" s="231">
        <v>25997383</v>
      </c>
      <c r="AS85" s="231"/>
      <c r="AT85" s="231">
        <f t="shared" si="19"/>
        <v>25997383</v>
      </c>
      <c r="AU85" s="231">
        <v>1552067709.4200001</v>
      </c>
      <c r="AV85" s="231">
        <v>1552067709.4200001</v>
      </c>
      <c r="AW85" s="232" t="s">
        <v>689</v>
      </c>
      <c r="AX85" s="232" t="s">
        <v>620</v>
      </c>
      <c r="AY85" s="232" t="s">
        <v>621</v>
      </c>
      <c r="AZ85" s="232" t="s">
        <v>622</v>
      </c>
      <c r="BA85" s="221" t="s">
        <v>623</v>
      </c>
      <c r="BB85" s="221"/>
      <c r="BC85" s="233" t="s">
        <v>684</v>
      </c>
      <c r="BF85" s="51"/>
    </row>
    <row r="86" spans="1:58" ht="13.5" customHeight="1">
      <c r="A86" s="220">
        <f t="shared" si="21"/>
        <v>85</v>
      </c>
      <c r="B86" s="221" t="s">
        <v>405</v>
      </c>
      <c r="C86" s="221" t="s">
        <v>606</v>
      </c>
      <c r="D86" s="221" t="s">
        <v>365</v>
      </c>
      <c r="E86" s="221" t="s">
        <v>607</v>
      </c>
      <c r="F86" s="221" t="s">
        <v>608</v>
      </c>
      <c r="G86" s="222" t="s">
        <v>690</v>
      </c>
      <c r="H86" s="221" t="s">
        <v>154</v>
      </c>
      <c r="I86" s="221" t="s">
        <v>691</v>
      </c>
      <c r="J86" s="221" t="s">
        <v>692</v>
      </c>
      <c r="K86" s="221" t="s">
        <v>693</v>
      </c>
      <c r="L86" s="221">
        <v>-74.807990345999997</v>
      </c>
      <c r="M86" s="221">
        <v>10.9788523925</v>
      </c>
      <c r="N86" s="223" t="s">
        <v>228</v>
      </c>
      <c r="O86" s="230" t="s">
        <v>229</v>
      </c>
      <c r="P86" s="224">
        <v>365000000</v>
      </c>
      <c r="Q86" s="225">
        <v>1</v>
      </c>
      <c r="R86" s="225">
        <v>1</v>
      </c>
      <c r="S86" s="225">
        <f t="shared" si="16"/>
        <v>0</v>
      </c>
      <c r="T86" s="225" t="str" cm="1">
        <f t="array" ref="T86">+_xlfn.IFS($P86&lt;=10000000000,IF(S86&gt;-0.05,"Verde",IF(S86&lt;=-0.1,"Rojo","Amarillo")),$P86&gt;10000000000,IF(S86&gt;-0.03,"Verde",IF(S86&lt;=-0.07,"Rojo","Amarillo")))</f>
        <v>Verde</v>
      </c>
      <c r="U86" s="226">
        <v>44831</v>
      </c>
      <c r="V86" s="226">
        <v>44862</v>
      </c>
      <c r="W86" s="226">
        <v>44901</v>
      </c>
      <c r="X86" s="226">
        <v>44926</v>
      </c>
      <c r="Y86" s="272">
        <v>45930</v>
      </c>
      <c r="Z86" s="225" t="str">
        <f t="shared" ca="1" si="17"/>
        <v>En_Ejecución</v>
      </c>
      <c r="AA86" s="225" t="str">
        <f t="shared" ca="1" si="20"/>
        <v>-</v>
      </c>
      <c r="AB86" s="273"/>
      <c r="AC86" s="272"/>
      <c r="AD86" s="227">
        <v>45915</v>
      </c>
      <c r="AE86" s="221" t="s">
        <v>613</v>
      </c>
      <c r="AF86" s="223" t="s">
        <v>614</v>
      </c>
      <c r="AG86" s="223" t="s">
        <v>648</v>
      </c>
      <c r="AH86" s="223" t="s">
        <v>323</v>
      </c>
      <c r="AI86" s="221" t="s">
        <v>616</v>
      </c>
      <c r="AJ86" s="223" t="s">
        <v>617</v>
      </c>
      <c r="AK86" s="223" t="s">
        <v>649</v>
      </c>
      <c r="AL86" s="230"/>
      <c r="AM86" s="231">
        <v>365000000</v>
      </c>
      <c r="AN86" s="231">
        <v>0</v>
      </c>
      <c r="AO86" s="231">
        <f t="shared" si="18"/>
        <v>365000000</v>
      </c>
      <c r="AP86" s="231">
        <v>27569081197.830002</v>
      </c>
      <c r="AQ86" s="231">
        <v>26728811132.41</v>
      </c>
      <c r="AR86" s="231">
        <v>21195779.789999999</v>
      </c>
      <c r="AS86" s="231">
        <v>0</v>
      </c>
      <c r="AT86" s="231">
        <f t="shared" si="19"/>
        <v>21195779.789999999</v>
      </c>
      <c r="AU86" s="231">
        <v>1552067709.4200001</v>
      </c>
      <c r="AV86" s="231">
        <v>1552067709.4200001</v>
      </c>
      <c r="AW86" s="232" t="s">
        <v>694</v>
      </c>
      <c r="AX86" s="232" t="s">
        <v>620</v>
      </c>
      <c r="AY86" s="232" t="s">
        <v>621</v>
      </c>
      <c r="AZ86" s="232" t="s">
        <v>622</v>
      </c>
      <c r="BA86" s="221" t="s">
        <v>695</v>
      </c>
      <c r="BB86" s="221"/>
      <c r="BC86" s="233" t="s">
        <v>684</v>
      </c>
      <c r="BF86" s="51"/>
    </row>
    <row r="87" spans="1:58" ht="13.5" customHeight="1">
      <c r="A87" s="220">
        <f t="shared" si="21"/>
        <v>86</v>
      </c>
      <c r="B87" s="221" t="s">
        <v>405</v>
      </c>
      <c r="C87" s="221" t="s">
        <v>606</v>
      </c>
      <c r="D87" s="221" t="s">
        <v>365</v>
      </c>
      <c r="E87" s="221" t="s">
        <v>607</v>
      </c>
      <c r="F87" s="221" t="s">
        <v>608</v>
      </c>
      <c r="G87" s="222" t="s">
        <v>696</v>
      </c>
      <c r="H87" s="221" t="s">
        <v>163</v>
      </c>
      <c r="I87" s="221" t="s">
        <v>697</v>
      </c>
      <c r="J87" s="221" t="s">
        <v>698</v>
      </c>
      <c r="K87" s="221" t="s">
        <v>699</v>
      </c>
      <c r="L87" s="221">
        <v>-74.821532650999998</v>
      </c>
      <c r="M87" s="221">
        <v>10.9309701218698</v>
      </c>
      <c r="N87" s="223" t="s">
        <v>228</v>
      </c>
      <c r="O87" s="230" t="s">
        <v>229</v>
      </c>
      <c r="P87" s="224">
        <v>558000000</v>
      </c>
      <c r="Q87" s="225">
        <v>0.98</v>
      </c>
      <c r="R87" s="225">
        <v>0.95</v>
      </c>
      <c r="S87" s="225">
        <f t="shared" si="16"/>
        <v>-3.0000000000000027E-2</v>
      </c>
      <c r="T87" s="225" t="str" cm="1">
        <f t="array" ref="T87">+_xlfn.IFS($P87&lt;=10000000000,IF(S87&gt;-0.05,"Verde",IF(S87&lt;=-0.1,"Rojo","Amarillo")),$P87&gt;10000000000,IF(S87&gt;-0.03,"Verde",IF(S87&lt;=-0.07,"Rojo","Amarillo")))</f>
        <v>Verde</v>
      </c>
      <c r="U87" s="226">
        <v>44831</v>
      </c>
      <c r="V87" s="226">
        <v>44862</v>
      </c>
      <c r="W87" s="226">
        <v>44901</v>
      </c>
      <c r="X87" s="226">
        <v>44926</v>
      </c>
      <c r="Y87" s="272">
        <v>45930</v>
      </c>
      <c r="Z87" s="225" t="str">
        <f t="shared" ca="1" si="17"/>
        <v>En_Ejecución</v>
      </c>
      <c r="AA87" s="225" t="str">
        <f t="shared" ca="1" si="20"/>
        <v>-</v>
      </c>
      <c r="AB87" s="273"/>
      <c r="AC87" s="272"/>
      <c r="AD87" s="227">
        <v>45930</v>
      </c>
      <c r="AE87" s="221" t="s">
        <v>613</v>
      </c>
      <c r="AF87" s="223" t="s">
        <v>614</v>
      </c>
      <c r="AG87" s="223" t="s">
        <v>648</v>
      </c>
      <c r="AH87" s="223" t="s">
        <v>323</v>
      </c>
      <c r="AI87" s="221" t="s">
        <v>616</v>
      </c>
      <c r="AJ87" s="223" t="s">
        <v>617</v>
      </c>
      <c r="AK87" s="223" t="s">
        <v>649</v>
      </c>
      <c r="AL87" s="230"/>
      <c r="AM87" s="231">
        <v>558000000</v>
      </c>
      <c r="AN87" s="231">
        <v>0</v>
      </c>
      <c r="AO87" s="231">
        <f t="shared" si="18"/>
        <v>558000000</v>
      </c>
      <c r="AP87" s="231">
        <v>27569081197.830002</v>
      </c>
      <c r="AQ87" s="231">
        <v>26728811132.41</v>
      </c>
      <c r="AR87" s="231">
        <v>32452891.649999999</v>
      </c>
      <c r="AS87" s="231">
        <v>0</v>
      </c>
      <c r="AT87" s="231">
        <f t="shared" si="19"/>
        <v>32452891.649999999</v>
      </c>
      <c r="AU87" s="231">
        <v>1552067709.4200001</v>
      </c>
      <c r="AV87" s="231">
        <v>1552067709.4200001</v>
      </c>
      <c r="AW87" s="232" t="s">
        <v>694</v>
      </c>
      <c r="AX87" s="232" t="s">
        <v>620</v>
      </c>
      <c r="AY87" s="232" t="s">
        <v>621</v>
      </c>
      <c r="AZ87" s="232" t="s">
        <v>622</v>
      </c>
      <c r="BA87" s="221" t="s">
        <v>700</v>
      </c>
      <c r="BB87" s="221"/>
      <c r="BC87" s="233" t="s">
        <v>684</v>
      </c>
      <c r="BF87" s="51"/>
    </row>
    <row r="88" spans="1:58" ht="13.5" customHeight="1">
      <c r="A88" s="220">
        <f t="shared" si="21"/>
        <v>87</v>
      </c>
      <c r="B88" s="221" t="s">
        <v>405</v>
      </c>
      <c r="C88" s="221" t="s">
        <v>606</v>
      </c>
      <c r="D88" s="221" t="s">
        <v>365</v>
      </c>
      <c r="E88" s="221" t="s">
        <v>607</v>
      </c>
      <c r="F88" s="221" t="s">
        <v>608</v>
      </c>
      <c r="G88" s="222" t="s">
        <v>701</v>
      </c>
      <c r="H88" s="221" t="s">
        <v>411</v>
      </c>
      <c r="I88" s="221" t="s">
        <v>702</v>
      </c>
      <c r="J88" s="221" t="s">
        <v>703</v>
      </c>
      <c r="K88" s="221" t="s">
        <v>704</v>
      </c>
      <c r="L88" s="221">
        <v>-74.807158630000004</v>
      </c>
      <c r="M88" s="221">
        <v>11.0231399477344</v>
      </c>
      <c r="N88" s="223" t="s">
        <v>228</v>
      </c>
      <c r="O88" s="230" t="s">
        <v>229</v>
      </c>
      <c r="P88" s="224">
        <v>598000000</v>
      </c>
      <c r="Q88" s="225">
        <v>0.99</v>
      </c>
      <c r="R88" s="225">
        <v>0.85</v>
      </c>
      <c r="S88" s="225">
        <f t="shared" si="16"/>
        <v>-0.14000000000000001</v>
      </c>
      <c r="T88" s="225" t="str" cm="1">
        <f t="array" ref="T88">+_xlfn.IFS($P88&lt;=10000000000,IF(S88&gt;-0.05,"Verde",IF(S88&lt;=-0.1,"Rojo","Amarillo")),$P88&gt;10000000000,IF(S88&gt;-0.03,"Verde",IF(S88&lt;=-0.07,"Rojo","Amarillo")))</f>
        <v>Rojo</v>
      </c>
      <c r="U88" s="226">
        <v>44831</v>
      </c>
      <c r="V88" s="226">
        <v>44862</v>
      </c>
      <c r="W88" s="226">
        <v>44901</v>
      </c>
      <c r="X88" s="226">
        <v>44926</v>
      </c>
      <c r="Y88" s="272">
        <v>45930</v>
      </c>
      <c r="Z88" s="225" t="str">
        <f t="shared" ca="1" si="17"/>
        <v>Rojo</v>
      </c>
      <c r="AA88" s="225" t="str">
        <f t="shared" ca="1" si="20"/>
        <v>En_Seguimiento</v>
      </c>
      <c r="AB88" s="273"/>
      <c r="AC88" s="272"/>
      <c r="AD88" s="227">
        <v>45926</v>
      </c>
      <c r="AE88" s="221" t="s">
        <v>613</v>
      </c>
      <c r="AF88" s="223" t="s">
        <v>614</v>
      </c>
      <c r="AG88" s="223" t="s">
        <v>648</v>
      </c>
      <c r="AH88" s="223" t="s">
        <v>323</v>
      </c>
      <c r="AI88" s="221" t="s">
        <v>616</v>
      </c>
      <c r="AJ88" s="223" t="s">
        <v>617</v>
      </c>
      <c r="AK88" s="223" t="s">
        <v>649</v>
      </c>
      <c r="AL88" s="230"/>
      <c r="AM88" s="231">
        <v>598000000</v>
      </c>
      <c r="AN88" s="231">
        <v>0</v>
      </c>
      <c r="AO88" s="231">
        <f t="shared" si="18"/>
        <v>598000000</v>
      </c>
      <c r="AP88" s="231">
        <v>27569081197.830002</v>
      </c>
      <c r="AQ88" s="231">
        <v>26728811132.41</v>
      </c>
      <c r="AR88" s="231">
        <v>34757322.579999998</v>
      </c>
      <c r="AS88" s="231">
        <v>0</v>
      </c>
      <c r="AT88" s="231">
        <v>34757322.579999998</v>
      </c>
      <c r="AU88" s="231">
        <v>1552067709.4200001</v>
      </c>
      <c r="AV88" s="231">
        <v>1552067709.4200001</v>
      </c>
      <c r="AW88" s="232" t="s">
        <v>694</v>
      </c>
      <c r="AX88" s="232" t="s">
        <v>620</v>
      </c>
      <c r="AY88" s="232" t="s">
        <v>621</v>
      </c>
      <c r="AZ88" s="232" t="s">
        <v>622</v>
      </c>
      <c r="BA88" s="221" t="s">
        <v>705</v>
      </c>
      <c r="BB88" s="221"/>
      <c r="BC88" s="233" t="s">
        <v>684</v>
      </c>
      <c r="BF88" s="51"/>
    </row>
    <row r="89" spans="1:58" ht="13.5" customHeight="1">
      <c r="A89" s="220">
        <f t="shared" si="21"/>
        <v>88</v>
      </c>
      <c r="B89" s="221" t="s">
        <v>405</v>
      </c>
      <c r="C89" s="221" t="s">
        <v>606</v>
      </c>
      <c r="D89" s="221" t="s">
        <v>365</v>
      </c>
      <c r="E89" s="221" t="s">
        <v>607</v>
      </c>
      <c r="F89" s="221" t="s">
        <v>608</v>
      </c>
      <c r="G89" s="222" t="s">
        <v>706</v>
      </c>
      <c r="H89" s="221" t="s">
        <v>154</v>
      </c>
      <c r="I89" s="221" t="s">
        <v>630</v>
      </c>
      <c r="J89" s="221" t="s">
        <v>707</v>
      </c>
      <c r="K89" s="221" t="s">
        <v>708</v>
      </c>
      <c r="L89" s="221">
        <v>-74.8102686420617</v>
      </c>
      <c r="M89" s="221">
        <v>10.9734802083538</v>
      </c>
      <c r="N89" s="223" t="s">
        <v>228</v>
      </c>
      <c r="O89" s="230" t="s">
        <v>229</v>
      </c>
      <c r="P89" s="224">
        <v>133000000</v>
      </c>
      <c r="Q89" s="225">
        <v>1</v>
      </c>
      <c r="R89" s="225">
        <v>1</v>
      </c>
      <c r="S89" s="225">
        <f t="shared" si="16"/>
        <v>0</v>
      </c>
      <c r="T89" s="225" t="str" cm="1">
        <f t="array" ref="T89">+_xlfn.IFS($P89&lt;=10000000000,IF(S89&gt;-0.05,"Verde",IF(S89&lt;=-0.1,"Rojo","Amarillo")),$P89&gt;10000000000,IF(S89&gt;-0.03,"Verde",IF(S89&lt;=-0.07,"Rojo","Amarillo")))</f>
        <v>Verde</v>
      </c>
      <c r="U89" s="226">
        <v>44831</v>
      </c>
      <c r="V89" s="226">
        <v>44862</v>
      </c>
      <c r="W89" s="226">
        <v>44901</v>
      </c>
      <c r="X89" s="226">
        <v>44926</v>
      </c>
      <c r="Y89" s="272">
        <v>45930</v>
      </c>
      <c r="Z89" s="225" t="str">
        <f t="shared" ca="1" si="17"/>
        <v>En_Ejecución</v>
      </c>
      <c r="AA89" s="225" t="str">
        <f t="shared" ca="1" si="20"/>
        <v>-</v>
      </c>
      <c r="AB89" s="273"/>
      <c r="AC89" s="272"/>
      <c r="AD89" s="227">
        <v>45868</v>
      </c>
      <c r="AE89" s="221" t="s">
        <v>613</v>
      </c>
      <c r="AF89" s="223" t="s">
        <v>614</v>
      </c>
      <c r="AG89" s="223" t="s">
        <v>648</v>
      </c>
      <c r="AH89" s="223" t="s">
        <v>323</v>
      </c>
      <c r="AI89" s="221" t="s">
        <v>616</v>
      </c>
      <c r="AJ89" s="223" t="s">
        <v>617</v>
      </c>
      <c r="AK89" s="223" t="s">
        <v>649</v>
      </c>
      <c r="AL89" s="230"/>
      <c r="AM89" s="231">
        <v>133000000</v>
      </c>
      <c r="AN89" s="231">
        <v>0</v>
      </c>
      <c r="AO89" s="231">
        <f t="shared" si="18"/>
        <v>133000000</v>
      </c>
      <c r="AP89" s="231">
        <v>27569081197.830002</v>
      </c>
      <c r="AQ89" s="231">
        <v>26728811132.41</v>
      </c>
      <c r="AR89" s="231">
        <v>7722940</v>
      </c>
      <c r="AS89" s="231">
        <v>0</v>
      </c>
      <c r="AT89" s="231">
        <v>7722940</v>
      </c>
      <c r="AU89" s="231">
        <v>1552067709.4200001</v>
      </c>
      <c r="AV89" s="231">
        <v>1552067709.4200001</v>
      </c>
      <c r="AW89" s="232" t="s">
        <v>694</v>
      </c>
      <c r="AX89" s="232" t="s">
        <v>620</v>
      </c>
      <c r="AY89" s="232" t="s">
        <v>621</v>
      </c>
      <c r="AZ89" s="232" t="s">
        <v>622</v>
      </c>
      <c r="BA89" s="221" t="s">
        <v>709</v>
      </c>
      <c r="BB89" s="221"/>
      <c r="BC89" s="233" t="s">
        <v>684</v>
      </c>
      <c r="BF89" s="51"/>
    </row>
    <row r="90" spans="1:58" ht="13.5" customHeight="1">
      <c r="A90" s="220">
        <f t="shared" si="21"/>
        <v>89</v>
      </c>
      <c r="B90" s="221" t="s">
        <v>405</v>
      </c>
      <c r="C90" s="221" t="s">
        <v>606</v>
      </c>
      <c r="D90" s="221" t="s">
        <v>365</v>
      </c>
      <c r="E90" s="221" t="s">
        <v>607</v>
      </c>
      <c r="F90" s="221" t="s">
        <v>608</v>
      </c>
      <c r="G90" s="222" t="s">
        <v>710</v>
      </c>
      <c r="H90" s="221" t="s">
        <v>397</v>
      </c>
      <c r="I90" s="221" t="s">
        <v>711</v>
      </c>
      <c r="J90" s="221" t="s">
        <v>712</v>
      </c>
      <c r="K90" s="221" t="s">
        <v>713</v>
      </c>
      <c r="L90" s="221">
        <v>-74.800704642883801</v>
      </c>
      <c r="M90" s="221">
        <v>10.9937841363919</v>
      </c>
      <c r="N90" s="223" t="s">
        <v>228</v>
      </c>
      <c r="O90" s="230" t="s">
        <v>229</v>
      </c>
      <c r="P90" s="224">
        <v>195000000</v>
      </c>
      <c r="Q90" s="225">
        <v>1</v>
      </c>
      <c r="R90" s="225">
        <v>1</v>
      </c>
      <c r="S90" s="225">
        <f t="shared" si="16"/>
        <v>0</v>
      </c>
      <c r="T90" s="225" t="str" cm="1">
        <f t="array" ref="T90">+_xlfn.IFS($P90&lt;=10000000000,IF(S90&gt;-0.05,"Verde",IF(S90&lt;=-0.1,"Rojo","Amarillo")),$P90&gt;10000000000,IF(S90&gt;-0.03,"Verde",IF(S90&lt;=-0.07,"Rojo","Amarillo")))</f>
        <v>Verde</v>
      </c>
      <c r="U90" s="226">
        <v>44831</v>
      </c>
      <c r="V90" s="226">
        <v>44862</v>
      </c>
      <c r="W90" s="226">
        <v>44901</v>
      </c>
      <c r="X90" s="226">
        <v>44926</v>
      </c>
      <c r="Y90" s="272">
        <v>45930</v>
      </c>
      <c r="Z90" s="225" t="str">
        <f t="shared" ca="1" si="17"/>
        <v>En_Ejecución</v>
      </c>
      <c r="AA90" s="225" t="str">
        <f t="shared" ca="1" si="20"/>
        <v>-</v>
      </c>
      <c r="AB90" s="273"/>
      <c r="AC90" s="272"/>
      <c r="AD90" s="227">
        <v>45930</v>
      </c>
      <c r="AE90" s="221" t="s">
        <v>613</v>
      </c>
      <c r="AF90" s="223" t="s">
        <v>614</v>
      </c>
      <c r="AG90" s="223" t="s">
        <v>648</v>
      </c>
      <c r="AH90" s="223" t="s">
        <v>323</v>
      </c>
      <c r="AI90" s="221" t="s">
        <v>616</v>
      </c>
      <c r="AJ90" s="223" t="s">
        <v>617</v>
      </c>
      <c r="AK90" s="223" t="s">
        <v>649</v>
      </c>
      <c r="AL90" s="230"/>
      <c r="AM90" s="231">
        <v>195000000</v>
      </c>
      <c r="AN90" s="231">
        <v>0</v>
      </c>
      <c r="AO90" s="231">
        <f t="shared" si="18"/>
        <v>195000000</v>
      </c>
      <c r="AP90" s="231">
        <v>27569081197.830002</v>
      </c>
      <c r="AQ90" s="231">
        <v>26728811132.41</v>
      </c>
      <c r="AR90" s="231">
        <v>11323108</v>
      </c>
      <c r="AS90" s="231">
        <v>0</v>
      </c>
      <c r="AT90" s="231">
        <v>11323108</v>
      </c>
      <c r="AU90" s="231">
        <v>1552067709.4200001</v>
      </c>
      <c r="AV90" s="231">
        <v>1552067709.4200001</v>
      </c>
      <c r="AW90" s="232" t="s">
        <v>694</v>
      </c>
      <c r="AX90" s="232" t="s">
        <v>620</v>
      </c>
      <c r="AY90" s="232" t="s">
        <v>621</v>
      </c>
      <c r="AZ90" s="232" t="s">
        <v>622</v>
      </c>
      <c r="BA90" s="221" t="s">
        <v>714</v>
      </c>
      <c r="BB90" s="221"/>
      <c r="BC90" s="233" t="s">
        <v>684</v>
      </c>
      <c r="BF90" s="51"/>
    </row>
    <row r="91" spans="1:58" ht="13.5" customHeight="1">
      <c r="A91" s="220">
        <f t="shared" si="21"/>
        <v>90</v>
      </c>
      <c r="B91" s="221" t="s">
        <v>405</v>
      </c>
      <c r="C91" s="221" t="s">
        <v>606</v>
      </c>
      <c r="D91" s="221" t="s">
        <v>365</v>
      </c>
      <c r="E91" s="221" t="s">
        <v>607</v>
      </c>
      <c r="F91" s="221" t="s">
        <v>608</v>
      </c>
      <c r="G91" s="222" t="s">
        <v>715</v>
      </c>
      <c r="H91" s="221" t="s">
        <v>154</v>
      </c>
      <c r="I91" s="221" t="s">
        <v>716</v>
      </c>
      <c r="J91" s="221" t="s">
        <v>717</v>
      </c>
      <c r="K91" s="221" t="s">
        <v>718</v>
      </c>
      <c r="L91" s="221">
        <v>-74.802425015639997</v>
      </c>
      <c r="M91" s="221">
        <v>10.9672064003044</v>
      </c>
      <c r="N91" s="223" t="s">
        <v>228</v>
      </c>
      <c r="O91" s="230" t="s">
        <v>229</v>
      </c>
      <c r="P91" s="224">
        <v>690821215.72000003</v>
      </c>
      <c r="Q91" s="225">
        <v>1</v>
      </c>
      <c r="R91" s="225">
        <v>0.88</v>
      </c>
      <c r="S91" s="225">
        <f t="shared" si="16"/>
        <v>-0.12</v>
      </c>
      <c r="T91" s="225" t="str" cm="1">
        <f t="array" ref="T91">+_xlfn.IFS($P91&lt;=10000000000,IF(S91&gt;-0.05,"Verde",IF(S91&lt;=-0.1,"Rojo","Amarillo")),$P91&gt;10000000000,IF(S91&gt;-0.03,"Verde",IF(S91&lt;=-0.07,"Rojo","Amarillo")))</f>
        <v>Rojo</v>
      </c>
      <c r="U91" s="226">
        <v>44831</v>
      </c>
      <c r="V91" s="226">
        <v>44862</v>
      </c>
      <c r="W91" s="226">
        <v>44901</v>
      </c>
      <c r="X91" s="226">
        <v>44926</v>
      </c>
      <c r="Y91" s="272">
        <v>45930</v>
      </c>
      <c r="Z91" s="225" t="str">
        <f t="shared" ca="1" si="17"/>
        <v>Rojo</v>
      </c>
      <c r="AA91" s="225" t="str">
        <f t="shared" ca="1" si="20"/>
        <v>En_Seguimiento</v>
      </c>
      <c r="AB91" s="273"/>
      <c r="AC91" s="272"/>
      <c r="AD91" s="227">
        <v>45880</v>
      </c>
      <c r="AE91" s="221" t="s">
        <v>613</v>
      </c>
      <c r="AF91" s="223" t="s">
        <v>614</v>
      </c>
      <c r="AG91" s="223" t="s">
        <v>648</v>
      </c>
      <c r="AH91" s="223" t="s">
        <v>323</v>
      </c>
      <c r="AI91" s="221" t="s">
        <v>616</v>
      </c>
      <c r="AJ91" s="223" t="s">
        <v>617</v>
      </c>
      <c r="AK91" s="223" t="s">
        <v>649</v>
      </c>
      <c r="AL91" s="230"/>
      <c r="AM91" s="231">
        <v>690821215.72000003</v>
      </c>
      <c r="AN91" s="231">
        <v>0</v>
      </c>
      <c r="AO91" s="231">
        <f t="shared" si="18"/>
        <v>690821215.72000003</v>
      </c>
      <c r="AP91" s="231">
        <v>27569081197.830002</v>
      </c>
      <c r="AQ91" s="231">
        <v>26728811132.41</v>
      </c>
      <c r="AR91" s="231">
        <v>40114066</v>
      </c>
      <c r="AS91" s="231">
        <v>0</v>
      </c>
      <c r="AT91" s="231">
        <v>40114066</v>
      </c>
      <c r="AU91" s="231">
        <v>1552067709.4200001</v>
      </c>
      <c r="AV91" s="231">
        <v>1552067709.4200001</v>
      </c>
      <c r="AW91" s="232" t="s">
        <v>694</v>
      </c>
      <c r="AX91" s="232" t="s">
        <v>620</v>
      </c>
      <c r="AY91" s="232" t="s">
        <v>621</v>
      </c>
      <c r="AZ91" s="232" t="s">
        <v>622</v>
      </c>
      <c r="BA91" s="221" t="s">
        <v>719</v>
      </c>
      <c r="BB91" s="221"/>
      <c r="BC91" s="233" t="s">
        <v>684</v>
      </c>
      <c r="BF91" s="51"/>
    </row>
    <row r="92" spans="1:58" ht="13.5" customHeight="1">
      <c r="A92" s="220">
        <f t="shared" si="21"/>
        <v>91</v>
      </c>
      <c r="B92" s="221" t="s">
        <v>405</v>
      </c>
      <c r="C92" s="221" t="s">
        <v>606</v>
      </c>
      <c r="D92" s="221" t="s">
        <v>365</v>
      </c>
      <c r="E92" s="221" t="s">
        <v>607</v>
      </c>
      <c r="F92" s="221" t="s">
        <v>608</v>
      </c>
      <c r="G92" s="222" t="s">
        <v>720</v>
      </c>
      <c r="H92" s="221" t="s">
        <v>154</v>
      </c>
      <c r="I92" s="221" t="s">
        <v>721</v>
      </c>
      <c r="J92" s="221" t="s">
        <v>722</v>
      </c>
      <c r="K92" s="221" t="s">
        <v>723</v>
      </c>
      <c r="L92" s="221">
        <v>-74.806414435047202</v>
      </c>
      <c r="M92" s="221">
        <v>10.960456852430299</v>
      </c>
      <c r="N92" s="223" t="s">
        <v>228</v>
      </c>
      <c r="O92" s="230" t="s">
        <v>229</v>
      </c>
      <c r="P92" s="224">
        <v>288130900.06</v>
      </c>
      <c r="Q92" s="225">
        <v>1</v>
      </c>
      <c r="R92" s="225">
        <v>0.72</v>
      </c>
      <c r="S92" s="225">
        <f t="shared" si="16"/>
        <v>-0.28000000000000003</v>
      </c>
      <c r="T92" s="225" t="str" cm="1">
        <f t="array" ref="T92">+_xlfn.IFS($P92&lt;=10000000000,IF(S92&gt;-0.05,"Verde",IF(S92&lt;=-0.1,"Rojo","Amarillo")),$P92&gt;10000000000,IF(S92&gt;-0.03,"Verde",IF(S92&lt;=-0.07,"Rojo","Amarillo")))</f>
        <v>Rojo</v>
      </c>
      <c r="U92" s="226">
        <v>44831</v>
      </c>
      <c r="V92" s="226">
        <v>44862</v>
      </c>
      <c r="W92" s="226">
        <v>44901</v>
      </c>
      <c r="X92" s="226">
        <v>44926</v>
      </c>
      <c r="Y92" s="272">
        <v>45930</v>
      </c>
      <c r="Z92" s="225" t="str">
        <f t="shared" ca="1" si="17"/>
        <v>Rojo</v>
      </c>
      <c r="AA92" s="225" t="str">
        <f t="shared" ca="1" si="20"/>
        <v>En_Seguimiento</v>
      </c>
      <c r="AB92" s="273"/>
      <c r="AC92" s="272"/>
      <c r="AD92" s="227">
        <v>45887</v>
      </c>
      <c r="AE92" s="221" t="s">
        <v>613</v>
      </c>
      <c r="AF92" s="223" t="s">
        <v>614</v>
      </c>
      <c r="AG92" s="223" t="s">
        <v>648</v>
      </c>
      <c r="AH92" s="223" t="s">
        <v>323</v>
      </c>
      <c r="AI92" s="221" t="s">
        <v>616</v>
      </c>
      <c r="AJ92" s="223" t="s">
        <v>617</v>
      </c>
      <c r="AK92" s="223" t="s">
        <v>649</v>
      </c>
      <c r="AL92" s="230"/>
      <c r="AM92" s="231">
        <v>288130900.06</v>
      </c>
      <c r="AN92" s="231">
        <v>0</v>
      </c>
      <c r="AO92" s="231">
        <f t="shared" si="18"/>
        <v>288130900.06</v>
      </c>
      <c r="AP92" s="231">
        <v>27569081197.830002</v>
      </c>
      <c r="AQ92" s="231">
        <v>26728811132.41</v>
      </c>
      <c r="AR92" s="231">
        <v>16730960</v>
      </c>
      <c r="AS92" s="231">
        <v>0</v>
      </c>
      <c r="AT92" s="231">
        <v>16730960</v>
      </c>
      <c r="AU92" s="231">
        <v>1552067709.4200001</v>
      </c>
      <c r="AV92" s="231">
        <v>1552067709.4200001</v>
      </c>
      <c r="AW92" s="232" t="s">
        <v>694</v>
      </c>
      <c r="AX92" s="232" t="s">
        <v>620</v>
      </c>
      <c r="AY92" s="232" t="s">
        <v>621</v>
      </c>
      <c r="AZ92" s="232" t="s">
        <v>622</v>
      </c>
      <c r="BA92" s="221" t="s">
        <v>724</v>
      </c>
      <c r="BB92" s="221"/>
      <c r="BC92" s="233" t="s">
        <v>684</v>
      </c>
      <c r="BF92" s="51"/>
    </row>
    <row r="93" spans="1:58" ht="13.5" customHeight="1">
      <c r="A93" s="220">
        <f t="shared" si="21"/>
        <v>92</v>
      </c>
      <c r="B93" s="221" t="s">
        <v>405</v>
      </c>
      <c r="C93" s="221" t="s">
        <v>606</v>
      </c>
      <c r="D93" s="221" t="s">
        <v>365</v>
      </c>
      <c r="E93" s="221" t="s">
        <v>607</v>
      </c>
      <c r="F93" s="221" t="s">
        <v>608</v>
      </c>
      <c r="G93" s="222" t="s">
        <v>725</v>
      </c>
      <c r="H93" s="221" t="s">
        <v>154</v>
      </c>
      <c r="I93" s="221" t="s">
        <v>726</v>
      </c>
      <c r="J93" s="221" t="s">
        <v>727</v>
      </c>
      <c r="K93" s="221" t="s">
        <v>728</v>
      </c>
      <c r="L93" s="221">
        <v>-74.809899331199404</v>
      </c>
      <c r="M93" s="221">
        <v>10.981923244893</v>
      </c>
      <c r="N93" s="223" t="s">
        <v>228</v>
      </c>
      <c r="O93" s="230" t="s">
        <v>229</v>
      </c>
      <c r="P93" s="224">
        <v>587276277.41999996</v>
      </c>
      <c r="Q93" s="225">
        <v>1</v>
      </c>
      <c r="R93" s="225">
        <v>0.82</v>
      </c>
      <c r="S93" s="225">
        <f t="shared" si="16"/>
        <v>-0.18000000000000005</v>
      </c>
      <c r="T93" s="225" t="str" cm="1">
        <f t="array" ref="T93">+_xlfn.IFS($P93&lt;=10000000000,IF(S93&gt;-0.05,"Verde",IF(S93&lt;=-0.1,"Rojo","Amarillo")),$P93&gt;10000000000,IF(S93&gt;-0.03,"Verde",IF(S93&lt;=-0.07,"Rojo","Amarillo")))</f>
        <v>Rojo</v>
      </c>
      <c r="U93" s="226">
        <v>44831</v>
      </c>
      <c r="V93" s="226">
        <v>44862</v>
      </c>
      <c r="W93" s="226">
        <v>44901</v>
      </c>
      <c r="X93" s="226">
        <v>44926</v>
      </c>
      <c r="Y93" s="272">
        <v>45930</v>
      </c>
      <c r="Z93" s="225" t="str">
        <f t="shared" ca="1" si="17"/>
        <v>Rojo</v>
      </c>
      <c r="AA93" s="225" t="str">
        <f t="shared" ca="1" si="20"/>
        <v>En_Seguimiento</v>
      </c>
      <c r="AB93" s="273"/>
      <c r="AC93" s="272"/>
      <c r="AD93" s="227">
        <v>45891</v>
      </c>
      <c r="AE93" s="221" t="s">
        <v>613</v>
      </c>
      <c r="AF93" s="223" t="s">
        <v>614</v>
      </c>
      <c r="AG93" s="223" t="s">
        <v>648</v>
      </c>
      <c r="AH93" s="223" t="s">
        <v>323</v>
      </c>
      <c r="AI93" s="221" t="s">
        <v>616</v>
      </c>
      <c r="AJ93" s="223" t="s">
        <v>617</v>
      </c>
      <c r="AK93" s="223" t="s">
        <v>649</v>
      </c>
      <c r="AL93" s="230"/>
      <c r="AM93" s="231">
        <v>587276277.41999996</v>
      </c>
      <c r="AN93" s="231">
        <v>0</v>
      </c>
      <c r="AO93" s="231">
        <f t="shared" si="18"/>
        <v>587276277.41999996</v>
      </c>
      <c r="AP93" s="231">
        <v>27569081197.830002</v>
      </c>
      <c r="AQ93" s="231">
        <v>26728811132.41</v>
      </c>
      <c r="AR93" s="231">
        <v>34101500</v>
      </c>
      <c r="AS93" s="231">
        <v>0</v>
      </c>
      <c r="AT93" s="231">
        <v>34101500</v>
      </c>
      <c r="AU93" s="231">
        <v>1552067709.4200001</v>
      </c>
      <c r="AV93" s="231">
        <v>1552067709.4200001</v>
      </c>
      <c r="AW93" s="232" t="s">
        <v>694</v>
      </c>
      <c r="AX93" s="232" t="s">
        <v>620</v>
      </c>
      <c r="AY93" s="232" t="s">
        <v>621</v>
      </c>
      <c r="AZ93" s="232" t="s">
        <v>622</v>
      </c>
      <c r="BA93" s="221" t="s">
        <v>729</v>
      </c>
      <c r="BB93" s="221"/>
      <c r="BC93" s="233" t="s">
        <v>684</v>
      </c>
      <c r="BF93" s="51"/>
    </row>
    <row r="94" spans="1:58" ht="13.5" customHeight="1">
      <c r="A94" s="220">
        <f t="shared" si="21"/>
        <v>93</v>
      </c>
      <c r="B94" s="221" t="s">
        <v>405</v>
      </c>
      <c r="C94" s="221" t="s">
        <v>606</v>
      </c>
      <c r="D94" s="221" t="s">
        <v>365</v>
      </c>
      <c r="E94" s="221" t="s">
        <v>607</v>
      </c>
      <c r="F94" s="221" t="s">
        <v>608</v>
      </c>
      <c r="G94" s="222" t="s">
        <v>730</v>
      </c>
      <c r="H94" s="221" t="s">
        <v>397</v>
      </c>
      <c r="I94" s="221" t="s">
        <v>497</v>
      </c>
      <c r="J94" s="221" t="s">
        <v>641</v>
      </c>
      <c r="K94" s="221" t="s">
        <v>642</v>
      </c>
      <c r="L94" s="221">
        <v>-74.786993842555006</v>
      </c>
      <c r="M94" s="221">
        <v>10.985841090876299</v>
      </c>
      <c r="N94" s="223" t="s">
        <v>228</v>
      </c>
      <c r="O94" s="230" t="s">
        <v>229</v>
      </c>
      <c r="P94" s="224">
        <v>347167354.47000003</v>
      </c>
      <c r="Q94" s="225">
        <v>1</v>
      </c>
      <c r="R94" s="225">
        <v>1</v>
      </c>
      <c r="S94" s="225">
        <f t="shared" si="16"/>
        <v>0</v>
      </c>
      <c r="T94" s="225" t="str" cm="1">
        <f t="array" ref="T94">+_xlfn.IFS($P94&lt;=10000000000,IF(S94&gt;-0.05,"Verde",IF(S94&lt;=-0.1,"Rojo","Amarillo")),$P94&gt;10000000000,IF(S94&gt;-0.03,"Verde",IF(S94&lt;=-0.07,"Rojo","Amarillo")))</f>
        <v>Verde</v>
      </c>
      <c r="U94" s="226">
        <v>44831</v>
      </c>
      <c r="V94" s="226">
        <v>44862</v>
      </c>
      <c r="W94" s="226">
        <v>44901</v>
      </c>
      <c r="X94" s="226">
        <v>44926</v>
      </c>
      <c r="Y94" s="272">
        <v>45930</v>
      </c>
      <c r="Z94" s="225" t="str">
        <f t="shared" ca="1" si="17"/>
        <v>En_Ejecución</v>
      </c>
      <c r="AA94" s="225" t="str">
        <f t="shared" ca="1" si="20"/>
        <v>-</v>
      </c>
      <c r="AB94" s="273"/>
      <c r="AC94" s="272"/>
      <c r="AD94" s="227">
        <v>45869</v>
      </c>
      <c r="AE94" s="221" t="s">
        <v>613</v>
      </c>
      <c r="AF94" s="223" t="s">
        <v>614</v>
      </c>
      <c r="AG94" s="223" t="s">
        <v>648</v>
      </c>
      <c r="AH94" s="223" t="s">
        <v>323</v>
      </c>
      <c r="AI94" s="221" t="s">
        <v>616</v>
      </c>
      <c r="AJ94" s="223" t="s">
        <v>617</v>
      </c>
      <c r="AK94" s="223" t="s">
        <v>649</v>
      </c>
      <c r="AL94" s="230"/>
      <c r="AM94" s="231">
        <v>347167354.47000003</v>
      </c>
      <c r="AN94" s="231">
        <v>0</v>
      </c>
      <c r="AO94" s="231">
        <f t="shared" si="18"/>
        <v>347167354.47000003</v>
      </c>
      <c r="AP94" s="231">
        <v>27569081197.830002</v>
      </c>
      <c r="AQ94" s="231">
        <v>26728811132.41</v>
      </c>
      <c r="AR94" s="231">
        <v>20159043</v>
      </c>
      <c r="AS94" s="231">
        <v>0</v>
      </c>
      <c r="AT94" s="231">
        <v>20159043</v>
      </c>
      <c r="AU94" s="231">
        <v>1552067709.4200001</v>
      </c>
      <c r="AV94" s="231">
        <v>1552067709.4200001</v>
      </c>
      <c r="AW94" s="232" t="s">
        <v>694</v>
      </c>
      <c r="AX94" s="232" t="s">
        <v>620</v>
      </c>
      <c r="AY94" s="232" t="s">
        <v>621</v>
      </c>
      <c r="AZ94" s="232" t="s">
        <v>622</v>
      </c>
      <c r="BA94" s="221" t="s">
        <v>731</v>
      </c>
      <c r="BB94" s="221"/>
      <c r="BC94" s="233" t="s">
        <v>684</v>
      </c>
      <c r="BF94" s="51"/>
    </row>
    <row r="95" spans="1:58" ht="13.5" customHeight="1">
      <c r="A95" s="220">
        <f t="shared" si="21"/>
        <v>94</v>
      </c>
      <c r="B95" s="221" t="s">
        <v>405</v>
      </c>
      <c r="C95" s="221" t="s">
        <v>49</v>
      </c>
      <c r="D95" s="221" t="s">
        <v>365</v>
      </c>
      <c r="E95" s="221" t="s">
        <v>732</v>
      </c>
      <c r="F95" s="221" t="s">
        <v>733</v>
      </c>
      <c r="G95" s="222" t="s">
        <v>734</v>
      </c>
      <c r="H95" s="221" t="s">
        <v>582</v>
      </c>
      <c r="I95" s="221" t="s">
        <v>735</v>
      </c>
      <c r="J95" s="221" t="s">
        <v>736</v>
      </c>
      <c r="K95" s="221"/>
      <c r="L95" s="221" t="s">
        <v>737</v>
      </c>
      <c r="M95" s="221">
        <v>10.972479999999999</v>
      </c>
      <c r="N95" s="223" t="s">
        <v>126</v>
      </c>
      <c r="O95" s="230" t="s">
        <v>127</v>
      </c>
      <c r="P95" s="224">
        <v>149051582356.38</v>
      </c>
      <c r="Q95" s="225">
        <v>1</v>
      </c>
      <c r="R95" s="225">
        <v>1</v>
      </c>
      <c r="S95" s="225">
        <f t="shared" si="16"/>
        <v>0</v>
      </c>
      <c r="T95" s="225" t="str" cm="1">
        <f t="array" ref="T95">+_xlfn.IFS($P95&lt;=10000000000,IF(S95&gt;-0.05,"Verde",IF(S95&lt;=-0.1,"Rojo","Amarillo")),$P95&gt;10000000000,IF(S95&gt;-0.03,"Verde",IF(S95&lt;=-0.07,"Rojo","Amarillo")))</f>
        <v>Verde</v>
      </c>
      <c r="U95" s="226"/>
      <c r="V95" s="226"/>
      <c r="W95" s="226">
        <v>43065</v>
      </c>
      <c r="X95" s="226">
        <v>45657</v>
      </c>
      <c r="Y95" s="272">
        <v>45657</v>
      </c>
      <c r="Z95" s="225" t="str">
        <f t="shared" ca="1" si="17"/>
        <v>Terminado</v>
      </c>
      <c r="AA95" s="225" t="str">
        <f t="shared" ca="1" si="20"/>
        <v>-</v>
      </c>
      <c r="AB95" s="273"/>
      <c r="AC95" s="272"/>
      <c r="AD95" s="227">
        <v>45657</v>
      </c>
      <c r="AE95" s="221" t="s">
        <v>738</v>
      </c>
      <c r="AF95" s="223" t="s">
        <v>739</v>
      </c>
      <c r="AG95" s="223" t="s">
        <v>740</v>
      </c>
      <c r="AH95" s="223" t="s">
        <v>741</v>
      </c>
      <c r="AI95" s="221" t="s">
        <v>742</v>
      </c>
      <c r="AJ95" s="223" t="s">
        <v>743</v>
      </c>
      <c r="AK95" s="223" t="s">
        <v>744</v>
      </c>
      <c r="AL95" s="230" t="s">
        <v>745</v>
      </c>
      <c r="AM95" s="231">
        <v>55169765762</v>
      </c>
      <c r="AN95" s="231">
        <v>93881816594.380005</v>
      </c>
      <c r="AO95" s="231">
        <f t="shared" si="18"/>
        <v>149051582356.38</v>
      </c>
      <c r="AP95" s="231">
        <v>66895033860</v>
      </c>
      <c r="AQ95" s="231">
        <v>66895033860</v>
      </c>
      <c r="AR95" s="231">
        <v>9900000000</v>
      </c>
      <c r="AS95" s="231">
        <v>7810336238.8400002</v>
      </c>
      <c r="AT95" s="231">
        <f t="shared" ref="AT95:AT136" si="22">AR95+AS95</f>
        <v>17710336238.84</v>
      </c>
      <c r="AU95" s="231">
        <v>13623178167.940001</v>
      </c>
      <c r="AV95" s="231">
        <v>13055502565.610001</v>
      </c>
      <c r="AW95" s="232"/>
      <c r="AX95" s="232"/>
      <c r="AY95" s="232"/>
      <c r="AZ95" s="232"/>
      <c r="BA95" s="221"/>
      <c r="BB95" s="221"/>
      <c r="BC95" s="233" t="s">
        <v>364</v>
      </c>
      <c r="BF95" s="51"/>
    </row>
    <row r="96" spans="1:58" ht="13.5" customHeight="1">
      <c r="A96" s="220">
        <f t="shared" si="21"/>
        <v>95</v>
      </c>
      <c r="B96" s="221" t="s">
        <v>405</v>
      </c>
      <c r="C96" s="221" t="s">
        <v>49</v>
      </c>
      <c r="D96" s="221" t="s">
        <v>365</v>
      </c>
      <c r="E96" s="221" t="s">
        <v>732</v>
      </c>
      <c r="F96" s="221" t="s">
        <v>746</v>
      </c>
      <c r="G96" s="222" t="s">
        <v>747</v>
      </c>
      <c r="H96" s="221" t="s">
        <v>154</v>
      </c>
      <c r="I96" s="221" t="s">
        <v>124</v>
      </c>
      <c r="J96" s="221"/>
      <c r="K96" s="221"/>
      <c r="L96" s="221"/>
      <c r="M96" s="221"/>
      <c r="N96" s="223" t="s">
        <v>126</v>
      </c>
      <c r="O96" s="230" t="s">
        <v>127</v>
      </c>
      <c r="P96" s="224">
        <v>13052523926</v>
      </c>
      <c r="Q96" s="225">
        <v>1</v>
      </c>
      <c r="R96" s="225">
        <v>1</v>
      </c>
      <c r="S96" s="225">
        <f t="shared" si="16"/>
        <v>0</v>
      </c>
      <c r="T96" s="225" t="str" cm="1">
        <f t="array" ref="T96">+_xlfn.IFS($P96&lt;=10000000000,IF(S96&gt;-0.05,"Verde",IF(S96&lt;=-0.1,"Rojo","Amarillo")),$P96&gt;10000000000,IF(S96&gt;-0.03,"Verde",IF(S96&lt;=-0.07,"Rojo","Amarillo")))</f>
        <v>Verde</v>
      </c>
      <c r="U96" s="226"/>
      <c r="V96" s="226"/>
      <c r="W96" s="226">
        <v>44866</v>
      </c>
      <c r="X96" s="226">
        <v>45657</v>
      </c>
      <c r="Y96" s="272">
        <v>45657</v>
      </c>
      <c r="Z96" s="225" t="str">
        <f t="shared" ca="1" si="17"/>
        <v>Terminado</v>
      </c>
      <c r="AA96" s="225" t="str">
        <f t="shared" ca="1" si="20"/>
        <v>-</v>
      </c>
      <c r="AB96" s="273"/>
      <c r="AC96" s="272"/>
      <c r="AD96" s="227">
        <v>45657</v>
      </c>
      <c r="AE96" s="221" t="s">
        <v>738</v>
      </c>
      <c r="AF96" s="223" t="s">
        <v>739</v>
      </c>
      <c r="AG96" s="223" t="s">
        <v>740</v>
      </c>
      <c r="AH96" s="223" t="s">
        <v>741</v>
      </c>
      <c r="AI96" s="221" t="s">
        <v>742</v>
      </c>
      <c r="AJ96" s="223" t="s">
        <v>743</v>
      </c>
      <c r="AK96" s="223" t="s">
        <v>744</v>
      </c>
      <c r="AL96" s="230" t="s">
        <v>745</v>
      </c>
      <c r="AM96" s="231">
        <v>5741446706.0051203</v>
      </c>
      <c r="AN96" s="231">
        <v>7311077220.1400003</v>
      </c>
      <c r="AO96" s="231">
        <f t="shared" si="18"/>
        <v>13052523926.145121</v>
      </c>
      <c r="AP96" s="231">
        <v>323294569</v>
      </c>
      <c r="AQ96" s="231">
        <v>323294569</v>
      </c>
      <c r="AR96" s="231">
        <v>9900000000</v>
      </c>
      <c r="AS96" s="231">
        <v>7810336238.8400002</v>
      </c>
      <c r="AT96" s="231">
        <f t="shared" si="22"/>
        <v>17710336238.84</v>
      </c>
      <c r="AU96" s="231">
        <v>13623178167.940001</v>
      </c>
      <c r="AV96" s="231">
        <v>13055502565.610001</v>
      </c>
      <c r="AW96" s="232"/>
      <c r="AX96" s="232"/>
      <c r="AY96" s="232"/>
      <c r="AZ96" s="232"/>
      <c r="BA96" s="221"/>
      <c r="BB96" s="221"/>
      <c r="BC96" s="233" t="s">
        <v>364</v>
      </c>
      <c r="BF96" s="51"/>
    </row>
    <row r="97" spans="1:58" ht="13.5" customHeight="1">
      <c r="A97" s="220">
        <f t="shared" si="21"/>
        <v>96</v>
      </c>
      <c r="B97" s="221" t="s">
        <v>405</v>
      </c>
      <c r="C97" s="221" t="s">
        <v>748</v>
      </c>
      <c r="D97" s="221" t="s">
        <v>365</v>
      </c>
      <c r="E97" s="221" t="s">
        <v>596</v>
      </c>
      <c r="F97" s="221" t="s">
        <v>597</v>
      </c>
      <c r="G97" s="222" t="s">
        <v>749</v>
      </c>
      <c r="H97" s="221" t="s">
        <v>122</v>
      </c>
      <c r="I97" s="221" t="s">
        <v>750</v>
      </c>
      <c r="J97" s="221" t="s">
        <v>124</v>
      </c>
      <c r="K97" s="221" t="s">
        <v>751</v>
      </c>
      <c r="L97" s="221"/>
      <c r="M97" s="221"/>
      <c r="N97" s="223" t="s">
        <v>126</v>
      </c>
      <c r="O97" s="230" t="s">
        <v>127</v>
      </c>
      <c r="P97" s="224">
        <v>9200000000</v>
      </c>
      <c r="Q97" s="225">
        <v>0</v>
      </c>
      <c r="R97" s="225">
        <v>0.73099999999999998</v>
      </c>
      <c r="S97" s="225">
        <f t="shared" si="16"/>
        <v>0.73099999999999998</v>
      </c>
      <c r="T97" s="225" t="str" cm="1">
        <f t="array" ref="T97">+_xlfn.IFS($P97&lt;=10000000000,IF(S97&gt;-0.05,"Verde",IF(S97&lt;=-0.1,"Rojo","Amarillo")),$P97&gt;10000000000,IF(S97&gt;-0.03,"Verde",IF(S97&lt;=-0.07,"Rojo","Amarillo")))</f>
        <v>Verde</v>
      </c>
      <c r="U97" s="226">
        <v>45152</v>
      </c>
      <c r="V97" s="226">
        <v>45187</v>
      </c>
      <c r="W97" s="226">
        <v>45201</v>
      </c>
      <c r="X97" s="226">
        <v>45291</v>
      </c>
      <c r="Y97" s="272">
        <v>45565</v>
      </c>
      <c r="Z97" s="225" t="str">
        <f t="shared" ca="1" si="17"/>
        <v>Terminado</v>
      </c>
      <c r="AA97" s="225" t="str">
        <f t="shared" ca="1" si="20"/>
        <v>-</v>
      </c>
      <c r="AB97" s="273" t="s">
        <v>128</v>
      </c>
      <c r="AC97" s="272"/>
      <c r="AD97" s="227">
        <v>45565</v>
      </c>
      <c r="AE97" s="221" t="s">
        <v>752</v>
      </c>
      <c r="AF97" s="223" t="s">
        <v>753</v>
      </c>
      <c r="AG97" s="223" t="s">
        <v>754</v>
      </c>
      <c r="AH97" s="223" t="s">
        <v>755</v>
      </c>
      <c r="AI97" s="221"/>
      <c r="AJ97" s="223"/>
      <c r="AK97" s="223"/>
      <c r="AL97" s="230"/>
      <c r="AM97" s="231">
        <v>9200000000</v>
      </c>
      <c r="AN97" s="231">
        <v>0</v>
      </c>
      <c r="AO97" s="231">
        <f t="shared" si="18"/>
        <v>9200000000</v>
      </c>
      <c r="AP97" s="231">
        <v>12465391897.68</v>
      </c>
      <c r="AQ97" s="231">
        <v>4090093488.4400001</v>
      </c>
      <c r="AR97" s="231">
        <v>0</v>
      </c>
      <c r="AS97" s="231">
        <v>0</v>
      </c>
      <c r="AT97" s="231">
        <f t="shared" si="22"/>
        <v>0</v>
      </c>
      <c r="AU97" s="231">
        <v>0</v>
      </c>
      <c r="AV97" s="231">
        <v>0</v>
      </c>
      <c r="AW97" s="232" t="s">
        <v>756</v>
      </c>
      <c r="AX97" s="232" t="s">
        <v>757</v>
      </c>
      <c r="AY97" s="232" t="s">
        <v>758</v>
      </c>
      <c r="AZ97" s="232" t="s">
        <v>759</v>
      </c>
      <c r="BA97" s="221" t="s">
        <v>760</v>
      </c>
      <c r="BB97" s="221" t="s">
        <v>761</v>
      </c>
      <c r="BC97" s="233" t="s">
        <v>128</v>
      </c>
      <c r="BF97" s="51"/>
    </row>
    <row r="98" spans="1:58" ht="13.5" customHeight="1">
      <c r="A98" s="220">
        <f t="shared" si="21"/>
        <v>97</v>
      </c>
      <c r="B98" s="221" t="s">
        <v>405</v>
      </c>
      <c r="C98" s="221" t="s">
        <v>762</v>
      </c>
      <c r="D98" s="221" t="s">
        <v>365</v>
      </c>
      <c r="E98" s="221" t="s">
        <v>763</v>
      </c>
      <c r="F98" s="221" t="s">
        <v>764</v>
      </c>
      <c r="G98" s="222" t="s">
        <v>765</v>
      </c>
      <c r="H98" s="221" t="s">
        <v>154</v>
      </c>
      <c r="I98" s="221" t="s">
        <v>766</v>
      </c>
      <c r="J98" s="221" t="s">
        <v>124</v>
      </c>
      <c r="K98" s="221" t="s">
        <v>751</v>
      </c>
      <c r="L98" s="221"/>
      <c r="M98" s="221"/>
      <c r="N98" s="223" t="s">
        <v>228</v>
      </c>
      <c r="O98" s="230" t="s">
        <v>229</v>
      </c>
      <c r="P98" s="224">
        <v>22962981691.642204</v>
      </c>
      <c r="Q98" s="225">
        <v>0.92</v>
      </c>
      <c r="R98" s="225">
        <v>0.86</v>
      </c>
      <c r="S98" s="225">
        <f t="shared" si="16"/>
        <v>-6.0000000000000053E-2</v>
      </c>
      <c r="T98" s="225" t="str" cm="1">
        <f t="array" ref="T98">+_xlfn.IFS($P98&lt;=10000000000,IF(S98&gt;-0.05,"Verde",IF(S98&lt;=-0.1,"Rojo","Amarillo")),$P98&gt;10000000000,IF(S98&gt;-0.03,"Verde",IF(S98&lt;=-0.07,"Rojo","Amarillo")))</f>
        <v>Amarillo</v>
      </c>
      <c r="U98" s="226">
        <v>45370</v>
      </c>
      <c r="V98" s="226">
        <v>45391</v>
      </c>
      <c r="W98" s="226">
        <v>45415</v>
      </c>
      <c r="X98" s="226">
        <v>45657</v>
      </c>
      <c r="Y98" s="272">
        <v>45961</v>
      </c>
      <c r="Z98" s="225" t="str">
        <f t="shared" ca="1" si="17"/>
        <v>Rojo</v>
      </c>
      <c r="AA98" s="225" t="str">
        <f t="shared" ca="1" si="20"/>
        <v>En_Seguimiento</v>
      </c>
      <c r="AB98" s="273"/>
      <c r="AC98" s="272"/>
      <c r="AD98" s="227">
        <v>45961</v>
      </c>
      <c r="AE98" s="221" t="s">
        <v>767</v>
      </c>
      <c r="AF98" s="223" t="s">
        <v>768</v>
      </c>
      <c r="AG98" s="223" t="s">
        <v>769</v>
      </c>
      <c r="AH98" s="223" t="s">
        <v>770</v>
      </c>
      <c r="AI98" s="221" t="s">
        <v>771</v>
      </c>
      <c r="AJ98" s="223" t="s">
        <v>772</v>
      </c>
      <c r="AK98" s="223" t="s">
        <v>773</v>
      </c>
      <c r="AL98" s="230" t="s">
        <v>774</v>
      </c>
      <c r="AM98" s="231">
        <v>21855086929</v>
      </c>
      <c r="AN98" s="231">
        <v>0</v>
      </c>
      <c r="AO98" s="231">
        <f t="shared" si="18"/>
        <v>21855086929</v>
      </c>
      <c r="AP98" s="231">
        <v>12465391897.68</v>
      </c>
      <c r="AQ98" s="231">
        <v>11361989937.74</v>
      </c>
      <c r="AR98" s="231">
        <v>1107894762.6422036</v>
      </c>
      <c r="AS98" s="231">
        <v>0</v>
      </c>
      <c r="AT98" s="231">
        <f t="shared" si="22"/>
        <v>1107894762.6422036</v>
      </c>
      <c r="AU98" s="231">
        <v>0</v>
      </c>
      <c r="AV98" s="231">
        <v>0</v>
      </c>
      <c r="AW98" s="232" t="s">
        <v>775</v>
      </c>
      <c r="AX98" s="232" t="s">
        <v>776</v>
      </c>
      <c r="AY98" s="232" t="s">
        <v>777</v>
      </c>
      <c r="AZ98" s="232" t="s">
        <v>778</v>
      </c>
      <c r="BA98" s="221" t="s">
        <v>2427</v>
      </c>
      <c r="BB98" s="221"/>
      <c r="BC98" s="233" t="s">
        <v>128</v>
      </c>
      <c r="BF98" s="51"/>
    </row>
    <row r="99" spans="1:58" ht="13.5" customHeight="1">
      <c r="A99" s="220">
        <f t="shared" si="21"/>
        <v>98</v>
      </c>
      <c r="B99" s="221" t="s">
        <v>405</v>
      </c>
      <c r="C99" s="221" t="s">
        <v>762</v>
      </c>
      <c r="D99" s="221" t="s">
        <v>365</v>
      </c>
      <c r="E99" s="221" t="s">
        <v>763</v>
      </c>
      <c r="F99" s="221" t="s">
        <v>764</v>
      </c>
      <c r="G99" s="222" t="s">
        <v>779</v>
      </c>
      <c r="H99" s="221" t="s">
        <v>122</v>
      </c>
      <c r="I99" s="221" t="s">
        <v>780</v>
      </c>
      <c r="J99" s="221" t="s">
        <v>124</v>
      </c>
      <c r="K99" s="221" t="s">
        <v>751</v>
      </c>
      <c r="L99" s="221"/>
      <c r="M99" s="221"/>
      <c r="N99" s="223" t="s">
        <v>228</v>
      </c>
      <c r="O99" s="230" t="s">
        <v>229</v>
      </c>
      <c r="P99" s="224">
        <v>22471261466.546684</v>
      </c>
      <c r="Q99" s="225">
        <v>0.71</v>
      </c>
      <c r="R99" s="225">
        <v>0.48</v>
      </c>
      <c r="S99" s="225">
        <f t="shared" si="16"/>
        <v>-0.22999999999999998</v>
      </c>
      <c r="T99" s="225" t="str" cm="1">
        <f t="array" ref="T99">+_xlfn.IFS($P99&lt;=10000000000,IF(S99&gt;-0.05,"Verde",IF(S99&lt;=-0.1,"Rojo","Amarillo")),$P99&gt;10000000000,IF(S99&gt;-0.03,"Verde",IF(S99&lt;=-0.07,"Rojo","Amarillo")))</f>
        <v>Rojo</v>
      </c>
      <c r="U99" s="226">
        <v>45370</v>
      </c>
      <c r="V99" s="226">
        <v>45391</v>
      </c>
      <c r="W99" s="226">
        <v>45427</v>
      </c>
      <c r="X99" s="226">
        <v>45657</v>
      </c>
      <c r="Y99" s="272">
        <v>46022</v>
      </c>
      <c r="Z99" s="225" t="str">
        <f t="shared" ca="1" si="17"/>
        <v>Verde</v>
      </c>
      <c r="AA99" s="225" t="str">
        <f t="shared" ca="1" si="20"/>
        <v>-</v>
      </c>
      <c r="AB99" s="273"/>
      <c r="AC99" s="272"/>
      <c r="AD99" s="227">
        <v>46022</v>
      </c>
      <c r="AE99" s="221" t="s">
        <v>781</v>
      </c>
      <c r="AF99" s="223" t="s">
        <v>782</v>
      </c>
      <c r="AG99" s="223" t="s">
        <v>783</v>
      </c>
      <c r="AH99" s="223" t="s">
        <v>784</v>
      </c>
      <c r="AI99" s="221" t="s">
        <v>771</v>
      </c>
      <c r="AJ99" s="223" t="s">
        <v>772</v>
      </c>
      <c r="AK99" s="223" t="s">
        <v>773</v>
      </c>
      <c r="AL99" s="230" t="s">
        <v>774</v>
      </c>
      <c r="AM99" s="231">
        <v>21387090725</v>
      </c>
      <c r="AN99" s="231">
        <v>0</v>
      </c>
      <c r="AO99" s="231">
        <f t="shared" si="18"/>
        <v>21387090725</v>
      </c>
      <c r="AP99" s="231">
        <v>5590958835.6999998</v>
      </c>
      <c r="AQ99" s="231">
        <v>5590958835.6999998</v>
      </c>
      <c r="AR99" s="231">
        <v>1084170741.5466831</v>
      </c>
      <c r="AS99" s="231">
        <v>0</v>
      </c>
      <c r="AT99" s="231">
        <f t="shared" si="22"/>
        <v>1084170741.5466831</v>
      </c>
      <c r="AU99" s="231">
        <v>0</v>
      </c>
      <c r="AV99" s="231">
        <v>0</v>
      </c>
      <c r="AW99" s="232" t="s">
        <v>775</v>
      </c>
      <c r="AX99" s="232" t="s">
        <v>776</v>
      </c>
      <c r="AY99" s="232" t="s">
        <v>777</v>
      </c>
      <c r="AZ99" s="232" t="s">
        <v>778</v>
      </c>
      <c r="BA99" s="221" t="s">
        <v>2428</v>
      </c>
      <c r="BB99" s="221"/>
      <c r="BC99" s="233" t="s">
        <v>128</v>
      </c>
      <c r="BF99" s="51"/>
    </row>
    <row r="100" spans="1:58" ht="13.5" customHeight="1">
      <c r="A100" s="220">
        <f t="shared" si="21"/>
        <v>99</v>
      </c>
      <c r="B100" s="221" t="s">
        <v>405</v>
      </c>
      <c r="C100" s="221" t="s">
        <v>762</v>
      </c>
      <c r="D100" s="221" t="s">
        <v>365</v>
      </c>
      <c r="E100" s="221" t="s">
        <v>763</v>
      </c>
      <c r="F100" s="221" t="s">
        <v>764</v>
      </c>
      <c r="G100" s="222" t="s">
        <v>785</v>
      </c>
      <c r="H100" s="221" t="s">
        <v>154</v>
      </c>
      <c r="I100" s="221" t="s">
        <v>786</v>
      </c>
      <c r="J100" s="221" t="s">
        <v>124</v>
      </c>
      <c r="K100" s="221" t="s">
        <v>751</v>
      </c>
      <c r="L100" s="221"/>
      <c r="M100" s="221"/>
      <c r="N100" s="223" t="s">
        <v>228</v>
      </c>
      <c r="O100" s="230" t="s">
        <v>229</v>
      </c>
      <c r="P100" s="224">
        <v>22620928293.757587</v>
      </c>
      <c r="Q100" s="225">
        <v>0.79700000000000004</v>
      </c>
      <c r="R100" s="225">
        <v>0.69</v>
      </c>
      <c r="S100" s="225">
        <f t="shared" si="16"/>
        <v>-0.1070000000000001</v>
      </c>
      <c r="T100" s="225" t="str" cm="1">
        <f t="array" ref="T100">+_xlfn.IFS($P100&lt;=10000000000,IF(S100&gt;-0.05,"Verde",IF(S100&lt;=-0.1,"Rojo","Amarillo")),$P100&gt;10000000000,IF(S100&gt;-0.03,"Verde",IF(S100&lt;=-0.07,"Rojo","Amarillo")))</f>
        <v>Rojo</v>
      </c>
      <c r="U100" s="226">
        <v>45370</v>
      </c>
      <c r="V100" s="226">
        <v>45391</v>
      </c>
      <c r="W100" s="226">
        <v>45427</v>
      </c>
      <c r="X100" s="226">
        <v>45657</v>
      </c>
      <c r="Y100" s="272">
        <v>45991</v>
      </c>
      <c r="Z100" s="225" t="str">
        <f t="shared" ref="Z100:Z136" ca="1" si="23">+IF(AND(O100="En_Ejecución",OR(T100="Rojo",T100="Amarillo")),IF(($Y100-(TODAY())&lt;15),"Rojo",IF(($Y100-TODAY())&gt;=45,"Verde","Amarillo")),O100)</f>
        <v>Amarillo</v>
      </c>
      <c r="AA100" s="225" t="str">
        <f t="shared" ca="1" si="20"/>
        <v>En_Seguimiento</v>
      </c>
      <c r="AB100" s="273"/>
      <c r="AC100" s="272"/>
      <c r="AD100" s="227">
        <v>45991</v>
      </c>
      <c r="AE100" s="221" t="s">
        <v>787</v>
      </c>
      <c r="AF100" s="223" t="s">
        <v>788</v>
      </c>
      <c r="AG100" s="223" t="s">
        <v>789</v>
      </c>
      <c r="AH100" s="223" t="s">
        <v>790</v>
      </c>
      <c r="AI100" s="221" t="s">
        <v>771</v>
      </c>
      <c r="AJ100" s="223" t="s">
        <v>772</v>
      </c>
      <c r="AK100" s="223" t="s">
        <v>773</v>
      </c>
      <c r="AL100" s="230" t="s">
        <v>774</v>
      </c>
      <c r="AM100" s="231">
        <v>21529536578.200001</v>
      </c>
      <c r="AN100" s="231">
        <v>0</v>
      </c>
      <c r="AO100" s="231">
        <f t="shared" si="18"/>
        <v>21529536578.200001</v>
      </c>
      <c r="AP100" s="231">
        <v>8430670982.0100002</v>
      </c>
      <c r="AQ100" s="231">
        <v>8430670982.0100002</v>
      </c>
      <c r="AR100" s="231">
        <v>1091391715.5575881</v>
      </c>
      <c r="AS100" s="231">
        <v>0</v>
      </c>
      <c r="AT100" s="231">
        <f t="shared" si="22"/>
        <v>1091391715.5575881</v>
      </c>
      <c r="AU100" s="231">
        <v>0</v>
      </c>
      <c r="AV100" s="231">
        <v>0</v>
      </c>
      <c r="AW100" s="232" t="s">
        <v>775</v>
      </c>
      <c r="AX100" s="232" t="s">
        <v>776</v>
      </c>
      <c r="AY100" s="232" t="s">
        <v>777</v>
      </c>
      <c r="AZ100" s="232" t="s">
        <v>778</v>
      </c>
      <c r="BA100" s="221" t="s">
        <v>2429</v>
      </c>
      <c r="BB100" s="221"/>
      <c r="BC100" s="233" t="s">
        <v>128</v>
      </c>
      <c r="BF100" s="51"/>
    </row>
    <row r="101" spans="1:58" ht="13.5" customHeight="1">
      <c r="A101" s="220">
        <f t="shared" ref="A101:A165" si="24">+A100+1</f>
        <v>100</v>
      </c>
      <c r="B101" s="221" t="s">
        <v>405</v>
      </c>
      <c r="C101" s="221" t="s">
        <v>762</v>
      </c>
      <c r="D101" s="221" t="s">
        <v>365</v>
      </c>
      <c r="E101" s="221" t="s">
        <v>763</v>
      </c>
      <c r="F101" s="221" t="s">
        <v>764</v>
      </c>
      <c r="G101" s="222" t="s">
        <v>791</v>
      </c>
      <c r="H101" s="221" t="s">
        <v>122</v>
      </c>
      <c r="I101" s="221" t="s">
        <v>792</v>
      </c>
      <c r="J101" s="221" t="s">
        <v>124</v>
      </c>
      <c r="K101" s="221" t="s">
        <v>751</v>
      </c>
      <c r="L101" s="221"/>
      <c r="M101" s="221"/>
      <c r="N101" s="223" t="s">
        <v>228</v>
      </c>
      <c r="O101" s="230" t="s">
        <v>229</v>
      </c>
      <c r="P101" s="224">
        <v>22874503267.963524</v>
      </c>
      <c r="Q101" s="225">
        <v>0.83299999999999996</v>
      </c>
      <c r="R101" s="225">
        <v>0.87</v>
      </c>
      <c r="S101" s="225">
        <f t="shared" si="16"/>
        <v>3.7000000000000033E-2</v>
      </c>
      <c r="T101" s="225" t="str" cm="1">
        <f t="array" ref="T101">+_xlfn.IFS($P101&lt;=10000000000,IF(S101&gt;-0.05,"Verde",IF(S101&lt;=-0.1,"Rojo","Amarillo")),$P101&gt;10000000000,IF(S101&gt;-0.03,"Verde",IF(S101&lt;=-0.07,"Rojo","Amarillo")))</f>
        <v>Verde</v>
      </c>
      <c r="U101" s="226">
        <v>45370</v>
      </c>
      <c r="V101" s="226">
        <v>45391</v>
      </c>
      <c r="W101" s="226">
        <v>45415</v>
      </c>
      <c r="X101" s="226">
        <v>45657</v>
      </c>
      <c r="Y101" s="272">
        <v>45991</v>
      </c>
      <c r="Z101" s="225" t="str">
        <f t="shared" ca="1" si="23"/>
        <v>En_Ejecución</v>
      </c>
      <c r="AA101" s="225" t="str">
        <f t="shared" ca="1" si="20"/>
        <v>-</v>
      </c>
      <c r="AB101" s="273"/>
      <c r="AC101" s="272"/>
      <c r="AD101" s="227">
        <v>45991</v>
      </c>
      <c r="AE101" s="221" t="s">
        <v>793</v>
      </c>
      <c r="AF101" s="223" t="s">
        <v>794</v>
      </c>
      <c r="AG101" s="223" t="s">
        <v>795</v>
      </c>
      <c r="AH101" s="223" t="s">
        <v>796</v>
      </c>
      <c r="AI101" s="221" t="s">
        <v>771</v>
      </c>
      <c r="AJ101" s="223" t="s">
        <v>772</v>
      </c>
      <c r="AK101" s="223" t="s">
        <v>773</v>
      </c>
      <c r="AL101" s="230" t="s">
        <v>774</v>
      </c>
      <c r="AM101" s="231">
        <v>21770877323</v>
      </c>
      <c r="AN101" s="231">
        <v>0</v>
      </c>
      <c r="AO101" s="231">
        <f t="shared" si="18"/>
        <v>21770877323</v>
      </c>
      <c r="AP101" s="231">
        <v>11289349046.389999</v>
      </c>
      <c r="AQ101" s="231">
        <v>11289349046.389999</v>
      </c>
      <c r="AR101" s="231">
        <v>1103625944.9635255</v>
      </c>
      <c r="AS101" s="231">
        <v>0</v>
      </c>
      <c r="AT101" s="231">
        <f t="shared" si="22"/>
        <v>1103625944.9635255</v>
      </c>
      <c r="AU101" s="231">
        <v>0</v>
      </c>
      <c r="AV101" s="231">
        <v>0</v>
      </c>
      <c r="AW101" s="232" t="s">
        <v>775</v>
      </c>
      <c r="AX101" s="232" t="s">
        <v>776</v>
      </c>
      <c r="AY101" s="232" t="s">
        <v>777</v>
      </c>
      <c r="AZ101" s="232" t="s">
        <v>778</v>
      </c>
      <c r="BA101" s="221" t="s">
        <v>2430</v>
      </c>
      <c r="BB101" s="221"/>
      <c r="BC101" s="233" t="s">
        <v>128</v>
      </c>
      <c r="BF101" s="51"/>
    </row>
    <row r="102" spans="1:58" ht="13.5" customHeight="1">
      <c r="A102" s="220">
        <f t="shared" si="24"/>
        <v>101</v>
      </c>
      <c r="B102" s="221" t="s">
        <v>405</v>
      </c>
      <c r="C102" s="221" t="s">
        <v>762</v>
      </c>
      <c r="D102" s="221" t="s">
        <v>365</v>
      </c>
      <c r="E102" s="221" t="s">
        <v>763</v>
      </c>
      <c r="F102" s="221" t="s">
        <v>764</v>
      </c>
      <c r="G102" s="222" t="s">
        <v>797</v>
      </c>
      <c r="H102" s="221" t="s">
        <v>122</v>
      </c>
      <c r="I102" s="221" t="s">
        <v>798</v>
      </c>
      <c r="J102" s="221" t="s">
        <v>124</v>
      </c>
      <c r="K102" s="221" t="s">
        <v>751</v>
      </c>
      <c r="L102" s="221"/>
      <c r="M102" s="221"/>
      <c r="N102" s="223" t="s">
        <v>228</v>
      </c>
      <c r="O102" s="230" t="s">
        <v>229</v>
      </c>
      <c r="P102" s="224">
        <v>22877651760.571491</v>
      </c>
      <c r="Q102" s="225">
        <v>0.60299999999999998</v>
      </c>
      <c r="R102" s="225">
        <v>0.45</v>
      </c>
      <c r="S102" s="225">
        <f t="shared" ref="S102:S166" si="25">+R102-Q102</f>
        <v>-0.15299999999999997</v>
      </c>
      <c r="T102" s="225" t="str" cm="1">
        <f t="array" ref="T102">+_xlfn.IFS($P102&lt;=10000000000,IF(S102&gt;-0.05,"Verde",IF(S102&lt;=-0.1,"Rojo","Amarillo")),$P102&gt;10000000000,IF(S102&gt;-0.03,"Verde",IF(S102&lt;=-0.07,"Rojo","Amarillo")))</f>
        <v>Rojo</v>
      </c>
      <c r="U102" s="226">
        <v>45370</v>
      </c>
      <c r="V102" s="226">
        <v>45391</v>
      </c>
      <c r="W102" s="226">
        <v>45427</v>
      </c>
      <c r="X102" s="226">
        <v>45657</v>
      </c>
      <c r="Y102" s="272">
        <v>46022</v>
      </c>
      <c r="Z102" s="225" t="str">
        <f t="shared" ca="1" si="23"/>
        <v>Verde</v>
      </c>
      <c r="AA102" s="225" t="str">
        <f t="shared" ca="1" si="20"/>
        <v>-</v>
      </c>
      <c r="AB102" s="273"/>
      <c r="AC102" s="272"/>
      <c r="AD102" s="227">
        <v>46022</v>
      </c>
      <c r="AE102" s="221" t="s">
        <v>799</v>
      </c>
      <c r="AF102" s="223" t="s">
        <v>800</v>
      </c>
      <c r="AG102" s="223" t="s">
        <v>801</v>
      </c>
      <c r="AH102" s="223" t="s">
        <v>802</v>
      </c>
      <c r="AI102" s="221" t="s">
        <v>803</v>
      </c>
      <c r="AJ102" s="223" t="s">
        <v>804</v>
      </c>
      <c r="AK102" s="223" t="s">
        <v>805</v>
      </c>
      <c r="AL102" s="230" t="s">
        <v>806</v>
      </c>
      <c r="AM102" s="231">
        <v>21780568433</v>
      </c>
      <c r="AN102" s="231">
        <v>0</v>
      </c>
      <c r="AO102" s="231">
        <f t="shared" si="18"/>
        <v>21780568433</v>
      </c>
      <c r="AP102" s="231">
        <v>3807404819.9200001</v>
      </c>
      <c r="AQ102" s="231">
        <v>3807404819.9200001</v>
      </c>
      <c r="AR102" s="231">
        <v>1097083327.571491</v>
      </c>
      <c r="AS102" s="231">
        <v>0</v>
      </c>
      <c r="AT102" s="231">
        <f t="shared" si="22"/>
        <v>1097083327.571491</v>
      </c>
      <c r="AU102" s="231">
        <v>0</v>
      </c>
      <c r="AV102" s="231">
        <v>0</v>
      </c>
      <c r="AW102" s="232" t="s">
        <v>775</v>
      </c>
      <c r="AX102" s="232" t="s">
        <v>776</v>
      </c>
      <c r="AY102" s="232" t="s">
        <v>777</v>
      </c>
      <c r="AZ102" s="232" t="s">
        <v>778</v>
      </c>
      <c r="BA102" s="221" t="s">
        <v>2431</v>
      </c>
      <c r="BB102" s="221"/>
      <c r="BC102" s="233" t="s">
        <v>128</v>
      </c>
      <c r="BF102" s="51"/>
    </row>
    <row r="103" spans="1:58" ht="13.5" customHeight="1">
      <c r="A103" s="220">
        <f t="shared" si="24"/>
        <v>102</v>
      </c>
      <c r="B103" s="221" t="s">
        <v>405</v>
      </c>
      <c r="C103" s="221" t="s">
        <v>762</v>
      </c>
      <c r="D103" s="221" t="s">
        <v>365</v>
      </c>
      <c r="E103" s="221" t="s">
        <v>763</v>
      </c>
      <c r="F103" s="221" t="s">
        <v>764</v>
      </c>
      <c r="G103" s="222" t="s">
        <v>807</v>
      </c>
      <c r="H103" s="221" t="s">
        <v>154</v>
      </c>
      <c r="I103" s="221" t="s">
        <v>808</v>
      </c>
      <c r="J103" s="221" t="s">
        <v>124</v>
      </c>
      <c r="K103" s="221" t="s">
        <v>751</v>
      </c>
      <c r="L103" s="221"/>
      <c r="M103" s="221"/>
      <c r="N103" s="223" t="s">
        <v>228</v>
      </c>
      <c r="O103" s="230" t="s">
        <v>229</v>
      </c>
      <c r="P103" s="224">
        <v>22795179726.304726</v>
      </c>
      <c r="Q103" s="225">
        <v>0.625</v>
      </c>
      <c r="R103" s="225">
        <v>0.54</v>
      </c>
      <c r="S103" s="225">
        <f t="shared" si="25"/>
        <v>-8.4999999999999964E-2</v>
      </c>
      <c r="T103" s="225" t="str" cm="1">
        <f t="array" ref="T103">+_xlfn.IFS($P103&lt;=10000000000,IF(S103&gt;-0.05,"Verde",IF(S103&lt;=-0.1,"Rojo","Amarillo")),$P103&gt;10000000000,IF(S103&gt;-0.03,"Verde",IF(S103&lt;=-0.07,"Rojo","Amarillo")))</f>
        <v>Rojo</v>
      </c>
      <c r="U103" s="226">
        <v>45370</v>
      </c>
      <c r="V103" s="226">
        <v>45392</v>
      </c>
      <c r="W103" s="226">
        <v>45457</v>
      </c>
      <c r="X103" s="226">
        <v>45657</v>
      </c>
      <c r="Y103" s="272">
        <v>46022</v>
      </c>
      <c r="Z103" s="225" t="str">
        <f t="shared" ca="1" si="23"/>
        <v>Verde</v>
      </c>
      <c r="AA103" s="225" t="str">
        <f t="shared" ca="1" si="20"/>
        <v>-</v>
      </c>
      <c r="AB103" s="273"/>
      <c r="AC103" s="272"/>
      <c r="AD103" s="227">
        <v>46022</v>
      </c>
      <c r="AE103" s="221" t="s">
        <v>809</v>
      </c>
      <c r="AF103" s="223" t="s">
        <v>810</v>
      </c>
      <c r="AG103" s="223" t="s">
        <v>811</v>
      </c>
      <c r="AH103" s="223" t="s">
        <v>812</v>
      </c>
      <c r="AI103" s="221" t="s">
        <v>803</v>
      </c>
      <c r="AJ103" s="223" t="s">
        <v>804</v>
      </c>
      <c r="AK103" s="223" t="s">
        <v>805</v>
      </c>
      <c r="AL103" s="230" t="s">
        <v>806</v>
      </c>
      <c r="AM103" s="231">
        <v>21702051293</v>
      </c>
      <c r="AN103" s="231">
        <v>0</v>
      </c>
      <c r="AO103" s="231">
        <f t="shared" si="18"/>
        <v>21702051293</v>
      </c>
      <c r="AP103" s="231">
        <v>7752769724.2200003</v>
      </c>
      <c r="AQ103" s="231">
        <v>6754140321.4200001</v>
      </c>
      <c r="AR103" s="231">
        <v>1093128433.3047242</v>
      </c>
      <c r="AS103" s="231">
        <v>0</v>
      </c>
      <c r="AT103" s="231">
        <f t="shared" si="22"/>
        <v>1093128433.3047242</v>
      </c>
      <c r="AU103" s="231">
        <v>0</v>
      </c>
      <c r="AV103" s="231">
        <v>0</v>
      </c>
      <c r="AW103" s="232" t="s">
        <v>775</v>
      </c>
      <c r="AX103" s="232" t="s">
        <v>776</v>
      </c>
      <c r="AY103" s="232" t="s">
        <v>777</v>
      </c>
      <c r="AZ103" s="232" t="s">
        <v>778</v>
      </c>
      <c r="BA103" s="221" t="s">
        <v>2432</v>
      </c>
      <c r="BB103" s="221"/>
      <c r="BC103" s="233" t="s">
        <v>128</v>
      </c>
      <c r="BF103" s="51"/>
    </row>
    <row r="104" spans="1:58" ht="13.5" customHeight="1">
      <c r="A104" s="220">
        <f t="shared" si="24"/>
        <v>103</v>
      </c>
      <c r="B104" s="221" t="s">
        <v>405</v>
      </c>
      <c r="C104" s="221" t="s">
        <v>762</v>
      </c>
      <c r="D104" s="221" t="s">
        <v>365</v>
      </c>
      <c r="E104" s="221" t="s">
        <v>763</v>
      </c>
      <c r="F104" s="221" t="s">
        <v>764</v>
      </c>
      <c r="G104" s="222" t="s">
        <v>813</v>
      </c>
      <c r="H104" s="221" t="s">
        <v>122</v>
      </c>
      <c r="I104" s="221" t="s">
        <v>814</v>
      </c>
      <c r="J104" s="221" t="s">
        <v>124</v>
      </c>
      <c r="K104" s="221" t="s">
        <v>751</v>
      </c>
      <c r="L104" s="221"/>
      <c r="M104" s="221"/>
      <c r="N104" s="223" t="s">
        <v>228</v>
      </c>
      <c r="O104" s="230" t="s">
        <v>229</v>
      </c>
      <c r="P104" s="224">
        <v>25933767375.873116</v>
      </c>
      <c r="Q104" s="225">
        <v>1</v>
      </c>
      <c r="R104" s="225">
        <v>1</v>
      </c>
      <c r="S104" s="225">
        <f t="shared" si="25"/>
        <v>0</v>
      </c>
      <c r="T104" s="225" t="str" cm="1">
        <f t="array" ref="T104">+_xlfn.IFS($P104&lt;=10000000000,IF(S104&gt;-0.05,"Verde",IF(S104&lt;=-0.1,"Rojo","Amarillo")),$P104&gt;10000000000,IF(S104&gt;-0.03,"Verde",IF(S104&lt;=-0.07,"Rojo","Amarillo")))</f>
        <v>Verde</v>
      </c>
      <c r="U104" s="226">
        <v>45370</v>
      </c>
      <c r="V104" s="226">
        <v>45391</v>
      </c>
      <c r="W104" s="226">
        <v>45427</v>
      </c>
      <c r="X104" s="226">
        <v>45657</v>
      </c>
      <c r="Y104" s="272">
        <v>45900</v>
      </c>
      <c r="Z104" s="225" t="str">
        <f t="shared" ca="1" si="23"/>
        <v>En_Ejecución</v>
      </c>
      <c r="AA104" s="225" t="str">
        <f t="shared" ca="1" si="20"/>
        <v>-</v>
      </c>
      <c r="AB104" s="273"/>
      <c r="AC104" s="272"/>
      <c r="AD104" s="227">
        <v>45900</v>
      </c>
      <c r="AE104" s="221" t="s">
        <v>815</v>
      </c>
      <c r="AF104" s="223" t="s">
        <v>816</v>
      </c>
      <c r="AG104" s="223" t="s">
        <v>817</v>
      </c>
      <c r="AH104" s="223" t="s">
        <v>818</v>
      </c>
      <c r="AI104" s="221" t="s">
        <v>803</v>
      </c>
      <c r="AJ104" s="223" t="s">
        <v>804</v>
      </c>
      <c r="AK104" s="223" t="s">
        <v>805</v>
      </c>
      <c r="AL104" s="230" t="s">
        <v>806</v>
      </c>
      <c r="AM104" s="231">
        <v>24690129955.959999</v>
      </c>
      <c r="AN104" s="231">
        <v>0</v>
      </c>
      <c r="AO104" s="231">
        <f t="shared" si="18"/>
        <v>24690129955.959999</v>
      </c>
      <c r="AP104" s="231">
        <v>19974777806.41</v>
      </c>
      <c r="AQ104" s="231">
        <v>13092035270.120001</v>
      </c>
      <c r="AR104" s="231">
        <v>1243637419.9131145</v>
      </c>
      <c r="AS104" s="231">
        <v>0</v>
      </c>
      <c r="AT104" s="231">
        <f t="shared" si="22"/>
        <v>1243637419.9131145</v>
      </c>
      <c r="AU104" s="231">
        <v>0</v>
      </c>
      <c r="AV104" s="231">
        <v>0</v>
      </c>
      <c r="AW104" s="232" t="s">
        <v>819</v>
      </c>
      <c r="AX104" s="232" t="s">
        <v>776</v>
      </c>
      <c r="AY104" s="232" t="s">
        <v>777</v>
      </c>
      <c r="AZ104" s="232" t="s">
        <v>778</v>
      </c>
      <c r="BA104" s="221" t="s">
        <v>820</v>
      </c>
      <c r="BB104" s="221"/>
      <c r="BC104" s="233" t="s">
        <v>128</v>
      </c>
      <c r="BF104" s="51"/>
    </row>
    <row r="105" spans="1:58" ht="13.5" customHeight="1">
      <c r="A105" s="220">
        <f t="shared" si="24"/>
        <v>104</v>
      </c>
      <c r="B105" s="221" t="s">
        <v>405</v>
      </c>
      <c r="C105" s="221" t="s">
        <v>762</v>
      </c>
      <c r="D105" s="221" t="s">
        <v>365</v>
      </c>
      <c r="E105" s="221" t="s">
        <v>763</v>
      </c>
      <c r="F105" s="221" t="s">
        <v>764</v>
      </c>
      <c r="G105" s="222" t="s">
        <v>821</v>
      </c>
      <c r="H105" s="221" t="s">
        <v>163</v>
      </c>
      <c r="I105" s="221" t="s">
        <v>822</v>
      </c>
      <c r="J105" s="221" t="s">
        <v>124</v>
      </c>
      <c r="K105" s="221" t="s">
        <v>751</v>
      </c>
      <c r="L105" s="221"/>
      <c r="M105" s="221"/>
      <c r="N105" s="223" t="s">
        <v>228</v>
      </c>
      <c r="O105" s="230" t="s">
        <v>229</v>
      </c>
      <c r="P105" s="224">
        <v>25680031141.750671</v>
      </c>
      <c r="Q105" s="225">
        <v>0.5595</v>
      </c>
      <c r="R105" s="225">
        <v>0.51</v>
      </c>
      <c r="S105" s="225">
        <f t="shared" si="25"/>
        <v>-4.9499999999999988E-2</v>
      </c>
      <c r="T105" s="225" t="str" cm="1">
        <f t="array" ref="T105">+_xlfn.IFS($P105&lt;=10000000000,IF(S105&gt;-0.05,"Verde",IF(S105&lt;=-0.1,"Rojo","Amarillo")),$P105&gt;10000000000,IF(S105&gt;-0.03,"Verde",IF(S105&lt;=-0.07,"Rojo","Amarillo")))</f>
        <v>Amarillo</v>
      </c>
      <c r="U105" s="226">
        <v>45370</v>
      </c>
      <c r="V105" s="226">
        <v>45391</v>
      </c>
      <c r="W105" s="226">
        <v>45428</v>
      </c>
      <c r="X105" s="226">
        <v>45657</v>
      </c>
      <c r="Y105" s="272">
        <v>46022</v>
      </c>
      <c r="Z105" s="225" t="str">
        <f t="shared" ca="1" si="23"/>
        <v>Verde</v>
      </c>
      <c r="AA105" s="225" t="str">
        <f t="shared" ca="1" si="20"/>
        <v>-</v>
      </c>
      <c r="AB105" s="273"/>
      <c r="AC105" s="272"/>
      <c r="AD105" s="227">
        <v>46022</v>
      </c>
      <c r="AE105" s="221" t="s">
        <v>823</v>
      </c>
      <c r="AF105" s="223" t="s">
        <v>824</v>
      </c>
      <c r="AG105" s="223" t="s">
        <v>825</v>
      </c>
      <c r="AH105" s="223" t="s">
        <v>826</v>
      </c>
      <c r="AI105" s="221" t="s">
        <v>803</v>
      </c>
      <c r="AJ105" s="223" t="s">
        <v>804</v>
      </c>
      <c r="AK105" s="223" t="s">
        <v>805</v>
      </c>
      <c r="AL105" s="230" t="s">
        <v>806</v>
      </c>
      <c r="AM105" s="231">
        <v>24448561482.540001</v>
      </c>
      <c r="AN105" s="231">
        <v>0</v>
      </c>
      <c r="AO105" s="231">
        <f t="shared" si="18"/>
        <v>24448561482.540001</v>
      </c>
      <c r="AP105" s="231">
        <v>6464960935.1000004</v>
      </c>
      <c r="AQ105" s="231">
        <v>5478371465.6000004</v>
      </c>
      <c r="AR105" s="231">
        <v>1231469659.2106693</v>
      </c>
      <c r="AS105" s="231">
        <v>0</v>
      </c>
      <c r="AT105" s="231">
        <f t="shared" si="22"/>
        <v>1231469659.2106693</v>
      </c>
      <c r="AU105" s="231">
        <v>0</v>
      </c>
      <c r="AV105" s="231">
        <v>0</v>
      </c>
      <c r="AW105" s="232" t="s">
        <v>819</v>
      </c>
      <c r="AX105" s="232" t="s">
        <v>776</v>
      </c>
      <c r="AY105" s="232" t="s">
        <v>777</v>
      </c>
      <c r="AZ105" s="232" t="s">
        <v>778</v>
      </c>
      <c r="BA105" s="221" t="s">
        <v>2433</v>
      </c>
      <c r="BB105" s="221"/>
      <c r="BC105" s="233" t="s">
        <v>128</v>
      </c>
      <c r="BF105" s="51"/>
    </row>
    <row r="106" spans="1:58" ht="13.5" customHeight="1">
      <c r="A106" s="220">
        <f t="shared" ref="A106:A116" si="26">+A105+1</f>
        <v>105</v>
      </c>
      <c r="B106" s="221" t="s">
        <v>405</v>
      </c>
      <c r="C106" s="221" t="s">
        <v>827</v>
      </c>
      <c r="D106" s="221" t="s">
        <v>118</v>
      </c>
      <c r="E106" s="221" t="s">
        <v>119</v>
      </c>
      <c r="F106" s="221" t="s">
        <v>828</v>
      </c>
      <c r="G106" s="222" t="s">
        <v>829</v>
      </c>
      <c r="H106" s="221" t="s">
        <v>163</v>
      </c>
      <c r="I106" s="221" t="s">
        <v>750</v>
      </c>
      <c r="J106" s="221" t="s">
        <v>124</v>
      </c>
      <c r="K106" s="221" t="s">
        <v>122</v>
      </c>
      <c r="L106" s="221"/>
      <c r="M106" s="221"/>
      <c r="N106" s="223" t="s">
        <v>126</v>
      </c>
      <c r="O106" s="230" t="s">
        <v>127</v>
      </c>
      <c r="P106" s="224">
        <v>1870047572</v>
      </c>
      <c r="Q106" s="225">
        <v>1</v>
      </c>
      <c r="R106" s="225">
        <v>1</v>
      </c>
      <c r="S106" s="225">
        <f t="shared" si="25"/>
        <v>0</v>
      </c>
      <c r="T106" s="225" t="str" cm="1">
        <f t="array" ref="T106">+_xlfn.IFS($P106&lt;=10000000000,IF(S106&gt;-0.05,"Verde",IF(S106&lt;=-0.1,"Rojo","Amarillo")),$P106&gt;10000000000,IF(S106&gt;-0.03,"Verde",IF(S106&lt;=-0.07,"Rojo","Amarillo")))</f>
        <v>Verde</v>
      </c>
      <c r="U106" s="226">
        <v>45362</v>
      </c>
      <c r="V106" s="226">
        <v>45363</v>
      </c>
      <c r="W106" s="226">
        <v>45378</v>
      </c>
      <c r="X106" s="226">
        <v>45439</v>
      </c>
      <c r="Y106" s="272">
        <v>45500</v>
      </c>
      <c r="Z106" s="225" t="str">
        <f t="shared" ca="1" si="23"/>
        <v>Terminado</v>
      </c>
      <c r="AA106" s="225" t="str">
        <f t="shared" ca="1" si="20"/>
        <v>-</v>
      </c>
      <c r="AB106" s="273" t="s">
        <v>128</v>
      </c>
      <c r="AC106" s="272"/>
      <c r="AD106" s="227">
        <v>45500</v>
      </c>
      <c r="AE106" s="221" t="s">
        <v>830</v>
      </c>
      <c r="AF106" s="223" t="s">
        <v>831</v>
      </c>
      <c r="AG106" s="223"/>
      <c r="AH106" s="223" t="s">
        <v>832</v>
      </c>
      <c r="AI106" s="221"/>
      <c r="AJ106" s="223"/>
      <c r="AK106" s="223"/>
      <c r="AL106" s="230"/>
      <c r="AM106" s="231">
        <v>1870047572</v>
      </c>
      <c r="AN106" s="231">
        <v>0</v>
      </c>
      <c r="AO106" s="231">
        <f t="shared" si="18"/>
        <v>1870047572</v>
      </c>
      <c r="AP106" s="231">
        <v>1870047572</v>
      </c>
      <c r="AQ106" s="231">
        <v>1525150290.3600001</v>
      </c>
      <c r="AR106" s="231">
        <v>0</v>
      </c>
      <c r="AS106" s="231">
        <v>0</v>
      </c>
      <c r="AT106" s="231">
        <f t="shared" si="22"/>
        <v>0</v>
      </c>
      <c r="AU106" s="231">
        <v>0</v>
      </c>
      <c r="AV106" s="231">
        <v>0</v>
      </c>
      <c r="AW106" s="232" t="s">
        <v>833</v>
      </c>
      <c r="AX106" s="232" t="s">
        <v>834</v>
      </c>
      <c r="AY106" s="232" t="s">
        <v>835</v>
      </c>
      <c r="AZ106" s="232" t="s">
        <v>836</v>
      </c>
      <c r="BA106" s="221" t="s">
        <v>761</v>
      </c>
      <c r="BB106" s="221"/>
      <c r="BC106" s="233" t="s">
        <v>128</v>
      </c>
      <c r="BF106" s="51"/>
    </row>
    <row r="107" spans="1:58" ht="13.5" customHeight="1">
      <c r="A107" s="220">
        <f t="shared" si="26"/>
        <v>106</v>
      </c>
      <c r="B107" s="221" t="s">
        <v>405</v>
      </c>
      <c r="C107" s="221" t="s">
        <v>837</v>
      </c>
      <c r="D107" s="221" t="s">
        <v>365</v>
      </c>
      <c r="E107" s="221" t="s">
        <v>607</v>
      </c>
      <c r="F107" s="221" t="s">
        <v>608</v>
      </c>
      <c r="G107" s="222" t="s">
        <v>838</v>
      </c>
      <c r="H107" s="221" t="s">
        <v>154</v>
      </c>
      <c r="I107" s="221" t="s">
        <v>839</v>
      </c>
      <c r="J107" s="221" t="s">
        <v>840</v>
      </c>
      <c r="K107" s="221" t="s">
        <v>841</v>
      </c>
      <c r="L107" s="221">
        <v>-74.799780397605105</v>
      </c>
      <c r="M107" s="221">
        <v>10.967714130784101</v>
      </c>
      <c r="N107" s="223" t="s">
        <v>228</v>
      </c>
      <c r="O107" s="230" t="s">
        <v>229</v>
      </c>
      <c r="P107" s="224">
        <v>101323988.02354798</v>
      </c>
      <c r="Q107" s="225">
        <v>1</v>
      </c>
      <c r="R107" s="225">
        <v>1</v>
      </c>
      <c r="S107" s="225">
        <f t="shared" si="25"/>
        <v>0</v>
      </c>
      <c r="T107" s="225" t="str" cm="1">
        <f t="array" ref="T107">+_xlfn.IFS($P107&lt;=10000000000,IF(S107&gt;-0.05,"Verde",IF(S107&lt;=-0.1,"Rojo","Amarillo")),$P107&gt;10000000000,IF(S107&gt;-0.03,"Verde",IF(S107&lt;=-0.07,"Rojo","Amarillo")))</f>
        <v>Verde</v>
      </c>
      <c r="U107" s="226">
        <v>45492</v>
      </c>
      <c r="V107" s="226">
        <v>45509</v>
      </c>
      <c r="W107" s="226">
        <v>45544</v>
      </c>
      <c r="X107" s="226">
        <v>45657</v>
      </c>
      <c r="Y107" s="272">
        <v>45577</v>
      </c>
      <c r="Z107" s="225" t="str">
        <f t="shared" ca="1" si="23"/>
        <v>En_Ejecución</v>
      </c>
      <c r="AA107" s="225" t="str">
        <f t="shared" ca="1" si="20"/>
        <v>-</v>
      </c>
      <c r="AB107" s="273" t="s">
        <v>128</v>
      </c>
      <c r="AC107" s="272"/>
      <c r="AD107" s="227">
        <v>45577</v>
      </c>
      <c r="AE107" s="221" t="s">
        <v>842</v>
      </c>
      <c r="AF107" s="223" t="s">
        <v>843</v>
      </c>
      <c r="AG107" s="223" t="s">
        <v>844</v>
      </c>
      <c r="AH107" s="223" t="s">
        <v>845</v>
      </c>
      <c r="AI107" s="221" t="s">
        <v>837</v>
      </c>
      <c r="AJ107" s="223" t="s">
        <v>336</v>
      </c>
      <c r="AK107" s="223"/>
      <c r="AL107" s="230" t="s">
        <v>846</v>
      </c>
      <c r="AM107" s="231">
        <v>9832149209</v>
      </c>
      <c r="AN107" s="231">
        <v>2505106791</v>
      </c>
      <c r="AO107" s="231">
        <f t="shared" si="18"/>
        <v>12337256000</v>
      </c>
      <c r="AP107" s="231">
        <v>5008387266</v>
      </c>
      <c r="AQ107" s="231">
        <v>0</v>
      </c>
      <c r="AR107" s="231">
        <v>1505000000</v>
      </c>
      <c r="AS107" s="231">
        <v>1003333333</v>
      </c>
      <c r="AT107" s="231">
        <f t="shared" si="22"/>
        <v>2508333333</v>
      </c>
      <c r="AU107" s="231">
        <v>157233711.34</v>
      </c>
      <c r="AV107" s="231">
        <v>0</v>
      </c>
      <c r="AW107" s="232"/>
      <c r="AX107" s="232" t="s">
        <v>847</v>
      </c>
      <c r="AY107" s="232" t="s">
        <v>848</v>
      </c>
      <c r="AZ107" s="232" t="s">
        <v>849</v>
      </c>
      <c r="BA107" s="221" t="s">
        <v>850</v>
      </c>
      <c r="BB107" s="221"/>
      <c r="BC107" s="233" t="s">
        <v>128</v>
      </c>
      <c r="BF107" s="51"/>
    </row>
    <row r="108" spans="1:58" ht="13.5" customHeight="1">
      <c r="A108" s="220">
        <f t="shared" si="26"/>
        <v>107</v>
      </c>
      <c r="B108" s="221" t="s">
        <v>405</v>
      </c>
      <c r="C108" s="221" t="s">
        <v>837</v>
      </c>
      <c r="D108" s="221" t="s">
        <v>365</v>
      </c>
      <c r="E108" s="221" t="s">
        <v>607</v>
      </c>
      <c r="F108" s="221" t="s">
        <v>608</v>
      </c>
      <c r="G108" s="222" t="s">
        <v>851</v>
      </c>
      <c r="H108" s="221" t="s">
        <v>154</v>
      </c>
      <c r="I108" s="221" t="s">
        <v>839</v>
      </c>
      <c r="J108" s="221" t="s">
        <v>840</v>
      </c>
      <c r="K108" s="221" t="s">
        <v>841</v>
      </c>
      <c r="L108" s="221">
        <v>-74.799780397605105</v>
      </c>
      <c r="M108" s="221">
        <v>10.967714130784101</v>
      </c>
      <c r="N108" s="223" t="s">
        <v>228</v>
      </c>
      <c r="O108" s="230" t="s">
        <v>229</v>
      </c>
      <c r="P108" s="224">
        <v>41393457.547078863</v>
      </c>
      <c r="Q108" s="225">
        <v>1</v>
      </c>
      <c r="R108" s="225">
        <v>1</v>
      </c>
      <c r="S108" s="225">
        <f t="shared" si="25"/>
        <v>0</v>
      </c>
      <c r="T108" s="225" t="str" cm="1">
        <f t="array" ref="T108">+_xlfn.IFS($P108&lt;=10000000000,IF(S108&gt;-0.05,"Verde",IF(S108&lt;=-0.1,"Rojo","Amarillo")),$P108&gt;10000000000,IF(S108&gt;-0.03,"Verde",IF(S108&lt;=-0.07,"Rojo","Amarillo")))</f>
        <v>Verde</v>
      </c>
      <c r="U108" s="226">
        <v>45492</v>
      </c>
      <c r="V108" s="226">
        <v>45509</v>
      </c>
      <c r="W108" s="226">
        <v>45544</v>
      </c>
      <c r="X108" s="226">
        <v>45657</v>
      </c>
      <c r="Y108" s="272">
        <v>45315</v>
      </c>
      <c r="Z108" s="225" t="str">
        <f t="shared" ca="1" si="23"/>
        <v>En_Ejecución</v>
      </c>
      <c r="AA108" s="225" t="str">
        <f t="shared" ca="1" si="20"/>
        <v>-</v>
      </c>
      <c r="AB108" s="273" t="s">
        <v>128</v>
      </c>
      <c r="AC108" s="272"/>
      <c r="AD108" s="227">
        <v>45681</v>
      </c>
      <c r="AE108" s="221" t="s">
        <v>842</v>
      </c>
      <c r="AF108" s="223" t="s">
        <v>843</v>
      </c>
      <c r="AG108" s="223" t="s">
        <v>844</v>
      </c>
      <c r="AH108" s="223" t="s">
        <v>845</v>
      </c>
      <c r="AI108" s="221" t="s">
        <v>837</v>
      </c>
      <c r="AJ108" s="223" t="s">
        <v>336</v>
      </c>
      <c r="AK108" s="223"/>
      <c r="AL108" s="230" t="s">
        <v>846</v>
      </c>
      <c r="AM108" s="231">
        <v>9832149209</v>
      </c>
      <c r="AN108" s="231">
        <v>2505106791</v>
      </c>
      <c r="AO108" s="231">
        <f t="shared" si="18"/>
        <v>12337256000</v>
      </c>
      <c r="AP108" s="231">
        <v>5008387266</v>
      </c>
      <c r="AQ108" s="231">
        <v>0</v>
      </c>
      <c r="AR108" s="231">
        <v>1505000000</v>
      </c>
      <c r="AS108" s="231">
        <v>1003333333</v>
      </c>
      <c r="AT108" s="231">
        <f t="shared" si="22"/>
        <v>2508333333</v>
      </c>
      <c r="AU108" s="231">
        <v>157233711.34</v>
      </c>
      <c r="AV108" s="231">
        <v>0</v>
      </c>
      <c r="AW108" s="232"/>
      <c r="AX108" s="232" t="s">
        <v>847</v>
      </c>
      <c r="AY108" s="232" t="s">
        <v>848</v>
      </c>
      <c r="AZ108" s="232" t="s">
        <v>849</v>
      </c>
      <c r="BA108" s="221" t="s">
        <v>852</v>
      </c>
      <c r="BB108" s="221"/>
      <c r="BC108" s="233" t="s">
        <v>128</v>
      </c>
      <c r="BF108" s="51"/>
    </row>
    <row r="109" spans="1:58" ht="13.5" customHeight="1">
      <c r="A109" s="220">
        <f t="shared" si="26"/>
        <v>108</v>
      </c>
      <c r="B109" s="221" t="s">
        <v>405</v>
      </c>
      <c r="C109" s="221" t="s">
        <v>837</v>
      </c>
      <c r="D109" s="221" t="s">
        <v>365</v>
      </c>
      <c r="E109" s="221" t="s">
        <v>607</v>
      </c>
      <c r="F109" s="221" t="s">
        <v>608</v>
      </c>
      <c r="G109" s="222" t="s">
        <v>2426</v>
      </c>
      <c r="H109" s="221" t="s">
        <v>154</v>
      </c>
      <c r="I109" s="221" t="s">
        <v>839</v>
      </c>
      <c r="J109" s="221" t="s">
        <v>840</v>
      </c>
      <c r="K109" s="221" t="s">
        <v>841</v>
      </c>
      <c r="L109" s="221">
        <v>-74.799780397605105</v>
      </c>
      <c r="M109" s="221">
        <v>10.967714130784101</v>
      </c>
      <c r="N109" s="223" t="s">
        <v>228</v>
      </c>
      <c r="O109" s="230" t="s">
        <v>229</v>
      </c>
      <c r="P109" s="224">
        <v>99027706</v>
      </c>
      <c r="Q109" s="225">
        <v>1</v>
      </c>
      <c r="R109" s="225">
        <v>1</v>
      </c>
      <c r="S109" s="225">
        <f>+R109-Q109</f>
        <v>0</v>
      </c>
      <c r="T109" s="338" t="str" cm="1">
        <f t="array" ref="T109">+_xlfn.IFS($P109&lt;=10000000000,IF(S109&gt;-0.05,"Verde",IF(S109&lt;=-0.1,"Rojo","Amarillo")),$P109&gt;10000000000,IF(S109&gt;-0.03,"Verde",IF(S109&lt;=-0.07,"Rojo","Amarillo")))</f>
        <v>Verde</v>
      </c>
      <c r="U109" s="226">
        <v>45492</v>
      </c>
      <c r="V109" s="226">
        <v>45509</v>
      </c>
      <c r="W109" s="226">
        <v>45544</v>
      </c>
      <c r="X109" s="226">
        <v>45657</v>
      </c>
      <c r="Y109" s="272">
        <v>45838</v>
      </c>
      <c r="Z109" s="225" t="str">
        <f ca="1">+IF(AND(O109="En_Ejecución",OR(T109="Rojo",T109="Amarillo")),IF(($Y109-(TODAY())&lt;15),"Rojo",IF(($Y109-TODAY())&gt;=45,"Verde","Amarillo")),O109)</f>
        <v>En_Ejecución</v>
      </c>
      <c r="AA109" s="225" t="str">
        <f t="shared" ref="AA109:AA115" ca="1" si="27">+IF(AND(Z109="Amarillo",T109="Rojo"),"En_Seguimiento",IF(AND(Z109="Rojo",T109="Amarillo"),"En_Seguimiento",IF(AND(Z109="Rojo",T109="Rojo"),"En_Seguimiento",IF(AND(Z109="Suspendido",T109="Amarillo"),"En_Seguimiento",IF(AND(Z109="Suspendido",T109="Rojo"),"En_Seguimiento","-")))))</f>
        <v>-</v>
      </c>
      <c r="AB109" s="273" t="s">
        <v>128</v>
      </c>
      <c r="AC109" s="272"/>
      <c r="AD109" s="227">
        <v>45838</v>
      </c>
      <c r="AE109" s="221" t="s">
        <v>842</v>
      </c>
      <c r="AF109" s="223" t="s">
        <v>843</v>
      </c>
      <c r="AG109" s="223" t="s">
        <v>844</v>
      </c>
      <c r="AH109" s="223" t="s">
        <v>845</v>
      </c>
      <c r="AI109" s="221" t="s">
        <v>837</v>
      </c>
      <c r="AJ109" s="223" t="s">
        <v>336</v>
      </c>
      <c r="AK109" s="223"/>
      <c r="AL109" s="230" t="s">
        <v>846</v>
      </c>
      <c r="AM109" s="231">
        <v>9832149209</v>
      </c>
      <c r="AN109" s="231">
        <v>2505106791</v>
      </c>
      <c r="AO109" s="231">
        <f t="shared" ref="AO109:AO115" si="28">AM109+AN109</f>
        <v>12337256000</v>
      </c>
      <c r="AP109" s="231">
        <v>5008387266</v>
      </c>
      <c r="AQ109" s="231">
        <v>0</v>
      </c>
      <c r="AR109" s="231">
        <v>1505000000</v>
      </c>
      <c r="AS109" s="231">
        <v>1003333333</v>
      </c>
      <c r="AT109" s="231">
        <f t="shared" ref="AT109:AT115" si="29">AR109+AS109</f>
        <v>2508333333</v>
      </c>
      <c r="AU109" s="231">
        <v>157233711.34</v>
      </c>
      <c r="AV109" s="231">
        <v>0</v>
      </c>
      <c r="AW109" s="232"/>
      <c r="AX109" s="232" t="s">
        <v>847</v>
      </c>
      <c r="AY109" s="232" t="s">
        <v>848</v>
      </c>
      <c r="AZ109" s="232" t="s">
        <v>849</v>
      </c>
      <c r="BA109" s="221" t="s">
        <v>852</v>
      </c>
      <c r="BB109" s="221"/>
      <c r="BC109" s="233" t="s">
        <v>128</v>
      </c>
      <c r="BF109" s="51"/>
    </row>
    <row r="110" spans="1:58" ht="13.5" customHeight="1">
      <c r="A110" s="220">
        <f t="shared" si="26"/>
        <v>109</v>
      </c>
      <c r="B110" s="221" t="s">
        <v>405</v>
      </c>
      <c r="C110" s="221" t="s">
        <v>837</v>
      </c>
      <c r="D110" s="221" t="s">
        <v>365</v>
      </c>
      <c r="E110" s="221" t="s">
        <v>607</v>
      </c>
      <c r="F110" s="221" t="s">
        <v>608</v>
      </c>
      <c r="G110" s="222" t="s">
        <v>853</v>
      </c>
      <c r="H110" s="221" t="s">
        <v>154</v>
      </c>
      <c r="I110" s="221" t="s">
        <v>854</v>
      </c>
      <c r="J110" s="221" t="s">
        <v>855</v>
      </c>
      <c r="K110" s="221" t="s">
        <v>856</v>
      </c>
      <c r="L110" s="221">
        <v>-74.797897591512495</v>
      </c>
      <c r="M110" s="221">
        <v>10.974265703666401</v>
      </c>
      <c r="N110" s="223" t="s">
        <v>228</v>
      </c>
      <c r="O110" s="230" t="s">
        <v>229</v>
      </c>
      <c r="P110" s="224">
        <v>182443582.16572106</v>
      </c>
      <c r="Q110" s="225">
        <v>1</v>
      </c>
      <c r="R110" s="225">
        <v>1</v>
      </c>
      <c r="S110" s="225">
        <f>+R110-Q110</f>
        <v>0</v>
      </c>
      <c r="T110" s="225" t="str" cm="1">
        <f t="array" ref="T110">+_xlfn.IFS($P110&lt;=10000000000,IF(S110&gt;-0.05,"Verde",IF(S110&lt;=-0.1,"Rojo","Amarillo")),$P110&gt;10000000000,IF(S110&gt;-0.03,"Verde",IF(S110&lt;=-0.07,"Rojo","Amarillo")))</f>
        <v>Verde</v>
      </c>
      <c r="U110" s="226">
        <v>45492</v>
      </c>
      <c r="V110" s="226">
        <v>45509</v>
      </c>
      <c r="W110" s="226">
        <v>45544</v>
      </c>
      <c r="X110" s="226">
        <v>45657</v>
      </c>
      <c r="Y110" s="272">
        <v>45654</v>
      </c>
      <c r="Z110" s="225" t="str">
        <f ca="1">+IF(AND(O110="En_Ejecución",OR(T110="Rojo",T110="Amarillo")),IF(($Y110-(TODAY())&lt;15),"Rojo",IF(($Y110-TODAY())&gt;=45,"Verde","Amarillo")),O110)</f>
        <v>En_Ejecución</v>
      </c>
      <c r="AA110" s="225" t="str">
        <f t="shared" ca="1" si="27"/>
        <v>-</v>
      </c>
      <c r="AB110" s="273" t="s">
        <v>128</v>
      </c>
      <c r="AC110" s="272"/>
      <c r="AD110" s="227">
        <v>45654</v>
      </c>
      <c r="AE110" s="221" t="s">
        <v>842</v>
      </c>
      <c r="AF110" s="223" t="s">
        <v>843</v>
      </c>
      <c r="AG110" s="223" t="s">
        <v>844</v>
      </c>
      <c r="AH110" s="223" t="s">
        <v>845</v>
      </c>
      <c r="AI110" s="221" t="s">
        <v>837</v>
      </c>
      <c r="AJ110" s="223" t="s">
        <v>336</v>
      </c>
      <c r="AK110" s="223"/>
      <c r="AL110" s="230" t="s">
        <v>846</v>
      </c>
      <c r="AM110" s="231">
        <v>9832149209</v>
      </c>
      <c r="AN110" s="231">
        <v>2505106791</v>
      </c>
      <c r="AO110" s="231">
        <f t="shared" si="28"/>
        <v>12337256000</v>
      </c>
      <c r="AP110" s="231">
        <v>5008387266</v>
      </c>
      <c r="AQ110" s="231">
        <v>0</v>
      </c>
      <c r="AR110" s="231">
        <v>1505000000</v>
      </c>
      <c r="AS110" s="231">
        <v>1003333333</v>
      </c>
      <c r="AT110" s="231">
        <f t="shared" si="29"/>
        <v>2508333333</v>
      </c>
      <c r="AU110" s="231">
        <v>157233711.34</v>
      </c>
      <c r="AV110" s="231">
        <v>0</v>
      </c>
      <c r="AW110" s="232" t="s">
        <v>857</v>
      </c>
      <c r="AX110" s="232" t="s">
        <v>847</v>
      </c>
      <c r="AY110" s="232" t="s">
        <v>848</v>
      </c>
      <c r="AZ110" s="232" t="s">
        <v>849</v>
      </c>
      <c r="BA110" s="221" t="s">
        <v>850</v>
      </c>
      <c r="BB110" s="221"/>
      <c r="BC110" s="233" t="s">
        <v>128</v>
      </c>
      <c r="BF110" s="51"/>
    </row>
    <row r="111" spans="1:58" ht="13.5" customHeight="1">
      <c r="A111" s="220">
        <f t="shared" si="26"/>
        <v>110</v>
      </c>
      <c r="B111" s="221" t="s">
        <v>405</v>
      </c>
      <c r="C111" s="221" t="s">
        <v>837</v>
      </c>
      <c r="D111" s="221" t="s">
        <v>365</v>
      </c>
      <c r="E111" s="221" t="s">
        <v>607</v>
      </c>
      <c r="F111" s="221" t="s">
        <v>608</v>
      </c>
      <c r="G111" s="222" t="s">
        <v>858</v>
      </c>
      <c r="H111" s="221" t="s">
        <v>163</v>
      </c>
      <c r="I111" s="221" t="s">
        <v>859</v>
      </c>
      <c r="J111" s="221" t="s">
        <v>860</v>
      </c>
      <c r="K111" s="221" t="s">
        <v>861</v>
      </c>
      <c r="L111" s="221">
        <v>-74.829615677037495</v>
      </c>
      <c r="M111" s="221">
        <v>10.936138469292301</v>
      </c>
      <c r="N111" s="223" t="s">
        <v>228</v>
      </c>
      <c r="O111" s="230" t="s">
        <v>229</v>
      </c>
      <c r="P111" s="224">
        <v>667648216.73924458</v>
      </c>
      <c r="Q111" s="225">
        <v>1</v>
      </c>
      <c r="R111" s="225">
        <v>1</v>
      </c>
      <c r="S111" s="225">
        <f>+R111-Q111</f>
        <v>0</v>
      </c>
      <c r="T111" s="225" t="str" cm="1">
        <f t="array" ref="T111">+_xlfn.IFS($P111&lt;=10000000000,IF(S111&gt;-0.05,"Verde",IF(S111&lt;=-0.1,"Rojo","Amarillo")),$P111&gt;10000000000,IF(S111&gt;-0.03,"Verde",IF(S111&lt;=-0.07,"Rojo","Amarillo")))</f>
        <v>Verde</v>
      </c>
      <c r="U111" s="226">
        <v>45492</v>
      </c>
      <c r="V111" s="226">
        <v>45509</v>
      </c>
      <c r="W111" s="226">
        <v>45544</v>
      </c>
      <c r="X111" s="226">
        <v>45657</v>
      </c>
      <c r="Y111" s="272">
        <v>45727</v>
      </c>
      <c r="Z111" s="225" t="str">
        <f ca="1">+IF(AND(O111="En_Ejecución",OR(T111="Rojo",T111="Amarillo")),IF(($Y111-(TODAY())&lt;15),"Rojo",IF(($Y111-TODAY())&gt;=45,"Verde","Amarillo")),O111)</f>
        <v>En_Ejecución</v>
      </c>
      <c r="AA111" s="225" t="str">
        <f t="shared" ca="1" si="27"/>
        <v>-</v>
      </c>
      <c r="AB111" s="273" t="s">
        <v>128</v>
      </c>
      <c r="AC111" s="272"/>
      <c r="AD111" s="227">
        <v>45698</v>
      </c>
      <c r="AE111" s="221" t="s">
        <v>842</v>
      </c>
      <c r="AF111" s="223" t="s">
        <v>843</v>
      </c>
      <c r="AG111" s="223" t="s">
        <v>844</v>
      </c>
      <c r="AH111" s="223" t="s">
        <v>845</v>
      </c>
      <c r="AI111" s="221" t="s">
        <v>837</v>
      </c>
      <c r="AJ111" s="223" t="s">
        <v>336</v>
      </c>
      <c r="AK111" s="223"/>
      <c r="AL111" s="230" t="s">
        <v>846</v>
      </c>
      <c r="AM111" s="231">
        <v>9832149209</v>
      </c>
      <c r="AN111" s="231">
        <v>2505106791</v>
      </c>
      <c r="AO111" s="231">
        <f t="shared" si="28"/>
        <v>12337256000</v>
      </c>
      <c r="AP111" s="231">
        <v>5008387266</v>
      </c>
      <c r="AQ111" s="231">
        <v>0</v>
      </c>
      <c r="AR111" s="231">
        <v>1505000000</v>
      </c>
      <c r="AS111" s="231">
        <v>1003333333</v>
      </c>
      <c r="AT111" s="231">
        <f t="shared" si="29"/>
        <v>2508333333</v>
      </c>
      <c r="AU111" s="231">
        <v>157233711.34</v>
      </c>
      <c r="AV111" s="231">
        <v>0</v>
      </c>
      <c r="AW111" s="232" t="s">
        <v>862</v>
      </c>
      <c r="AX111" s="232" t="s">
        <v>847</v>
      </c>
      <c r="AY111" s="232" t="s">
        <v>848</v>
      </c>
      <c r="AZ111" s="232" t="s">
        <v>849</v>
      </c>
      <c r="BA111" s="221" t="s">
        <v>850</v>
      </c>
      <c r="BB111" s="221"/>
      <c r="BC111" s="233" t="s">
        <v>128</v>
      </c>
      <c r="BF111" s="51"/>
    </row>
    <row r="112" spans="1:58" ht="13.5" customHeight="1">
      <c r="A112" s="220">
        <f t="shared" si="26"/>
        <v>111</v>
      </c>
      <c r="B112" s="221" t="s">
        <v>405</v>
      </c>
      <c r="C112" s="221" t="s">
        <v>837</v>
      </c>
      <c r="D112" s="221" t="s">
        <v>365</v>
      </c>
      <c r="E112" s="221" t="s">
        <v>607</v>
      </c>
      <c r="F112" s="221" t="s">
        <v>608</v>
      </c>
      <c r="G112" s="222" t="s">
        <v>863</v>
      </c>
      <c r="H112" s="221" t="s">
        <v>163</v>
      </c>
      <c r="I112" s="221" t="s">
        <v>864</v>
      </c>
      <c r="J112" s="221" t="s">
        <v>865</v>
      </c>
      <c r="K112" s="221" t="s">
        <v>866</v>
      </c>
      <c r="L112" s="221">
        <v>-74.8119340982268</v>
      </c>
      <c r="M112" s="221">
        <v>10.9448993591987</v>
      </c>
      <c r="N112" s="223" t="s">
        <v>228</v>
      </c>
      <c r="O112" s="230" t="s">
        <v>229</v>
      </c>
      <c r="P112" s="224">
        <v>332184365.06427807</v>
      </c>
      <c r="Q112" s="225">
        <v>1</v>
      </c>
      <c r="R112" s="225">
        <v>0.92</v>
      </c>
      <c r="S112" s="225">
        <f>+R112-Q112</f>
        <v>-7.999999999999996E-2</v>
      </c>
      <c r="T112" s="225" t="str" cm="1">
        <f t="array" ref="T112">+_xlfn.IFS($P112&lt;=10000000000,IF(S112&gt;-0.05,"Verde",IF(S112&lt;=-0.1,"Rojo","Amarillo")),$P112&gt;10000000000,IF(S112&gt;-0.03,"Verde",IF(S112&lt;=-0.07,"Rojo","Amarillo")))</f>
        <v>Amarillo</v>
      </c>
      <c r="U112" s="226">
        <v>45492</v>
      </c>
      <c r="V112" s="226">
        <v>45509</v>
      </c>
      <c r="W112" s="226">
        <v>45544</v>
      </c>
      <c r="X112" s="226">
        <v>45657</v>
      </c>
      <c r="Y112" s="272">
        <v>45838</v>
      </c>
      <c r="Z112" s="225" t="str">
        <f ca="1">+IF(AND(O112="En_Ejecución",OR(T112="Rojo",T112="Amarillo")),IF(($Y112-(TODAY())&lt;15),"Rojo",IF(($Y112-TODAY())&gt;=45,"Verde","Amarillo")),O112)</f>
        <v>Rojo</v>
      </c>
      <c r="AA112" s="225" t="str">
        <f t="shared" ca="1" si="27"/>
        <v>En_Seguimiento</v>
      </c>
      <c r="AB112" s="273" t="s">
        <v>128</v>
      </c>
      <c r="AC112" s="272"/>
      <c r="AD112" s="227">
        <v>45838</v>
      </c>
      <c r="AE112" s="221" t="s">
        <v>842</v>
      </c>
      <c r="AF112" s="223" t="s">
        <v>843</v>
      </c>
      <c r="AG112" s="223" t="s">
        <v>844</v>
      </c>
      <c r="AH112" s="223" t="s">
        <v>845</v>
      </c>
      <c r="AI112" s="221" t="s">
        <v>837</v>
      </c>
      <c r="AJ112" s="223" t="s">
        <v>336</v>
      </c>
      <c r="AK112" s="223"/>
      <c r="AL112" s="230" t="s">
        <v>846</v>
      </c>
      <c r="AM112" s="231">
        <v>9832149209</v>
      </c>
      <c r="AN112" s="231">
        <v>2505106791</v>
      </c>
      <c r="AO112" s="231">
        <f t="shared" si="28"/>
        <v>12337256000</v>
      </c>
      <c r="AP112" s="231">
        <v>5008387266</v>
      </c>
      <c r="AQ112" s="231">
        <v>0</v>
      </c>
      <c r="AR112" s="231">
        <v>1505000000</v>
      </c>
      <c r="AS112" s="231">
        <v>1003333333</v>
      </c>
      <c r="AT112" s="231">
        <f t="shared" si="29"/>
        <v>2508333333</v>
      </c>
      <c r="AU112" s="231">
        <v>157233711.34</v>
      </c>
      <c r="AV112" s="231">
        <v>0</v>
      </c>
      <c r="AW112" s="232"/>
      <c r="AX112" s="232" t="s">
        <v>847</v>
      </c>
      <c r="AY112" s="232" t="s">
        <v>848</v>
      </c>
      <c r="AZ112" s="232" t="s">
        <v>849</v>
      </c>
      <c r="BA112" s="221" t="s">
        <v>669</v>
      </c>
      <c r="BB112" s="221"/>
      <c r="BC112" s="233" t="s">
        <v>128</v>
      </c>
      <c r="BF112" s="51"/>
    </row>
    <row r="113" spans="1:58" ht="13.5" customHeight="1">
      <c r="A113" s="220">
        <f t="shared" si="26"/>
        <v>112</v>
      </c>
      <c r="B113" s="221" t="s">
        <v>405</v>
      </c>
      <c r="C113" s="221" t="s">
        <v>837</v>
      </c>
      <c r="D113" s="221" t="s">
        <v>365</v>
      </c>
      <c r="E113" s="221" t="s">
        <v>607</v>
      </c>
      <c r="F113" s="221" t="s">
        <v>608</v>
      </c>
      <c r="G113" s="222" t="s">
        <v>867</v>
      </c>
      <c r="H113" s="221" t="s">
        <v>397</v>
      </c>
      <c r="I113" s="221" t="s">
        <v>868</v>
      </c>
      <c r="J113" s="221" t="s">
        <v>869</v>
      </c>
      <c r="K113" s="221" t="s">
        <v>870</v>
      </c>
      <c r="L113" s="221">
        <v>-74.781241118293394</v>
      </c>
      <c r="M113" s="221">
        <v>10.979237990895101</v>
      </c>
      <c r="N113" s="223" t="s">
        <v>228</v>
      </c>
      <c r="O113" s="230" t="s">
        <v>229</v>
      </c>
      <c r="P113" s="224">
        <v>409269353.92959547</v>
      </c>
      <c r="Q113" s="225">
        <v>1</v>
      </c>
      <c r="R113" s="225">
        <v>0.98</v>
      </c>
      <c r="S113" s="225">
        <f t="shared" si="25"/>
        <v>-2.0000000000000018E-2</v>
      </c>
      <c r="T113" s="225" t="str" cm="1">
        <f t="array" ref="T113">+_xlfn.IFS($P113&lt;=10000000000,IF(S113&gt;-0.05,"Verde",IF(S113&lt;=-0.1,"Rojo","Amarillo")),$P113&gt;10000000000,IF(S113&gt;-0.03,"Verde",IF(S113&lt;=-0.07,"Rojo","Amarillo")))</f>
        <v>Verde</v>
      </c>
      <c r="U113" s="226">
        <v>45492</v>
      </c>
      <c r="V113" s="226">
        <v>45509</v>
      </c>
      <c r="W113" s="226">
        <v>45544</v>
      </c>
      <c r="X113" s="226">
        <v>45657</v>
      </c>
      <c r="Y113" s="272">
        <v>45838</v>
      </c>
      <c r="Z113" s="225" t="str">
        <f ca="1">+IF(AND(O113="En_Ejecución",OR(T113="Rojo",T113="Amarillo")),IF(($Y113-(TODAY())&lt;15),"Rojo",IF(($Y113-TODAY())&gt;=45,"Verde","Amarillo")),O113)</f>
        <v>En_Ejecución</v>
      </c>
      <c r="AA113" s="225" t="str">
        <f t="shared" ca="1" si="27"/>
        <v>-</v>
      </c>
      <c r="AB113" s="273" t="s">
        <v>128</v>
      </c>
      <c r="AC113" s="272"/>
      <c r="AD113" s="227">
        <v>45838</v>
      </c>
      <c r="AE113" s="221" t="s">
        <v>842</v>
      </c>
      <c r="AF113" s="223" t="s">
        <v>843</v>
      </c>
      <c r="AG113" s="223" t="s">
        <v>844</v>
      </c>
      <c r="AH113" s="223" t="s">
        <v>845</v>
      </c>
      <c r="AI113" s="221" t="s">
        <v>837</v>
      </c>
      <c r="AJ113" s="223" t="s">
        <v>336</v>
      </c>
      <c r="AK113" s="223"/>
      <c r="AL113" s="230" t="s">
        <v>846</v>
      </c>
      <c r="AM113" s="231">
        <v>9832149209</v>
      </c>
      <c r="AN113" s="231">
        <v>2505106791</v>
      </c>
      <c r="AO113" s="231">
        <f t="shared" si="28"/>
        <v>12337256000</v>
      </c>
      <c r="AP113" s="231">
        <v>5008387266</v>
      </c>
      <c r="AQ113" s="231">
        <v>0</v>
      </c>
      <c r="AR113" s="231">
        <v>1505000000</v>
      </c>
      <c r="AS113" s="231">
        <v>1003333333</v>
      </c>
      <c r="AT113" s="231">
        <f t="shared" si="29"/>
        <v>2508333333</v>
      </c>
      <c r="AU113" s="231">
        <v>157233711.34</v>
      </c>
      <c r="AV113" s="231">
        <v>0</v>
      </c>
      <c r="AW113" s="232"/>
      <c r="AX113" s="232" t="s">
        <v>847</v>
      </c>
      <c r="AY113" s="232" t="s">
        <v>848</v>
      </c>
      <c r="AZ113" s="232" t="s">
        <v>849</v>
      </c>
      <c r="BA113" s="221" t="s">
        <v>871</v>
      </c>
      <c r="BB113" s="221"/>
      <c r="BC113" s="233" t="s">
        <v>128</v>
      </c>
      <c r="BF113" s="51"/>
    </row>
    <row r="114" spans="1:58" ht="13.5" customHeight="1">
      <c r="A114" s="220">
        <f t="shared" si="26"/>
        <v>113</v>
      </c>
      <c r="B114" s="221" t="s">
        <v>405</v>
      </c>
      <c r="C114" s="221" t="s">
        <v>837</v>
      </c>
      <c r="D114" s="221" t="s">
        <v>365</v>
      </c>
      <c r="E114" s="221" t="s">
        <v>607</v>
      </c>
      <c r="F114" s="221" t="s">
        <v>608</v>
      </c>
      <c r="G114" s="222" t="s">
        <v>872</v>
      </c>
      <c r="H114" s="221" t="s">
        <v>154</v>
      </c>
      <c r="I114" s="221" t="s">
        <v>726</v>
      </c>
      <c r="J114" s="221" t="s">
        <v>873</v>
      </c>
      <c r="K114" s="221" t="s">
        <v>874</v>
      </c>
      <c r="L114" s="221">
        <v>-74.809208552825694</v>
      </c>
      <c r="M114" s="221">
        <v>10.979275547537799</v>
      </c>
      <c r="N114" s="223" t="s">
        <v>228</v>
      </c>
      <c r="O114" s="230" t="s">
        <v>229</v>
      </c>
      <c r="P114" s="224">
        <v>532037541.09584671</v>
      </c>
      <c r="Q114" s="225">
        <v>1</v>
      </c>
      <c r="R114" s="225">
        <v>1</v>
      </c>
      <c r="S114" s="225">
        <f t="shared" si="25"/>
        <v>0</v>
      </c>
      <c r="T114" s="225" t="str" cm="1">
        <f t="array" ref="T114">+_xlfn.IFS($P114&lt;=10000000000,IF(S114&gt;-0.05,"Verde",IF(S114&lt;=-0.1,"Rojo","Amarillo")),$P114&gt;10000000000,IF(S114&gt;-0.03,"Verde",IF(S114&lt;=-0.07,"Rojo","Amarillo")))</f>
        <v>Verde</v>
      </c>
      <c r="U114" s="226">
        <v>45492</v>
      </c>
      <c r="V114" s="226">
        <v>45509</v>
      </c>
      <c r="W114" s="226">
        <v>45544</v>
      </c>
      <c r="X114" s="226">
        <v>45657</v>
      </c>
      <c r="Y114" s="272">
        <v>45741</v>
      </c>
      <c r="Z114" s="225" t="str">
        <f t="shared" ca="1" si="23"/>
        <v>En_Ejecución</v>
      </c>
      <c r="AA114" s="225" t="str">
        <f t="shared" ca="1" si="27"/>
        <v>-</v>
      </c>
      <c r="AB114" s="273" t="s">
        <v>128</v>
      </c>
      <c r="AC114" s="272"/>
      <c r="AD114" s="227">
        <v>45695</v>
      </c>
      <c r="AE114" s="221" t="s">
        <v>842</v>
      </c>
      <c r="AF114" s="223" t="s">
        <v>843</v>
      </c>
      <c r="AG114" s="223" t="s">
        <v>844</v>
      </c>
      <c r="AH114" s="223" t="s">
        <v>845</v>
      </c>
      <c r="AI114" s="221" t="s">
        <v>837</v>
      </c>
      <c r="AJ114" s="223" t="s">
        <v>336</v>
      </c>
      <c r="AK114" s="223"/>
      <c r="AL114" s="230" t="s">
        <v>846</v>
      </c>
      <c r="AM114" s="231">
        <v>9832149209</v>
      </c>
      <c r="AN114" s="231">
        <v>2505106791</v>
      </c>
      <c r="AO114" s="231">
        <f t="shared" si="28"/>
        <v>12337256000</v>
      </c>
      <c r="AP114" s="231">
        <v>5008387266</v>
      </c>
      <c r="AQ114" s="231">
        <v>0</v>
      </c>
      <c r="AR114" s="231">
        <v>1505000000</v>
      </c>
      <c r="AS114" s="231">
        <v>1003333333</v>
      </c>
      <c r="AT114" s="231">
        <f t="shared" si="29"/>
        <v>2508333333</v>
      </c>
      <c r="AU114" s="231">
        <v>157233711.34</v>
      </c>
      <c r="AV114" s="231">
        <v>0</v>
      </c>
      <c r="AW114" s="232"/>
      <c r="AX114" s="232" t="s">
        <v>847</v>
      </c>
      <c r="AY114" s="232" t="s">
        <v>848</v>
      </c>
      <c r="AZ114" s="232" t="s">
        <v>849</v>
      </c>
      <c r="BA114" s="221" t="s">
        <v>850</v>
      </c>
      <c r="BB114" s="221"/>
      <c r="BC114" s="233" t="s">
        <v>128</v>
      </c>
      <c r="BF114" s="51"/>
    </row>
    <row r="115" spans="1:58" ht="13.5" customHeight="1">
      <c r="A115" s="220">
        <f t="shared" si="26"/>
        <v>114</v>
      </c>
      <c r="B115" s="221" t="s">
        <v>405</v>
      </c>
      <c r="C115" s="221" t="s">
        <v>837</v>
      </c>
      <c r="D115" s="221" t="s">
        <v>365</v>
      </c>
      <c r="E115" s="221" t="s">
        <v>607</v>
      </c>
      <c r="F115" s="221" t="s">
        <v>608</v>
      </c>
      <c r="G115" s="222" t="s">
        <v>875</v>
      </c>
      <c r="H115" s="221" t="s">
        <v>154</v>
      </c>
      <c r="I115" s="221" t="s">
        <v>726</v>
      </c>
      <c r="J115" s="221" t="s">
        <v>876</v>
      </c>
      <c r="K115" s="221" t="s">
        <v>877</v>
      </c>
      <c r="L115" s="221">
        <v>74.808265483510795</v>
      </c>
      <c r="M115" s="221">
        <v>10.977752375666601</v>
      </c>
      <c r="N115" s="223" t="s">
        <v>228</v>
      </c>
      <c r="O115" s="230" t="s">
        <v>229</v>
      </c>
      <c r="P115" s="224">
        <v>529737053.70538223</v>
      </c>
      <c r="Q115" s="225">
        <v>1</v>
      </c>
      <c r="R115" s="225">
        <v>1</v>
      </c>
      <c r="S115" s="225">
        <f t="shared" si="25"/>
        <v>0</v>
      </c>
      <c r="T115" s="225" t="str" cm="1">
        <f t="array" ref="T115">+_xlfn.IFS($P115&lt;=10000000000,IF(S115&gt;-0.05,"Verde",IF(S115&lt;=-0.1,"Rojo","Amarillo")),$P115&gt;10000000000,IF(S115&gt;-0.03,"Verde",IF(S115&lt;=-0.07,"Rojo","Amarillo")))</f>
        <v>Verde</v>
      </c>
      <c r="U115" s="226">
        <v>45492</v>
      </c>
      <c r="V115" s="226">
        <v>45509</v>
      </c>
      <c r="W115" s="226">
        <v>45544</v>
      </c>
      <c r="X115" s="226">
        <v>45657</v>
      </c>
      <c r="Y115" s="272">
        <v>45762</v>
      </c>
      <c r="Z115" s="225" t="str">
        <f t="shared" ca="1" si="23"/>
        <v>En_Ejecución</v>
      </c>
      <c r="AA115" s="225" t="str">
        <f t="shared" ca="1" si="27"/>
        <v>-</v>
      </c>
      <c r="AB115" s="273" t="s">
        <v>128</v>
      </c>
      <c r="AC115" s="272"/>
      <c r="AD115" s="227">
        <v>45749</v>
      </c>
      <c r="AE115" s="221" t="s">
        <v>842</v>
      </c>
      <c r="AF115" s="223" t="s">
        <v>843</v>
      </c>
      <c r="AG115" s="223" t="s">
        <v>844</v>
      </c>
      <c r="AH115" s="223" t="s">
        <v>845</v>
      </c>
      <c r="AI115" s="221" t="s">
        <v>837</v>
      </c>
      <c r="AJ115" s="223" t="s">
        <v>336</v>
      </c>
      <c r="AK115" s="223"/>
      <c r="AL115" s="230" t="s">
        <v>846</v>
      </c>
      <c r="AM115" s="231">
        <v>9832149209</v>
      </c>
      <c r="AN115" s="231">
        <v>2505106791</v>
      </c>
      <c r="AO115" s="231">
        <f t="shared" si="28"/>
        <v>12337256000</v>
      </c>
      <c r="AP115" s="231">
        <v>5008387266</v>
      </c>
      <c r="AQ115" s="231">
        <v>0</v>
      </c>
      <c r="AR115" s="231">
        <v>1505000000</v>
      </c>
      <c r="AS115" s="231">
        <v>1003333333</v>
      </c>
      <c r="AT115" s="231">
        <f t="shared" si="29"/>
        <v>2508333333</v>
      </c>
      <c r="AU115" s="231">
        <v>157233711.34</v>
      </c>
      <c r="AV115" s="231">
        <v>0</v>
      </c>
      <c r="AW115" s="232"/>
      <c r="AX115" s="232" t="s">
        <v>847</v>
      </c>
      <c r="AY115" s="232" t="s">
        <v>848</v>
      </c>
      <c r="AZ115" s="232" t="s">
        <v>849</v>
      </c>
      <c r="BA115" s="221" t="s">
        <v>850</v>
      </c>
      <c r="BB115" s="221"/>
      <c r="BC115" s="233" t="s">
        <v>128</v>
      </c>
      <c r="BF115" s="51"/>
    </row>
    <row r="116" spans="1:58" ht="13.5" customHeight="1">
      <c r="A116" s="220">
        <f t="shared" si="26"/>
        <v>115</v>
      </c>
      <c r="B116" s="221" t="s">
        <v>405</v>
      </c>
      <c r="C116" s="221" t="s">
        <v>837</v>
      </c>
      <c r="D116" s="221" t="s">
        <v>365</v>
      </c>
      <c r="E116" s="221" t="s">
        <v>607</v>
      </c>
      <c r="F116" s="221" t="s">
        <v>608</v>
      </c>
      <c r="G116" s="222" t="s">
        <v>878</v>
      </c>
      <c r="H116" s="221" t="s">
        <v>411</v>
      </c>
      <c r="I116" s="221" t="s">
        <v>412</v>
      </c>
      <c r="J116" s="221" t="s">
        <v>879</v>
      </c>
      <c r="K116" s="221"/>
      <c r="L116" s="221"/>
      <c r="M116" s="221"/>
      <c r="N116" s="223" t="s">
        <v>228</v>
      </c>
      <c r="O116" s="230" t="s">
        <v>229</v>
      </c>
      <c r="P116" s="224">
        <v>1989808771.24</v>
      </c>
      <c r="Q116" s="225">
        <v>1</v>
      </c>
      <c r="R116" s="225">
        <v>0.70499999999999996</v>
      </c>
      <c r="S116" s="225">
        <f t="shared" si="25"/>
        <v>-0.29500000000000004</v>
      </c>
      <c r="T116" s="225" t="str" cm="1">
        <f t="array" ref="T116">+_xlfn.IFS($P116&lt;=10000000000,IF(S116&gt;-0.05,"Verde",IF(S116&lt;=-0.1,"Rojo","Amarillo")),$P116&gt;10000000000,IF(S116&gt;-0.03,"Verde",IF(S116&lt;=-0.07,"Rojo","Amarillo")))</f>
        <v>Rojo</v>
      </c>
      <c r="U116" s="226">
        <v>45492</v>
      </c>
      <c r="V116" s="226">
        <v>45509</v>
      </c>
      <c r="W116" s="226">
        <v>45544</v>
      </c>
      <c r="X116" s="226">
        <v>45657</v>
      </c>
      <c r="Y116" s="272">
        <v>45899</v>
      </c>
      <c r="Z116" s="225" t="str">
        <f t="shared" ca="1" si="23"/>
        <v>Rojo</v>
      </c>
      <c r="AA116" s="225" t="str">
        <f t="shared" ref="AA116:AA136" ca="1" si="30">+IF(AND(Z116="Amarillo",T116="Rojo"),"En_Seguimiento",IF(AND(Z116="Rojo",T116="Amarillo"),"En_Seguimiento",IF(AND(Z116="Rojo",T116="Rojo"),"En_Seguimiento",IF(AND(Z116="Suspendido",T116="Amarillo"),"En_Seguimiento",IF(AND(Z116="Suspendido",T116="Rojo"),"En_Seguimiento","-")))))</f>
        <v>En_Seguimiento</v>
      </c>
      <c r="AB116" s="273" t="s">
        <v>128</v>
      </c>
      <c r="AC116" s="272"/>
      <c r="AD116" s="227">
        <v>45899</v>
      </c>
      <c r="AE116" s="221" t="s">
        <v>842</v>
      </c>
      <c r="AF116" s="223" t="s">
        <v>843</v>
      </c>
      <c r="AG116" s="223" t="s">
        <v>844</v>
      </c>
      <c r="AH116" s="223" t="s">
        <v>845</v>
      </c>
      <c r="AI116" s="221" t="s">
        <v>837</v>
      </c>
      <c r="AJ116" s="223" t="s">
        <v>336</v>
      </c>
      <c r="AK116" s="223"/>
      <c r="AL116" s="230" t="s">
        <v>846</v>
      </c>
      <c r="AM116" s="231">
        <v>9832149209</v>
      </c>
      <c r="AN116" s="231">
        <v>2505106791</v>
      </c>
      <c r="AO116" s="231">
        <f t="shared" ref="AO116:AO173" si="31">AM116+AN116</f>
        <v>12337256000</v>
      </c>
      <c r="AP116" s="231">
        <v>5008387266</v>
      </c>
      <c r="AQ116" s="231"/>
      <c r="AR116" s="231">
        <v>1505000000</v>
      </c>
      <c r="AS116" s="231">
        <v>1003333333</v>
      </c>
      <c r="AT116" s="231">
        <f t="shared" si="22"/>
        <v>2508333333</v>
      </c>
      <c r="AU116" s="231">
        <v>157233711.34</v>
      </c>
      <c r="AV116" s="231"/>
      <c r="AW116" s="232"/>
      <c r="AX116" s="232" t="s">
        <v>847</v>
      </c>
      <c r="AY116" s="232" t="s">
        <v>848</v>
      </c>
      <c r="AZ116" s="232" t="s">
        <v>849</v>
      </c>
      <c r="BA116" s="221" t="s">
        <v>880</v>
      </c>
      <c r="BB116" s="221"/>
      <c r="BC116" s="233"/>
      <c r="BF116" s="51"/>
    </row>
    <row r="117" spans="1:58" ht="13.5" customHeight="1">
      <c r="A117" s="220">
        <f t="shared" si="24"/>
        <v>116</v>
      </c>
      <c r="B117" s="221" t="s">
        <v>405</v>
      </c>
      <c r="C117" s="221" t="s">
        <v>837</v>
      </c>
      <c r="D117" s="221" t="s">
        <v>365</v>
      </c>
      <c r="E117" s="221" t="s">
        <v>607</v>
      </c>
      <c r="F117" s="221" t="s">
        <v>608</v>
      </c>
      <c r="G117" s="222" t="s">
        <v>881</v>
      </c>
      <c r="H117" s="221" t="s">
        <v>582</v>
      </c>
      <c r="I117" s="221" t="s">
        <v>882</v>
      </c>
      <c r="J117" s="221" t="s">
        <v>883</v>
      </c>
      <c r="K117" s="221"/>
      <c r="L117" s="221"/>
      <c r="M117" s="221"/>
      <c r="N117" s="223" t="s">
        <v>228</v>
      </c>
      <c r="O117" s="230" t="s">
        <v>229</v>
      </c>
      <c r="P117" s="224">
        <v>60194811</v>
      </c>
      <c r="Q117" s="225">
        <v>1</v>
      </c>
      <c r="R117" s="225">
        <v>1</v>
      </c>
      <c r="S117" s="225">
        <f t="shared" si="25"/>
        <v>0</v>
      </c>
      <c r="T117" s="225" t="str" cm="1">
        <f t="array" ref="T117">+_xlfn.IFS($P117&lt;=10000000000,IF(S117&gt;-0.05,"Verde",IF(S117&lt;=-0.1,"Rojo","Amarillo")),$P117&gt;10000000000,IF(S117&gt;-0.03,"Verde",IF(S117&lt;=-0.07,"Rojo","Amarillo")))</f>
        <v>Verde</v>
      </c>
      <c r="U117" s="226">
        <v>45492</v>
      </c>
      <c r="V117" s="226">
        <v>45509</v>
      </c>
      <c r="W117" s="226">
        <v>45544</v>
      </c>
      <c r="X117" s="226">
        <v>45657</v>
      </c>
      <c r="Y117" s="272">
        <v>45705</v>
      </c>
      <c r="Z117" s="225" t="str">
        <f t="shared" ca="1" si="23"/>
        <v>En_Ejecución</v>
      </c>
      <c r="AA117" s="225" t="str">
        <f t="shared" ca="1" si="30"/>
        <v>-</v>
      </c>
      <c r="AB117" s="273" t="s">
        <v>128</v>
      </c>
      <c r="AC117" s="272"/>
      <c r="AD117" s="227">
        <v>45705</v>
      </c>
      <c r="AE117" s="221" t="s">
        <v>842</v>
      </c>
      <c r="AF117" s="223" t="s">
        <v>843</v>
      </c>
      <c r="AG117" s="223" t="s">
        <v>844</v>
      </c>
      <c r="AH117" s="223" t="s">
        <v>845</v>
      </c>
      <c r="AI117" s="221" t="s">
        <v>837</v>
      </c>
      <c r="AJ117" s="223" t="s">
        <v>336</v>
      </c>
      <c r="AK117" s="223"/>
      <c r="AL117" s="230" t="s">
        <v>846</v>
      </c>
      <c r="AM117" s="231">
        <v>9832149209</v>
      </c>
      <c r="AN117" s="231">
        <v>2505106791</v>
      </c>
      <c r="AO117" s="231">
        <f t="shared" si="31"/>
        <v>12337256000</v>
      </c>
      <c r="AP117" s="231">
        <v>5008387266</v>
      </c>
      <c r="AQ117" s="231"/>
      <c r="AR117" s="231">
        <v>1505000000</v>
      </c>
      <c r="AS117" s="231">
        <v>1003333333</v>
      </c>
      <c r="AT117" s="231">
        <f t="shared" si="22"/>
        <v>2508333333</v>
      </c>
      <c r="AU117" s="231">
        <v>157233711.34</v>
      </c>
      <c r="AV117" s="231"/>
      <c r="AW117" s="232"/>
      <c r="AX117" s="232" t="s">
        <v>847</v>
      </c>
      <c r="AY117" s="232" t="s">
        <v>848</v>
      </c>
      <c r="AZ117" s="232" t="s">
        <v>849</v>
      </c>
      <c r="BA117" s="221" t="s">
        <v>850</v>
      </c>
      <c r="BB117" s="221"/>
      <c r="BC117" s="233"/>
      <c r="BF117" s="51"/>
    </row>
    <row r="118" spans="1:58" ht="13.5" customHeight="1">
      <c r="A118" s="220">
        <f t="shared" si="24"/>
        <v>117</v>
      </c>
      <c r="B118" s="221" t="s">
        <v>405</v>
      </c>
      <c r="C118" s="221" t="s">
        <v>837</v>
      </c>
      <c r="D118" s="221" t="s">
        <v>365</v>
      </c>
      <c r="E118" s="221" t="s">
        <v>607</v>
      </c>
      <c r="F118" s="221" t="s">
        <v>608</v>
      </c>
      <c r="G118" s="222" t="s">
        <v>884</v>
      </c>
      <c r="H118" s="221" t="s">
        <v>154</v>
      </c>
      <c r="I118" s="221" t="s">
        <v>885</v>
      </c>
      <c r="J118" s="221" t="s">
        <v>886</v>
      </c>
      <c r="K118" s="221"/>
      <c r="L118" s="221"/>
      <c r="M118" s="221"/>
      <c r="N118" s="223" t="s">
        <v>228</v>
      </c>
      <c r="O118" s="230" t="s">
        <v>229</v>
      </c>
      <c r="P118" s="224">
        <v>588499455.36000001</v>
      </c>
      <c r="Q118" s="225">
        <v>1</v>
      </c>
      <c r="R118" s="225">
        <v>0.98</v>
      </c>
      <c r="S118" s="225">
        <f t="shared" si="25"/>
        <v>-2.0000000000000018E-2</v>
      </c>
      <c r="T118" s="225" t="str" cm="1">
        <f t="array" ref="T118">+_xlfn.IFS($P118&lt;=10000000000,IF(S118&gt;-0.05,"Verde",IF(S118&lt;=-0.1,"Rojo","Amarillo")),$P118&gt;10000000000,IF(S118&gt;-0.03,"Verde",IF(S118&lt;=-0.07,"Rojo","Amarillo")))</f>
        <v>Verde</v>
      </c>
      <c r="U118" s="226">
        <v>45492</v>
      </c>
      <c r="V118" s="226">
        <v>45509</v>
      </c>
      <c r="W118" s="226">
        <v>45544</v>
      </c>
      <c r="X118" s="226">
        <v>45657</v>
      </c>
      <c r="Y118" s="272">
        <v>45838</v>
      </c>
      <c r="Z118" s="225" t="str">
        <f t="shared" ca="1" si="23"/>
        <v>En_Ejecución</v>
      </c>
      <c r="AA118" s="225" t="str">
        <f t="shared" ca="1" si="30"/>
        <v>-</v>
      </c>
      <c r="AB118" s="273" t="s">
        <v>128</v>
      </c>
      <c r="AC118" s="272"/>
      <c r="AD118" s="227">
        <v>45838</v>
      </c>
      <c r="AE118" s="221" t="s">
        <v>842</v>
      </c>
      <c r="AF118" s="223" t="s">
        <v>843</v>
      </c>
      <c r="AG118" s="223" t="s">
        <v>844</v>
      </c>
      <c r="AH118" s="223" t="s">
        <v>845</v>
      </c>
      <c r="AI118" s="221" t="s">
        <v>837</v>
      </c>
      <c r="AJ118" s="223" t="s">
        <v>336</v>
      </c>
      <c r="AK118" s="223"/>
      <c r="AL118" s="230" t="s">
        <v>846</v>
      </c>
      <c r="AM118" s="231">
        <v>9832149209</v>
      </c>
      <c r="AN118" s="231">
        <v>2505106791</v>
      </c>
      <c r="AO118" s="231">
        <f t="shared" si="31"/>
        <v>12337256000</v>
      </c>
      <c r="AP118" s="231">
        <v>5008387266</v>
      </c>
      <c r="AQ118" s="231"/>
      <c r="AR118" s="231">
        <v>1505000000</v>
      </c>
      <c r="AS118" s="231">
        <v>1003333333</v>
      </c>
      <c r="AT118" s="231">
        <f t="shared" si="22"/>
        <v>2508333333</v>
      </c>
      <c r="AU118" s="231">
        <v>157233711.34</v>
      </c>
      <c r="AV118" s="231"/>
      <c r="AW118" s="232"/>
      <c r="AX118" s="232" t="s">
        <v>847</v>
      </c>
      <c r="AY118" s="232" t="s">
        <v>848</v>
      </c>
      <c r="AZ118" s="232" t="s">
        <v>849</v>
      </c>
      <c r="BA118" s="221" t="s">
        <v>669</v>
      </c>
      <c r="BB118" s="221"/>
      <c r="BC118" s="233"/>
      <c r="BF118" s="51"/>
    </row>
    <row r="119" spans="1:58" ht="13.5" customHeight="1">
      <c r="A119" s="220">
        <f t="shared" si="24"/>
        <v>118</v>
      </c>
      <c r="B119" s="221" t="s">
        <v>405</v>
      </c>
      <c r="C119" s="221" t="s">
        <v>837</v>
      </c>
      <c r="D119" s="221" t="s">
        <v>365</v>
      </c>
      <c r="E119" s="221" t="s">
        <v>607</v>
      </c>
      <c r="F119" s="221" t="s">
        <v>608</v>
      </c>
      <c r="G119" s="222" t="s">
        <v>887</v>
      </c>
      <c r="H119" s="221" t="s">
        <v>154</v>
      </c>
      <c r="I119" s="221" t="s">
        <v>888</v>
      </c>
      <c r="J119" s="221" t="s">
        <v>889</v>
      </c>
      <c r="K119" s="221"/>
      <c r="L119" s="221"/>
      <c r="M119" s="221"/>
      <c r="N119" s="223" t="s">
        <v>228</v>
      </c>
      <c r="O119" s="230" t="s">
        <v>229</v>
      </c>
      <c r="P119" s="224">
        <v>1305158966.0999999</v>
      </c>
      <c r="Q119" s="225">
        <v>1</v>
      </c>
      <c r="R119" s="225">
        <v>0.74099999999999999</v>
      </c>
      <c r="S119" s="225">
        <f t="shared" si="25"/>
        <v>-0.25900000000000001</v>
      </c>
      <c r="T119" s="225" t="str" cm="1">
        <f t="array" ref="T119">+_xlfn.IFS($P119&lt;=10000000000,IF(S119&gt;-0.05,"Verde",IF(S119&lt;=-0.1,"Rojo","Amarillo")),$P119&gt;10000000000,IF(S119&gt;-0.03,"Verde",IF(S119&lt;=-0.07,"Rojo","Amarillo")))</f>
        <v>Rojo</v>
      </c>
      <c r="U119" s="226">
        <v>45492</v>
      </c>
      <c r="V119" s="226">
        <v>45509</v>
      </c>
      <c r="W119" s="226">
        <v>45544</v>
      </c>
      <c r="X119" s="226">
        <v>45657</v>
      </c>
      <c r="Y119" s="272">
        <v>45930</v>
      </c>
      <c r="Z119" s="225" t="str">
        <f t="shared" ca="1" si="23"/>
        <v>Rojo</v>
      </c>
      <c r="AA119" s="225" t="str">
        <f t="shared" ca="1" si="30"/>
        <v>En_Seguimiento</v>
      </c>
      <c r="AB119" s="273" t="s">
        <v>128</v>
      </c>
      <c r="AC119" s="272"/>
      <c r="AD119" s="227">
        <v>45930</v>
      </c>
      <c r="AE119" s="221" t="s">
        <v>842</v>
      </c>
      <c r="AF119" s="223" t="s">
        <v>843</v>
      </c>
      <c r="AG119" s="223" t="s">
        <v>844</v>
      </c>
      <c r="AH119" s="223" t="s">
        <v>845</v>
      </c>
      <c r="AI119" s="221" t="s">
        <v>837</v>
      </c>
      <c r="AJ119" s="223" t="s">
        <v>336</v>
      </c>
      <c r="AK119" s="223"/>
      <c r="AL119" s="230" t="s">
        <v>846</v>
      </c>
      <c r="AM119" s="231">
        <v>9832149209</v>
      </c>
      <c r="AN119" s="231">
        <v>2505106791</v>
      </c>
      <c r="AO119" s="231">
        <f t="shared" si="31"/>
        <v>12337256000</v>
      </c>
      <c r="AP119" s="231">
        <v>5008387266</v>
      </c>
      <c r="AQ119" s="231"/>
      <c r="AR119" s="231">
        <v>1505000000</v>
      </c>
      <c r="AS119" s="231">
        <v>1003333333</v>
      </c>
      <c r="AT119" s="231">
        <f t="shared" si="22"/>
        <v>2508333333</v>
      </c>
      <c r="AU119" s="231">
        <v>157233711.34</v>
      </c>
      <c r="AV119" s="231"/>
      <c r="AW119" s="232"/>
      <c r="AX119" s="232" t="s">
        <v>847</v>
      </c>
      <c r="AY119" s="232" t="s">
        <v>848</v>
      </c>
      <c r="AZ119" s="232" t="s">
        <v>849</v>
      </c>
      <c r="BA119" s="221" t="s">
        <v>890</v>
      </c>
      <c r="BB119" s="221"/>
      <c r="BC119" s="233"/>
      <c r="BF119" s="51"/>
    </row>
    <row r="120" spans="1:58" ht="13.5" customHeight="1">
      <c r="A120" s="220">
        <f t="shared" si="24"/>
        <v>119</v>
      </c>
      <c r="B120" s="221" t="s">
        <v>405</v>
      </c>
      <c r="C120" s="221" t="s">
        <v>837</v>
      </c>
      <c r="D120" s="221" t="s">
        <v>365</v>
      </c>
      <c r="E120" s="221" t="s">
        <v>607</v>
      </c>
      <c r="F120" s="221" t="s">
        <v>608</v>
      </c>
      <c r="G120" s="222" t="s">
        <v>891</v>
      </c>
      <c r="H120" s="221" t="s">
        <v>582</v>
      </c>
      <c r="I120" s="221" t="s">
        <v>892</v>
      </c>
      <c r="J120" s="221" t="s">
        <v>893</v>
      </c>
      <c r="K120" s="221"/>
      <c r="L120" s="221"/>
      <c r="M120" s="221"/>
      <c r="N120" s="223" t="s">
        <v>228</v>
      </c>
      <c r="O120" s="230" t="s">
        <v>229</v>
      </c>
      <c r="P120" s="224">
        <v>694434800.85000002</v>
      </c>
      <c r="Q120" s="225">
        <v>1</v>
      </c>
      <c r="R120" s="225">
        <v>1</v>
      </c>
      <c r="S120" s="225">
        <f t="shared" si="25"/>
        <v>0</v>
      </c>
      <c r="T120" s="225" t="str" cm="1">
        <f t="array" ref="T120">+_xlfn.IFS($P120&lt;=10000000000,IF(S120&gt;-0.05,"Verde",IF(S120&lt;=-0.1,"Rojo","Amarillo")),$P120&gt;10000000000,IF(S120&gt;-0.03,"Verde",IF(S120&lt;=-0.07,"Rojo","Amarillo")))</f>
        <v>Verde</v>
      </c>
      <c r="U120" s="226">
        <v>45492</v>
      </c>
      <c r="V120" s="226">
        <v>45509</v>
      </c>
      <c r="W120" s="226">
        <v>45544</v>
      </c>
      <c r="X120" s="226">
        <v>45657</v>
      </c>
      <c r="Y120" s="272">
        <v>45838</v>
      </c>
      <c r="Z120" s="225" t="str">
        <f t="shared" ca="1" si="23"/>
        <v>En_Ejecución</v>
      </c>
      <c r="AA120" s="225" t="str">
        <f t="shared" ca="1" si="30"/>
        <v>-</v>
      </c>
      <c r="AB120" s="273" t="s">
        <v>128</v>
      </c>
      <c r="AC120" s="272"/>
      <c r="AD120" s="227">
        <v>45838</v>
      </c>
      <c r="AE120" s="221" t="s">
        <v>842</v>
      </c>
      <c r="AF120" s="223" t="s">
        <v>843</v>
      </c>
      <c r="AG120" s="223" t="s">
        <v>844</v>
      </c>
      <c r="AH120" s="223" t="s">
        <v>845</v>
      </c>
      <c r="AI120" s="221" t="s">
        <v>837</v>
      </c>
      <c r="AJ120" s="223" t="s">
        <v>336</v>
      </c>
      <c r="AK120" s="223"/>
      <c r="AL120" s="230" t="s">
        <v>846</v>
      </c>
      <c r="AM120" s="231">
        <v>9832149209</v>
      </c>
      <c r="AN120" s="231">
        <v>2505106791</v>
      </c>
      <c r="AO120" s="231">
        <f t="shared" si="31"/>
        <v>12337256000</v>
      </c>
      <c r="AP120" s="231">
        <v>5008387266</v>
      </c>
      <c r="AQ120" s="231"/>
      <c r="AR120" s="231">
        <v>1505000000</v>
      </c>
      <c r="AS120" s="231">
        <v>1003333333</v>
      </c>
      <c r="AT120" s="231">
        <f t="shared" si="22"/>
        <v>2508333333</v>
      </c>
      <c r="AU120" s="231">
        <v>157233711.34</v>
      </c>
      <c r="AV120" s="231"/>
      <c r="AW120" s="232"/>
      <c r="AX120" s="232" t="s">
        <v>847</v>
      </c>
      <c r="AY120" s="232" t="s">
        <v>848</v>
      </c>
      <c r="AZ120" s="232" t="s">
        <v>849</v>
      </c>
      <c r="BA120" s="221" t="s">
        <v>894</v>
      </c>
      <c r="BB120" s="221"/>
      <c r="BC120" s="233"/>
      <c r="BF120" s="51"/>
    </row>
    <row r="121" spans="1:58" ht="13.5" customHeight="1">
      <c r="A121" s="220">
        <f t="shared" si="24"/>
        <v>120</v>
      </c>
      <c r="B121" s="221" t="s">
        <v>405</v>
      </c>
      <c r="C121" s="221" t="s">
        <v>837</v>
      </c>
      <c r="D121" s="221" t="s">
        <v>365</v>
      </c>
      <c r="E121" s="221" t="s">
        <v>607</v>
      </c>
      <c r="F121" s="221" t="s">
        <v>608</v>
      </c>
      <c r="G121" s="222" t="s">
        <v>895</v>
      </c>
      <c r="H121" s="221" t="s">
        <v>411</v>
      </c>
      <c r="I121" s="221" t="s">
        <v>896</v>
      </c>
      <c r="J121" s="221" t="s">
        <v>897</v>
      </c>
      <c r="K121" s="221"/>
      <c r="L121" s="221"/>
      <c r="M121" s="221"/>
      <c r="N121" s="223" t="s">
        <v>228</v>
      </c>
      <c r="O121" s="230" t="s">
        <v>229</v>
      </c>
      <c r="P121" s="224">
        <v>199092789</v>
      </c>
      <c r="Q121" s="225">
        <v>1</v>
      </c>
      <c r="R121" s="225">
        <v>1</v>
      </c>
      <c r="S121" s="225">
        <f t="shared" si="25"/>
        <v>0</v>
      </c>
      <c r="T121" s="225" t="str" cm="1">
        <f t="array" ref="T121">+_xlfn.IFS($P121&lt;=10000000000,IF(S121&gt;-0.05,"Verde",IF(S121&lt;=-0.1,"Rojo","Amarillo")),$P121&gt;10000000000,IF(S121&gt;-0.03,"Verde",IF(S121&lt;=-0.07,"Rojo","Amarillo")))</f>
        <v>Verde</v>
      </c>
      <c r="U121" s="226">
        <v>45492</v>
      </c>
      <c r="V121" s="226">
        <v>45509</v>
      </c>
      <c r="W121" s="226">
        <v>45544</v>
      </c>
      <c r="X121" s="226">
        <v>45657</v>
      </c>
      <c r="Y121" s="272">
        <v>45838</v>
      </c>
      <c r="Z121" s="225" t="str">
        <f t="shared" ca="1" si="23"/>
        <v>En_Ejecución</v>
      </c>
      <c r="AA121" s="225" t="str">
        <f t="shared" ca="1" si="30"/>
        <v>-</v>
      </c>
      <c r="AB121" s="273" t="s">
        <v>128</v>
      </c>
      <c r="AC121" s="272"/>
      <c r="AD121" s="227">
        <v>45749</v>
      </c>
      <c r="AE121" s="221" t="s">
        <v>842</v>
      </c>
      <c r="AF121" s="223" t="s">
        <v>843</v>
      </c>
      <c r="AG121" s="223" t="s">
        <v>844</v>
      </c>
      <c r="AH121" s="223" t="s">
        <v>845</v>
      </c>
      <c r="AI121" s="221" t="s">
        <v>837</v>
      </c>
      <c r="AJ121" s="223" t="s">
        <v>336</v>
      </c>
      <c r="AK121" s="223"/>
      <c r="AL121" s="230" t="s">
        <v>846</v>
      </c>
      <c r="AM121" s="231">
        <v>9832149209</v>
      </c>
      <c r="AN121" s="231">
        <v>2505106791</v>
      </c>
      <c r="AO121" s="231">
        <f t="shared" si="31"/>
        <v>12337256000</v>
      </c>
      <c r="AP121" s="231">
        <v>5008387266</v>
      </c>
      <c r="AQ121" s="231"/>
      <c r="AR121" s="231">
        <v>1505000000</v>
      </c>
      <c r="AS121" s="231">
        <v>1003333333</v>
      </c>
      <c r="AT121" s="231">
        <f t="shared" si="22"/>
        <v>2508333333</v>
      </c>
      <c r="AU121" s="231">
        <v>157233711.34</v>
      </c>
      <c r="AV121" s="231"/>
      <c r="AW121" s="232"/>
      <c r="AX121" s="232" t="s">
        <v>847</v>
      </c>
      <c r="AY121" s="232" t="s">
        <v>848</v>
      </c>
      <c r="AZ121" s="232" t="s">
        <v>849</v>
      </c>
      <c r="BA121" s="221" t="s">
        <v>898</v>
      </c>
      <c r="BB121" s="221"/>
      <c r="BC121" s="233"/>
      <c r="BF121" s="51"/>
    </row>
    <row r="122" spans="1:58" ht="13.5" customHeight="1">
      <c r="A122" s="220">
        <f t="shared" si="24"/>
        <v>121</v>
      </c>
      <c r="B122" s="221" t="s">
        <v>405</v>
      </c>
      <c r="C122" s="221" t="s">
        <v>837</v>
      </c>
      <c r="D122" s="221" t="s">
        <v>365</v>
      </c>
      <c r="E122" s="221" t="s">
        <v>607</v>
      </c>
      <c r="F122" s="221" t="s">
        <v>608</v>
      </c>
      <c r="G122" s="222" t="s">
        <v>899</v>
      </c>
      <c r="H122" s="221" t="s">
        <v>154</v>
      </c>
      <c r="I122" s="221" t="s">
        <v>900</v>
      </c>
      <c r="J122" s="221" t="s">
        <v>901</v>
      </c>
      <c r="K122" s="221"/>
      <c r="L122" s="221"/>
      <c r="M122" s="221"/>
      <c r="N122" s="223" t="s">
        <v>228</v>
      </c>
      <c r="O122" s="230" t="s">
        <v>229</v>
      </c>
      <c r="P122" s="224">
        <v>534012665.11000001</v>
      </c>
      <c r="Q122" s="225">
        <v>1</v>
      </c>
      <c r="R122" s="225">
        <v>1</v>
      </c>
      <c r="S122" s="225">
        <f t="shared" si="25"/>
        <v>0</v>
      </c>
      <c r="T122" s="225" t="str" cm="1">
        <f t="array" ref="T122">+_xlfn.IFS($P122&lt;=10000000000,IF(S122&gt;-0.05,"Verde",IF(S122&lt;=-0.1,"Rojo","Amarillo")),$P122&gt;10000000000,IF(S122&gt;-0.03,"Verde",IF(S122&lt;=-0.07,"Rojo","Amarillo")))</f>
        <v>Verde</v>
      </c>
      <c r="U122" s="226">
        <v>45492</v>
      </c>
      <c r="V122" s="226">
        <v>45509</v>
      </c>
      <c r="W122" s="226">
        <v>45544</v>
      </c>
      <c r="X122" s="226">
        <v>45657</v>
      </c>
      <c r="Y122" s="272">
        <v>45838</v>
      </c>
      <c r="Z122" s="225" t="str">
        <f t="shared" ca="1" si="23"/>
        <v>En_Ejecución</v>
      </c>
      <c r="AA122" s="225" t="str">
        <f t="shared" ca="1" si="30"/>
        <v>-</v>
      </c>
      <c r="AB122" s="273" t="s">
        <v>128</v>
      </c>
      <c r="AC122" s="272"/>
      <c r="AD122" s="227">
        <v>45838</v>
      </c>
      <c r="AE122" s="221" t="s">
        <v>842</v>
      </c>
      <c r="AF122" s="223" t="s">
        <v>843</v>
      </c>
      <c r="AG122" s="223" t="s">
        <v>844</v>
      </c>
      <c r="AH122" s="223" t="s">
        <v>845</v>
      </c>
      <c r="AI122" s="221" t="s">
        <v>837</v>
      </c>
      <c r="AJ122" s="223" t="s">
        <v>336</v>
      </c>
      <c r="AK122" s="223"/>
      <c r="AL122" s="230" t="s">
        <v>846</v>
      </c>
      <c r="AM122" s="231">
        <v>9832149209</v>
      </c>
      <c r="AN122" s="231">
        <v>2505106791</v>
      </c>
      <c r="AO122" s="231">
        <f t="shared" si="31"/>
        <v>12337256000</v>
      </c>
      <c r="AP122" s="231">
        <v>5008387266</v>
      </c>
      <c r="AQ122" s="231"/>
      <c r="AR122" s="231">
        <v>1505000000</v>
      </c>
      <c r="AS122" s="231">
        <v>1003333333</v>
      </c>
      <c r="AT122" s="231">
        <f t="shared" si="22"/>
        <v>2508333333</v>
      </c>
      <c r="AU122" s="231">
        <v>157233711.34</v>
      </c>
      <c r="AV122" s="231"/>
      <c r="AW122" s="232"/>
      <c r="AX122" s="232" t="s">
        <v>847</v>
      </c>
      <c r="AY122" s="232" t="s">
        <v>848</v>
      </c>
      <c r="AZ122" s="232" t="s">
        <v>849</v>
      </c>
      <c r="BA122" s="221" t="s">
        <v>850</v>
      </c>
      <c r="BB122" s="221"/>
      <c r="BC122" s="233"/>
      <c r="BF122" s="51"/>
    </row>
    <row r="123" spans="1:58" ht="13.5" customHeight="1">
      <c r="A123" s="220">
        <f t="shared" si="24"/>
        <v>122</v>
      </c>
      <c r="B123" s="221" t="s">
        <v>405</v>
      </c>
      <c r="C123" s="221" t="s">
        <v>837</v>
      </c>
      <c r="D123" s="221" t="s">
        <v>365</v>
      </c>
      <c r="E123" s="221" t="s">
        <v>607</v>
      </c>
      <c r="F123" s="221" t="s">
        <v>608</v>
      </c>
      <c r="G123" s="222" t="s">
        <v>902</v>
      </c>
      <c r="H123" s="221" t="s">
        <v>154</v>
      </c>
      <c r="I123" s="221" t="s">
        <v>903</v>
      </c>
      <c r="J123" s="221" t="s">
        <v>904</v>
      </c>
      <c r="K123" s="221"/>
      <c r="L123" s="221"/>
      <c r="M123" s="221"/>
      <c r="N123" s="223" t="s">
        <v>228</v>
      </c>
      <c r="O123" s="230" t="s">
        <v>229</v>
      </c>
      <c r="P123" s="224">
        <v>1362066088.73</v>
      </c>
      <c r="Q123" s="225">
        <v>0.90229999999999999</v>
      </c>
      <c r="R123" s="225">
        <v>0.5</v>
      </c>
      <c r="S123" s="225">
        <f t="shared" si="25"/>
        <v>-0.40229999999999999</v>
      </c>
      <c r="T123" s="225" t="str" cm="1">
        <f t="array" ref="T123">+_xlfn.IFS($P123&lt;=10000000000,IF(S123&gt;-0.05,"Verde",IF(S123&lt;=-0.1,"Rojo","Amarillo")),$P123&gt;10000000000,IF(S123&gt;-0.03,"Verde",IF(S123&lt;=-0.07,"Rojo","Amarillo")))</f>
        <v>Rojo</v>
      </c>
      <c r="U123" s="226">
        <v>45492</v>
      </c>
      <c r="V123" s="226">
        <v>45509</v>
      </c>
      <c r="W123" s="226">
        <v>45544</v>
      </c>
      <c r="X123" s="226">
        <v>45657</v>
      </c>
      <c r="Y123" s="272">
        <v>45961</v>
      </c>
      <c r="Z123" s="225" t="str">
        <f t="shared" ca="1" si="23"/>
        <v>Rojo</v>
      </c>
      <c r="AA123" s="225" t="str">
        <f t="shared" ca="1" si="30"/>
        <v>En_Seguimiento</v>
      </c>
      <c r="AB123" s="273" t="s">
        <v>128</v>
      </c>
      <c r="AC123" s="272"/>
      <c r="AD123" s="227">
        <v>45961</v>
      </c>
      <c r="AE123" s="221" t="s">
        <v>842</v>
      </c>
      <c r="AF123" s="223" t="s">
        <v>843</v>
      </c>
      <c r="AG123" s="223" t="s">
        <v>844</v>
      </c>
      <c r="AH123" s="223" t="s">
        <v>845</v>
      </c>
      <c r="AI123" s="221" t="s">
        <v>837</v>
      </c>
      <c r="AJ123" s="223" t="s">
        <v>336</v>
      </c>
      <c r="AK123" s="223"/>
      <c r="AL123" s="230" t="s">
        <v>846</v>
      </c>
      <c r="AM123" s="231">
        <v>9832149209</v>
      </c>
      <c r="AN123" s="231">
        <v>2505106791</v>
      </c>
      <c r="AO123" s="231">
        <f t="shared" si="31"/>
        <v>12337256000</v>
      </c>
      <c r="AP123" s="231">
        <v>5008387266</v>
      </c>
      <c r="AQ123" s="231"/>
      <c r="AR123" s="231">
        <v>1505000000</v>
      </c>
      <c r="AS123" s="231">
        <v>1003333333</v>
      </c>
      <c r="AT123" s="231">
        <f t="shared" si="22"/>
        <v>2508333333</v>
      </c>
      <c r="AU123" s="231">
        <v>157233711.34</v>
      </c>
      <c r="AV123" s="231"/>
      <c r="AW123" s="232"/>
      <c r="AX123" s="232" t="s">
        <v>847</v>
      </c>
      <c r="AY123" s="232" t="s">
        <v>848</v>
      </c>
      <c r="AZ123" s="232" t="s">
        <v>849</v>
      </c>
      <c r="BA123" s="221" t="s">
        <v>905</v>
      </c>
      <c r="BB123" s="221"/>
      <c r="BC123" s="233"/>
      <c r="BF123" s="51"/>
    </row>
    <row r="124" spans="1:58" ht="13.5" customHeight="1">
      <c r="A124" s="220">
        <f t="shared" si="24"/>
        <v>123</v>
      </c>
      <c r="B124" s="221" t="s">
        <v>405</v>
      </c>
      <c r="C124" s="221" t="s">
        <v>837</v>
      </c>
      <c r="D124" s="221" t="s">
        <v>365</v>
      </c>
      <c r="E124" s="221" t="s">
        <v>607</v>
      </c>
      <c r="F124" s="221" t="s">
        <v>608</v>
      </c>
      <c r="G124" s="222" t="s">
        <v>906</v>
      </c>
      <c r="H124" s="221" t="s">
        <v>163</v>
      </c>
      <c r="I124" s="221" t="s">
        <v>907</v>
      </c>
      <c r="J124" s="221" t="s">
        <v>908</v>
      </c>
      <c r="K124" s="221"/>
      <c r="L124" s="221"/>
      <c r="M124" s="221"/>
      <c r="N124" s="223" t="s">
        <v>228</v>
      </c>
      <c r="O124" s="230" t="s">
        <v>229</v>
      </c>
      <c r="P124" s="224">
        <v>1107960453.45</v>
      </c>
      <c r="Q124" s="225">
        <v>1</v>
      </c>
      <c r="R124" s="225">
        <v>0.77</v>
      </c>
      <c r="S124" s="225">
        <f t="shared" si="25"/>
        <v>-0.22999999999999998</v>
      </c>
      <c r="T124" s="225" t="str" cm="1">
        <f t="array" ref="T124">+_xlfn.IFS($P124&lt;=10000000000,IF(S124&gt;-0.05,"Verde",IF(S124&lt;=-0.1,"Rojo","Amarillo")),$P124&gt;10000000000,IF(S124&gt;-0.03,"Verde",IF(S124&lt;=-0.07,"Rojo","Amarillo")))</f>
        <v>Rojo</v>
      </c>
      <c r="U124" s="226">
        <v>45492</v>
      </c>
      <c r="V124" s="226">
        <v>45509</v>
      </c>
      <c r="W124" s="226">
        <v>45544</v>
      </c>
      <c r="X124" s="226">
        <v>45657</v>
      </c>
      <c r="Y124" s="272">
        <v>45899</v>
      </c>
      <c r="Z124" s="225" t="str">
        <f t="shared" ca="1" si="23"/>
        <v>Rojo</v>
      </c>
      <c r="AA124" s="225" t="str">
        <f t="shared" ca="1" si="30"/>
        <v>En_Seguimiento</v>
      </c>
      <c r="AB124" s="273" t="s">
        <v>128</v>
      </c>
      <c r="AC124" s="272"/>
      <c r="AD124" s="227">
        <v>45899</v>
      </c>
      <c r="AE124" s="221" t="s">
        <v>842</v>
      </c>
      <c r="AF124" s="223" t="s">
        <v>843</v>
      </c>
      <c r="AG124" s="223" t="s">
        <v>844</v>
      </c>
      <c r="AH124" s="223" t="s">
        <v>845</v>
      </c>
      <c r="AI124" s="221" t="s">
        <v>837</v>
      </c>
      <c r="AJ124" s="223" t="s">
        <v>336</v>
      </c>
      <c r="AK124" s="223"/>
      <c r="AL124" s="230" t="s">
        <v>846</v>
      </c>
      <c r="AM124" s="231">
        <v>9832149209</v>
      </c>
      <c r="AN124" s="231">
        <v>2505106791</v>
      </c>
      <c r="AO124" s="231">
        <f t="shared" si="31"/>
        <v>12337256000</v>
      </c>
      <c r="AP124" s="231">
        <v>5008387266</v>
      </c>
      <c r="AQ124" s="231"/>
      <c r="AR124" s="231">
        <v>1505000000</v>
      </c>
      <c r="AS124" s="231">
        <v>1003333333</v>
      </c>
      <c r="AT124" s="231">
        <f t="shared" si="22"/>
        <v>2508333333</v>
      </c>
      <c r="AU124" s="231">
        <v>157233711.34</v>
      </c>
      <c r="AV124" s="231"/>
      <c r="AW124" s="232"/>
      <c r="AX124" s="232" t="s">
        <v>847</v>
      </c>
      <c r="AY124" s="232" t="s">
        <v>848</v>
      </c>
      <c r="AZ124" s="232" t="s">
        <v>849</v>
      </c>
      <c r="BA124" s="221" t="s">
        <v>669</v>
      </c>
      <c r="BB124" s="221"/>
      <c r="BC124" s="233"/>
      <c r="BF124" s="51"/>
    </row>
    <row r="125" spans="1:58" ht="13.5" customHeight="1">
      <c r="A125" s="220">
        <f t="shared" si="24"/>
        <v>124</v>
      </c>
      <c r="B125" s="221" t="s">
        <v>405</v>
      </c>
      <c r="C125" s="221" t="s">
        <v>837</v>
      </c>
      <c r="D125" s="221" t="s">
        <v>365</v>
      </c>
      <c r="E125" s="221" t="s">
        <v>607</v>
      </c>
      <c r="F125" s="221" t="s">
        <v>608</v>
      </c>
      <c r="G125" s="222" t="s">
        <v>909</v>
      </c>
      <c r="H125" s="221" t="s">
        <v>582</v>
      </c>
      <c r="I125" s="221" t="s">
        <v>910</v>
      </c>
      <c r="J125" s="221" t="s">
        <v>911</v>
      </c>
      <c r="K125" s="221"/>
      <c r="L125" s="221"/>
      <c r="M125" s="221"/>
      <c r="N125" s="223" t="s">
        <v>228</v>
      </c>
      <c r="O125" s="230" t="s">
        <v>229</v>
      </c>
      <c r="P125" s="224">
        <v>693221296.75999999</v>
      </c>
      <c r="Q125" s="225">
        <v>1</v>
      </c>
      <c r="R125" s="225">
        <v>0.89</v>
      </c>
      <c r="S125" s="225">
        <f t="shared" si="25"/>
        <v>-0.10999999999999999</v>
      </c>
      <c r="T125" s="225" t="str" cm="1">
        <f t="array" ref="T125">+_xlfn.IFS($P125&lt;=10000000000,IF(S125&gt;-0.05,"Verde",IF(S125&lt;=-0.1,"Rojo","Amarillo")),$P125&gt;10000000000,IF(S125&gt;-0.03,"Verde",IF(S125&lt;=-0.07,"Rojo","Amarillo")))</f>
        <v>Rojo</v>
      </c>
      <c r="U125" s="226">
        <v>45492</v>
      </c>
      <c r="V125" s="226">
        <v>45509</v>
      </c>
      <c r="W125" s="226">
        <v>45544</v>
      </c>
      <c r="X125" s="226">
        <v>45657</v>
      </c>
      <c r="Y125" s="272">
        <v>45838</v>
      </c>
      <c r="Z125" s="225" t="str">
        <f t="shared" ca="1" si="23"/>
        <v>Rojo</v>
      </c>
      <c r="AA125" s="225" t="str">
        <f t="shared" ca="1" si="30"/>
        <v>En_Seguimiento</v>
      </c>
      <c r="AB125" s="273" t="s">
        <v>128</v>
      </c>
      <c r="AC125" s="272"/>
      <c r="AD125" s="227">
        <v>45838</v>
      </c>
      <c r="AE125" s="221" t="s">
        <v>842</v>
      </c>
      <c r="AF125" s="223" t="s">
        <v>843</v>
      </c>
      <c r="AG125" s="223" t="s">
        <v>844</v>
      </c>
      <c r="AH125" s="223" t="s">
        <v>845</v>
      </c>
      <c r="AI125" s="221" t="s">
        <v>837</v>
      </c>
      <c r="AJ125" s="223" t="s">
        <v>336</v>
      </c>
      <c r="AK125" s="223"/>
      <c r="AL125" s="230" t="s">
        <v>846</v>
      </c>
      <c r="AM125" s="231">
        <v>9832149209</v>
      </c>
      <c r="AN125" s="231">
        <v>2505106791</v>
      </c>
      <c r="AO125" s="231">
        <f t="shared" si="31"/>
        <v>12337256000</v>
      </c>
      <c r="AP125" s="231">
        <v>5008387266</v>
      </c>
      <c r="AQ125" s="231"/>
      <c r="AR125" s="231">
        <v>1505000000</v>
      </c>
      <c r="AS125" s="231">
        <v>1003333333</v>
      </c>
      <c r="AT125" s="231">
        <f t="shared" si="22"/>
        <v>2508333333</v>
      </c>
      <c r="AU125" s="231">
        <v>157233711.34</v>
      </c>
      <c r="AV125" s="231"/>
      <c r="AW125" s="232"/>
      <c r="AX125" s="232" t="s">
        <v>847</v>
      </c>
      <c r="AY125" s="232" t="s">
        <v>848</v>
      </c>
      <c r="AZ125" s="232" t="s">
        <v>849</v>
      </c>
      <c r="BA125" s="221" t="s">
        <v>912</v>
      </c>
      <c r="BB125" s="221"/>
      <c r="BC125" s="233"/>
      <c r="BF125" s="51"/>
    </row>
    <row r="126" spans="1:58" ht="13.5" customHeight="1">
      <c r="A126" s="220">
        <f t="shared" si="24"/>
        <v>125</v>
      </c>
      <c r="B126" s="221" t="s">
        <v>405</v>
      </c>
      <c r="C126" s="221" t="s">
        <v>837</v>
      </c>
      <c r="D126" s="221" t="s">
        <v>365</v>
      </c>
      <c r="E126" s="221" t="s">
        <v>607</v>
      </c>
      <c r="F126" s="221" t="s">
        <v>608</v>
      </c>
      <c r="G126" s="222" t="s">
        <v>913</v>
      </c>
      <c r="H126" s="221" t="s">
        <v>154</v>
      </c>
      <c r="I126" s="221" t="s">
        <v>914</v>
      </c>
      <c r="J126" s="221" t="s">
        <v>915</v>
      </c>
      <c r="K126" s="221"/>
      <c r="L126" s="221"/>
      <c r="M126" s="221"/>
      <c r="N126" s="223" t="s">
        <v>228</v>
      </c>
      <c r="O126" s="230" t="s">
        <v>229</v>
      </c>
      <c r="P126" s="224">
        <f>53502693.65+759227997.86</f>
        <v>812730691.50999999</v>
      </c>
      <c r="Q126" s="225">
        <v>0.63819999999999999</v>
      </c>
      <c r="R126" s="225">
        <v>0</v>
      </c>
      <c r="S126" s="225">
        <f t="shared" si="25"/>
        <v>-0.63819999999999999</v>
      </c>
      <c r="T126" s="225" t="str" cm="1">
        <f t="array" ref="T126">+_xlfn.IFS($P126&lt;=10000000000,IF(S126&gt;-0.05,"Verde",IF(S126&lt;=-0.1,"Rojo","Amarillo")),$P126&gt;10000000000,IF(S126&gt;-0.03,"Verde",IF(S126&lt;=-0.07,"Rojo","Amarillo")))</f>
        <v>Rojo</v>
      </c>
      <c r="U126" s="226">
        <v>45492</v>
      </c>
      <c r="V126" s="226">
        <v>45509</v>
      </c>
      <c r="W126" s="226">
        <v>45544</v>
      </c>
      <c r="X126" s="226">
        <v>45657</v>
      </c>
      <c r="Y126" s="272">
        <v>45991</v>
      </c>
      <c r="Z126" s="225" t="str">
        <f t="shared" ca="1" si="23"/>
        <v>Amarillo</v>
      </c>
      <c r="AA126" s="225" t="str">
        <f t="shared" ca="1" si="30"/>
        <v>En_Seguimiento</v>
      </c>
      <c r="AB126" s="273" t="s">
        <v>128</v>
      </c>
      <c r="AC126" s="272"/>
      <c r="AD126" s="227">
        <v>45991</v>
      </c>
      <c r="AE126" s="221" t="s">
        <v>842</v>
      </c>
      <c r="AF126" s="223" t="s">
        <v>843</v>
      </c>
      <c r="AG126" s="223" t="s">
        <v>844</v>
      </c>
      <c r="AH126" s="223" t="s">
        <v>845</v>
      </c>
      <c r="AI126" s="221" t="s">
        <v>837</v>
      </c>
      <c r="AJ126" s="223" t="s">
        <v>336</v>
      </c>
      <c r="AK126" s="223"/>
      <c r="AL126" s="230" t="s">
        <v>846</v>
      </c>
      <c r="AM126" s="231">
        <v>9832149209</v>
      </c>
      <c r="AN126" s="231">
        <v>2505106791</v>
      </c>
      <c r="AO126" s="231">
        <f t="shared" si="31"/>
        <v>12337256000</v>
      </c>
      <c r="AP126" s="231">
        <v>5008387266</v>
      </c>
      <c r="AQ126" s="231"/>
      <c r="AR126" s="231">
        <v>1505000000</v>
      </c>
      <c r="AS126" s="231">
        <v>1003333333</v>
      </c>
      <c r="AT126" s="231">
        <f t="shared" si="22"/>
        <v>2508333333</v>
      </c>
      <c r="AU126" s="231">
        <v>157233711.34</v>
      </c>
      <c r="AV126" s="231"/>
      <c r="AW126" s="232"/>
      <c r="AX126" s="232" t="s">
        <v>847</v>
      </c>
      <c r="AY126" s="232" t="s">
        <v>848</v>
      </c>
      <c r="AZ126" s="232" t="s">
        <v>849</v>
      </c>
      <c r="BA126" s="221" t="s">
        <v>916</v>
      </c>
      <c r="BB126" s="221"/>
      <c r="BC126" s="233"/>
      <c r="BF126" s="51"/>
    </row>
    <row r="127" spans="1:58" ht="13.5" customHeight="1">
      <c r="A127" s="220">
        <f t="shared" si="24"/>
        <v>126</v>
      </c>
      <c r="B127" s="221" t="s">
        <v>405</v>
      </c>
      <c r="C127" s="221" t="s">
        <v>837</v>
      </c>
      <c r="D127" s="221" t="s">
        <v>365</v>
      </c>
      <c r="E127" s="221" t="s">
        <v>607</v>
      </c>
      <c r="F127" s="221" t="s">
        <v>608</v>
      </c>
      <c r="G127" s="222" t="s">
        <v>917</v>
      </c>
      <c r="H127" s="221" t="s">
        <v>163</v>
      </c>
      <c r="I127" s="221" t="s">
        <v>918</v>
      </c>
      <c r="J127" s="221" t="s">
        <v>919</v>
      </c>
      <c r="K127" s="221" t="s">
        <v>920</v>
      </c>
      <c r="L127" s="221">
        <v>-74.809229290657797</v>
      </c>
      <c r="M127" s="221">
        <v>10.9283009812369</v>
      </c>
      <c r="N127" s="223" t="s">
        <v>228</v>
      </c>
      <c r="O127" s="230" t="s">
        <v>229</v>
      </c>
      <c r="P127" s="224">
        <v>298587855.59240115</v>
      </c>
      <c r="Q127" s="225">
        <v>1</v>
      </c>
      <c r="R127" s="225">
        <v>1</v>
      </c>
      <c r="S127" s="225">
        <f t="shared" si="25"/>
        <v>0</v>
      </c>
      <c r="T127" s="225" t="str" cm="1">
        <f t="array" ref="T127">+_xlfn.IFS($P127&lt;=10000000000,IF(S127&gt;-0.05,"Verde",IF(S127&lt;=-0.1,"Rojo","Amarillo")),$P127&gt;10000000000,IF(S127&gt;-0.03,"Verde",IF(S127&lt;=-0.07,"Rojo","Amarillo")))</f>
        <v>Verde</v>
      </c>
      <c r="U127" s="226">
        <v>45492</v>
      </c>
      <c r="V127" s="226">
        <v>45509</v>
      </c>
      <c r="W127" s="226">
        <v>45544</v>
      </c>
      <c r="X127" s="226">
        <v>45657</v>
      </c>
      <c r="Y127" s="272">
        <v>45646</v>
      </c>
      <c r="Z127" s="225" t="str">
        <f t="shared" ca="1" si="23"/>
        <v>En_Ejecución</v>
      </c>
      <c r="AA127" s="225" t="str">
        <f t="shared" ca="1" si="30"/>
        <v>-</v>
      </c>
      <c r="AB127" s="273" t="s">
        <v>128</v>
      </c>
      <c r="AC127" s="272"/>
      <c r="AD127" s="227">
        <v>45642</v>
      </c>
      <c r="AE127" s="221" t="s">
        <v>921</v>
      </c>
      <c r="AF127" s="223" t="s">
        <v>922</v>
      </c>
      <c r="AG127" s="223" t="s">
        <v>844</v>
      </c>
      <c r="AH127" s="223" t="s">
        <v>923</v>
      </c>
      <c r="AI127" s="221" t="s">
        <v>837</v>
      </c>
      <c r="AJ127" s="223" t="s">
        <v>336</v>
      </c>
      <c r="AK127" s="223"/>
      <c r="AL127" s="230" t="s">
        <v>846</v>
      </c>
      <c r="AM127" s="231">
        <v>9928677488</v>
      </c>
      <c r="AN127" s="231">
        <v>3801762928</v>
      </c>
      <c r="AO127" s="231">
        <f t="shared" si="31"/>
        <v>13730440416</v>
      </c>
      <c r="AP127" s="231">
        <v>7175519666</v>
      </c>
      <c r="AQ127" s="231">
        <v>0</v>
      </c>
      <c r="AR127" s="231">
        <v>1505000000</v>
      </c>
      <c r="AS127" s="231">
        <v>1003333333</v>
      </c>
      <c r="AT127" s="231">
        <f t="shared" si="22"/>
        <v>2508333333</v>
      </c>
      <c r="AU127" s="231">
        <v>157233711.34</v>
      </c>
      <c r="AV127" s="231">
        <v>0</v>
      </c>
      <c r="AW127" s="232"/>
      <c r="AX127" s="232" t="s">
        <v>847</v>
      </c>
      <c r="AY127" s="232" t="s">
        <v>848</v>
      </c>
      <c r="AZ127" s="232" t="s">
        <v>849</v>
      </c>
      <c r="BA127" s="221" t="s">
        <v>924</v>
      </c>
      <c r="BB127" s="221"/>
      <c r="BC127" s="233" t="s">
        <v>128</v>
      </c>
      <c r="BF127" s="51"/>
    </row>
    <row r="128" spans="1:58" ht="13.5" customHeight="1">
      <c r="A128" s="220">
        <f t="shared" si="24"/>
        <v>127</v>
      </c>
      <c r="B128" s="221" t="s">
        <v>405</v>
      </c>
      <c r="C128" s="221" t="s">
        <v>837</v>
      </c>
      <c r="D128" s="221" t="s">
        <v>365</v>
      </c>
      <c r="E128" s="221" t="s">
        <v>607</v>
      </c>
      <c r="F128" s="221" t="s">
        <v>608</v>
      </c>
      <c r="G128" s="222" t="s">
        <v>925</v>
      </c>
      <c r="H128" s="221" t="s">
        <v>154</v>
      </c>
      <c r="I128" s="221" t="s">
        <v>691</v>
      </c>
      <c r="J128" s="221" t="s">
        <v>926</v>
      </c>
      <c r="K128" s="221" t="s">
        <v>927</v>
      </c>
      <c r="L128" s="221">
        <v>-74.814078959422204</v>
      </c>
      <c r="M128" s="221">
        <v>10.975339792289599</v>
      </c>
      <c r="N128" s="223" t="s">
        <v>228</v>
      </c>
      <c r="O128" s="230" t="s">
        <v>229</v>
      </c>
      <c r="P128" s="224">
        <v>1078220608.5183866</v>
      </c>
      <c r="Q128" s="225">
        <v>1</v>
      </c>
      <c r="R128" s="225">
        <v>0.99</v>
      </c>
      <c r="S128" s="225">
        <f t="shared" si="25"/>
        <v>-1.0000000000000009E-2</v>
      </c>
      <c r="T128" s="225" t="str" cm="1">
        <f t="array" ref="T128">+_xlfn.IFS($P128&lt;=10000000000,IF(S128&gt;-0.05,"Verde",IF(S128&lt;=-0.1,"Rojo","Amarillo")),$P128&gt;10000000000,IF(S128&gt;-0.03,"Verde",IF(S128&lt;=-0.07,"Rojo","Amarillo")))</f>
        <v>Verde</v>
      </c>
      <c r="U128" s="226">
        <v>45492</v>
      </c>
      <c r="V128" s="226">
        <v>45509</v>
      </c>
      <c r="W128" s="226">
        <v>45544</v>
      </c>
      <c r="X128" s="226">
        <v>45657</v>
      </c>
      <c r="Y128" s="272">
        <v>45773</v>
      </c>
      <c r="Z128" s="225" t="str">
        <f t="shared" ca="1" si="23"/>
        <v>En_Ejecución</v>
      </c>
      <c r="AA128" s="225" t="str">
        <f t="shared" ca="1" si="30"/>
        <v>-</v>
      </c>
      <c r="AB128" s="273" t="s">
        <v>128</v>
      </c>
      <c r="AC128" s="272"/>
      <c r="AD128" s="227">
        <v>45773</v>
      </c>
      <c r="AE128" s="221" t="s">
        <v>921</v>
      </c>
      <c r="AF128" s="223" t="s">
        <v>922</v>
      </c>
      <c r="AG128" s="223" t="s">
        <v>928</v>
      </c>
      <c r="AH128" s="223" t="s">
        <v>923</v>
      </c>
      <c r="AI128" s="221" t="s">
        <v>837</v>
      </c>
      <c r="AJ128" s="223" t="s">
        <v>336</v>
      </c>
      <c r="AK128" s="223"/>
      <c r="AL128" s="230" t="s">
        <v>846</v>
      </c>
      <c r="AM128" s="231">
        <v>9928677488</v>
      </c>
      <c r="AN128" s="231">
        <v>3801762928</v>
      </c>
      <c r="AO128" s="231">
        <f t="shared" si="31"/>
        <v>13730440416</v>
      </c>
      <c r="AP128" s="231">
        <v>7175519666</v>
      </c>
      <c r="AQ128" s="231">
        <v>0</v>
      </c>
      <c r="AR128" s="231">
        <v>1505000000</v>
      </c>
      <c r="AS128" s="231">
        <v>1003333333</v>
      </c>
      <c r="AT128" s="231">
        <f t="shared" si="22"/>
        <v>2508333333</v>
      </c>
      <c r="AU128" s="231">
        <v>157233711.34</v>
      </c>
      <c r="AV128" s="231">
        <v>0</v>
      </c>
      <c r="AW128" s="232" t="s">
        <v>929</v>
      </c>
      <c r="AX128" s="232" t="s">
        <v>847</v>
      </c>
      <c r="AY128" s="232" t="s">
        <v>848</v>
      </c>
      <c r="AZ128" s="232" t="s">
        <v>849</v>
      </c>
      <c r="BA128" s="221" t="s">
        <v>930</v>
      </c>
      <c r="BB128" s="221"/>
      <c r="BC128" s="233" t="s">
        <v>128</v>
      </c>
      <c r="BF128" s="51"/>
    </row>
    <row r="129" spans="1:58" ht="13.5" customHeight="1">
      <c r="A129" s="220">
        <f t="shared" si="24"/>
        <v>128</v>
      </c>
      <c r="B129" s="221" t="s">
        <v>405</v>
      </c>
      <c r="C129" s="221" t="s">
        <v>837</v>
      </c>
      <c r="D129" s="221" t="s">
        <v>365</v>
      </c>
      <c r="E129" s="221" t="s">
        <v>607</v>
      </c>
      <c r="F129" s="221" t="s">
        <v>608</v>
      </c>
      <c r="G129" s="222" t="s">
        <v>931</v>
      </c>
      <c r="H129" s="221" t="s">
        <v>582</v>
      </c>
      <c r="I129" s="221" t="s">
        <v>932</v>
      </c>
      <c r="J129" s="221" t="s">
        <v>933</v>
      </c>
      <c r="K129" s="221" t="s">
        <v>934</v>
      </c>
      <c r="L129" s="221">
        <v>-74.774453567368894</v>
      </c>
      <c r="M129" s="221">
        <v>10.9639817985116</v>
      </c>
      <c r="N129" s="223" t="s">
        <v>228</v>
      </c>
      <c r="O129" s="230" t="s">
        <v>229</v>
      </c>
      <c r="P129" s="224">
        <v>1104544838.3042374</v>
      </c>
      <c r="Q129" s="225">
        <v>1</v>
      </c>
      <c r="R129" s="225">
        <v>1</v>
      </c>
      <c r="S129" s="225">
        <f t="shared" si="25"/>
        <v>0</v>
      </c>
      <c r="T129" s="225" t="str" cm="1">
        <f t="array" ref="T129">+_xlfn.IFS($P129&lt;=10000000000,IF(S129&gt;-0.05,"Verde",IF(S129&lt;=-0.1,"Rojo","Amarillo")),$P129&gt;10000000000,IF(S129&gt;-0.03,"Verde",IF(S129&lt;=-0.07,"Rojo","Amarillo")))</f>
        <v>Verde</v>
      </c>
      <c r="U129" s="226">
        <v>45492</v>
      </c>
      <c r="V129" s="226">
        <v>45509</v>
      </c>
      <c r="W129" s="226">
        <v>45544</v>
      </c>
      <c r="X129" s="226">
        <v>45657</v>
      </c>
      <c r="Y129" s="272">
        <v>45757</v>
      </c>
      <c r="Z129" s="225" t="str">
        <f t="shared" ca="1" si="23"/>
        <v>En_Ejecución</v>
      </c>
      <c r="AA129" s="225" t="str">
        <f t="shared" ca="1" si="30"/>
        <v>-</v>
      </c>
      <c r="AB129" s="273" t="s">
        <v>128</v>
      </c>
      <c r="AC129" s="272"/>
      <c r="AD129" s="227">
        <v>45757</v>
      </c>
      <c r="AE129" s="221" t="s">
        <v>921</v>
      </c>
      <c r="AF129" s="223" t="s">
        <v>922</v>
      </c>
      <c r="AG129" s="223" t="s">
        <v>928</v>
      </c>
      <c r="AH129" s="223" t="s">
        <v>923</v>
      </c>
      <c r="AI129" s="221" t="s">
        <v>837</v>
      </c>
      <c r="AJ129" s="223" t="s">
        <v>336</v>
      </c>
      <c r="AK129" s="223"/>
      <c r="AL129" s="230" t="s">
        <v>846</v>
      </c>
      <c r="AM129" s="231">
        <v>9928677488</v>
      </c>
      <c r="AN129" s="231">
        <v>3801762928</v>
      </c>
      <c r="AO129" s="231">
        <f t="shared" si="31"/>
        <v>13730440416</v>
      </c>
      <c r="AP129" s="231">
        <v>7175519666</v>
      </c>
      <c r="AQ129" s="231">
        <v>0</v>
      </c>
      <c r="AR129" s="231">
        <v>1505000000</v>
      </c>
      <c r="AS129" s="231">
        <v>1003333333</v>
      </c>
      <c r="AT129" s="231">
        <f t="shared" si="22"/>
        <v>2508333333</v>
      </c>
      <c r="AU129" s="231">
        <v>157233711.34</v>
      </c>
      <c r="AV129" s="231">
        <v>0</v>
      </c>
      <c r="AW129" s="232"/>
      <c r="AX129" s="232" t="s">
        <v>847</v>
      </c>
      <c r="AY129" s="232" t="s">
        <v>848</v>
      </c>
      <c r="AZ129" s="232" t="s">
        <v>849</v>
      </c>
      <c r="BA129" s="221" t="s">
        <v>850</v>
      </c>
      <c r="BB129" s="221"/>
      <c r="BC129" s="233" t="s">
        <v>128</v>
      </c>
      <c r="BF129" s="51"/>
    </row>
    <row r="130" spans="1:58" ht="13.5" customHeight="1">
      <c r="A130" s="220">
        <f t="shared" si="24"/>
        <v>129</v>
      </c>
      <c r="B130" s="221" t="s">
        <v>405</v>
      </c>
      <c r="C130" s="221" t="s">
        <v>837</v>
      </c>
      <c r="D130" s="221" t="s">
        <v>365</v>
      </c>
      <c r="E130" s="221" t="s">
        <v>607</v>
      </c>
      <c r="F130" s="221" t="s">
        <v>608</v>
      </c>
      <c r="G130" s="222" t="s">
        <v>935</v>
      </c>
      <c r="H130" s="221" t="s">
        <v>163</v>
      </c>
      <c r="I130" s="221" t="s">
        <v>936</v>
      </c>
      <c r="J130" s="221" t="s">
        <v>937</v>
      </c>
      <c r="K130" s="221" t="s">
        <v>938</v>
      </c>
      <c r="L130" s="221">
        <v>-74.791039752026705</v>
      </c>
      <c r="M130" s="221">
        <v>10.942084831769399</v>
      </c>
      <c r="N130" s="223" t="s">
        <v>228</v>
      </c>
      <c r="O130" s="230" t="s">
        <v>229</v>
      </c>
      <c r="P130" s="224">
        <v>282443274.01399136</v>
      </c>
      <c r="Q130" s="225">
        <v>1</v>
      </c>
      <c r="R130" s="225">
        <v>1</v>
      </c>
      <c r="S130" s="225">
        <f t="shared" si="25"/>
        <v>0</v>
      </c>
      <c r="T130" s="225" t="str" cm="1">
        <f t="array" ref="T130">+_xlfn.IFS($P130&lt;=10000000000,IF(S130&gt;-0.05,"Verde",IF(S130&lt;=-0.1,"Rojo","Amarillo")),$P130&gt;10000000000,IF(S130&gt;-0.03,"Verde",IF(S130&lt;=-0.07,"Rojo","Amarillo")))</f>
        <v>Verde</v>
      </c>
      <c r="U130" s="226">
        <v>45492</v>
      </c>
      <c r="V130" s="226">
        <v>45509</v>
      </c>
      <c r="W130" s="226">
        <v>45544</v>
      </c>
      <c r="X130" s="226">
        <v>45657</v>
      </c>
      <c r="Y130" s="272">
        <v>45688</v>
      </c>
      <c r="Z130" s="225" t="str">
        <f t="shared" ca="1" si="23"/>
        <v>En_Ejecución</v>
      </c>
      <c r="AA130" s="225" t="str">
        <f t="shared" ca="1" si="30"/>
        <v>-</v>
      </c>
      <c r="AB130" s="273" t="s">
        <v>128</v>
      </c>
      <c r="AC130" s="272"/>
      <c r="AD130" s="227">
        <v>45726</v>
      </c>
      <c r="AE130" s="221" t="s">
        <v>921</v>
      </c>
      <c r="AF130" s="223" t="s">
        <v>922</v>
      </c>
      <c r="AG130" s="223" t="s">
        <v>928</v>
      </c>
      <c r="AH130" s="223" t="s">
        <v>923</v>
      </c>
      <c r="AI130" s="221" t="s">
        <v>837</v>
      </c>
      <c r="AJ130" s="223" t="s">
        <v>336</v>
      </c>
      <c r="AK130" s="223"/>
      <c r="AL130" s="230" t="s">
        <v>846</v>
      </c>
      <c r="AM130" s="231">
        <v>9928677488</v>
      </c>
      <c r="AN130" s="231">
        <v>3801762928</v>
      </c>
      <c r="AO130" s="231">
        <f t="shared" si="31"/>
        <v>13730440416</v>
      </c>
      <c r="AP130" s="231">
        <v>7175519666</v>
      </c>
      <c r="AQ130" s="231">
        <v>0</v>
      </c>
      <c r="AR130" s="231">
        <v>1505000000</v>
      </c>
      <c r="AS130" s="231">
        <v>1003333333</v>
      </c>
      <c r="AT130" s="231">
        <f t="shared" si="22"/>
        <v>2508333333</v>
      </c>
      <c r="AU130" s="231">
        <v>157233711.34</v>
      </c>
      <c r="AV130" s="231">
        <v>0</v>
      </c>
      <c r="AW130" s="232"/>
      <c r="AX130" s="232" t="s">
        <v>847</v>
      </c>
      <c r="AY130" s="232" t="s">
        <v>848</v>
      </c>
      <c r="AZ130" s="232" t="s">
        <v>849</v>
      </c>
      <c r="BA130" s="221" t="s">
        <v>850</v>
      </c>
      <c r="BB130" s="221"/>
      <c r="BC130" s="233" t="s">
        <v>128</v>
      </c>
      <c r="BF130" s="51"/>
    </row>
    <row r="131" spans="1:58" ht="13.5" customHeight="1">
      <c r="A131" s="220">
        <f t="shared" si="24"/>
        <v>130</v>
      </c>
      <c r="B131" s="221" t="s">
        <v>405</v>
      </c>
      <c r="C131" s="221" t="s">
        <v>837</v>
      </c>
      <c r="D131" s="221" t="s">
        <v>365</v>
      </c>
      <c r="E131" s="221" t="s">
        <v>607</v>
      </c>
      <c r="F131" s="221" t="s">
        <v>608</v>
      </c>
      <c r="G131" s="222" t="s">
        <v>939</v>
      </c>
      <c r="H131" s="221" t="s">
        <v>154</v>
      </c>
      <c r="I131" s="221" t="s">
        <v>940</v>
      </c>
      <c r="J131" s="221" t="s">
        <v>941</v>
      </c>
      <c r="K131" s="221" t="s">
        <v>942</v>
      </c>
      <c r="L131" s="221">
        <v>-74.799382586408896</v>
      </c>
      <c r="M131" s="221">
        <v>10.961636292372299</v>
      </c>
      <c r="N131" s="223" t="s">
        <v>228</v>
      </c>
      <c r="O131" s="230" t="s">
        <v>229</v>
      </c>
      <c r="P131" s="224">
        <v>529083165.13814604</v>
      </c>
      <c r="Q131" s="225">
        <v>1</v>
      </c>
      <c r="R131" s="225">
        <v>1</v>
      </c>
      <c r="S131" s="225">
        <f t="shared" si="25"/>
        <v>0</v>
      </c>
      <c r="T131" s="225" t="str" cm="1">
        <f t="array" ref="T131">+_xlfn.IFS($P131&lt;=10000000000,IF(S131&gt;-0.05,"Verde",IF(S131&lt;=-0.1,"Rojo","Amarillo")),$P131&gt;10000000000,IF(S131&gt;-0.03,"Verde",IF(S131&lt;=-0.07,"Rojo","Amarillo")))</f>
        <v>Verde</v>
      </c>
      <c r="U131" s="226">
        <v>45492</v>
      </c>
      <c r="V131" s="226">
        <v>45509</v>
      </c>
      <c r="W131" s="226">
        <v>45544</v>
      </c>
      <c r="X131" s="226">
        <v>45657</v>
      </c>
      <c r="Y131" s="272">
        <v>45657</v>
      </c>
      <c r="Z131" s="225" t="str">
        <f t="shared" ca="1" si="23"/>
        <v>En_Ejecución</v>
      </c>
      <c r="AA131" s="225" t="str">
        <f t="shared" ca="1" si="30"/>
        <v>-</v>
      </c>
      <c r="AB131" s="273" t="s">
        <v>128</v>
      </c>
      <c r="AC131" s="272"/>
      <c r="AD131" s="227">
        <v>45657</v>
      </c>
      <c r="AE131" s="221" t="s">
        <v>921</v>
      </c>
      <c r="AF131" s="223" t="s">
        <v>922</v>
      </c>
      <c r="AG131" s="223" t="s">
        <v>928</v>
      </c>
      <c r="AH131" s="223" t="s">
        <v>923</v>
      </c>
      <c r="AI131" s="221" t="s">
        <v>837</v>
      </c>
      <c r="AJ131" s="223" t="s">
        <v>336</v>
      </c>
      <c r="AK131" s="223"/>
      <c r="AL131" s="230" t="s">
        <v>846</v>
      </c>
      <c r="AM131" s="231">
        <v>9928677488</v>
      </c>
      <c r="AN131" s="231">
        <v>3801762928</v>
      </c>
      <c r="AO131" s="231">
        <f t="shared" si="31"/>
        <v>13730440416</v>
      </c>
      <c r="AP131" s="231">
        <v>7175519666</v>
      </c>
      <c r="AQ131" s="231">
        <v>0</v>
      </c>
      <c r="AR131" s="231">
        <v>1505000000</v>
      </c>
      <c r="AS131" s="231">
        <v>1003333333</v>
      </c>
      <c r="AT131" s="231">
        <f t="shared" si="22"/>
        <v>2508333333</v>
      </c>
      <c r="AU131" s="231">
        <v>157233711.34</v>
      </c>
      <c r="AV131" s="231">
        <v>0</v>
      </c>
      <c r="AW131" s="232"/>
      <c r="AX131" s="232" t="s">
        <v>847</v>
      </c>
      <c r="AY131" s="232" t="s">
        <v>848</v>
      </c>
      <c r="AZ131" s="232" t="s">
        <v>849</v>
      </c>
      <c r="BA131" s="221" t="s">
        <v>850</v>
      </c>
      <c r="BB131" s="221"/>
      <c r="BC131" s="233" t="s">
        <v>128</v>
      </c>
      <c r="BF131" s="51"/>
    </row>
    <row r="132" spans="1:58" ht="13.5" customHeight="1">
      <c r="A132" s="220">
        <f t="shared" si="24"/>
        <v>131</v>
      </c>
      <c r="B132" s="221" t="s">
        <v>405</v>
      </c>
      <c r="C132" s="221" t="s">
        <v>837</v>
      </c>
      <c r="D132" s="221" t="s">
        <v>365</v>
      </c>
      <c r="E132" s="221" t="s">
        <v>607</v>
      </c>
      <c r="F132" s="221" t="s">
        <v>608</v>
      </c>
      <c r="G132" s="222" t="s">
        <v>943</v>
      </c>
      <c r="H132" s="221" t="s">
        <v>163</v>
      </c>
      <c r="I132" s="221" t="s">
        <v>936</v>
      </c>
      <c r="J132" s="221" t="s">
        <v>944</v>
      </c>
      <c r="K132" s="221" t="s">
        <v>945</v>
      </c>
      <c r="L132" s="221">
        <v>-74.796194590909295</v>
      </c>
      <c r="M132" s="221">
        <v>10.9421497087852</v>
      </c>
      <c r="N132" s="223" t="s">
        <v>228</v>
      </c>
      <c r="O132" s="230" t="s">
        <v>229</v>
      </c>
      <c r="P132" s="224">
        <v>171558011.30236441</v>
      </c>
      <c r="Q132" s="225">
        <v>1</v>
      </c>
      <c r="R132" s="225">
        <v>1</v>
      </c>
      <c r="S132" s="225">
        <f t="shared" si="25"/>
        <v>0</v>
      </c>
      <c r="T132" s="225" t="str" cm="1">
        <f t="array" ref="T132">+_xlfn.IFS($P132&lt;=10000000000,IF(S132&gt;-0.05,"Verde",IF(S132&lt;=-0.1,"Rojo","Amarillo")),$P132&gt;10000000000,IF(S132&gt;-0.03,"Verde",IF(S132&lt;=-0.07,"Rojo","Amarillo")))</f>
        <v>Verde</v>
      </c>
      <c r="U132" s="226">
        <v>45492</v>
      </c>
      <c r="V132" s="226">
        <v>45509</v>
      </c>
      <c r="W132" s="226">
        <v>45544</v>
      </c>
      <c r="X132" s="226">
        <v>45657</v>
      </c>
      <c r="Y132" s="272">
        <v>45688</v>
      </c>
      <c r="Z132" s="225" t="str">
        <f t="shared" ca="1" si="23"/>
        <v>En_Ejecución</v>
      </c>
      <c r="AA132" s="225" t="str">
        <f t="shared" ca="1" si="30"/>
        <v>-</v>
      </c>
      <c r="AB132" s="273" t="s">
        <v>128</v>
      </c>
      <c r="AC132" s="272"/>
      <c r="AD132" s="227">
        <v>45838</v>
      </c>
      <c r="AE132" s="221" t="s">
        <v>921</v>
      </c>
      <c r="AF132" s="223" t="s">
        <v>922</v>
      </c>
      <c r="AG132" s="223" t="s">
        <v>928</v>
      </c>
      <c r="AH132" s="223" t="s">
        <v>923</v>
      </c>
      <c r="AI132" s="221" t="s">
        <v>837</v>
      </c>
      <c r="AJ132" s="223" t="s">
        <v>336</v>
      </c>
      <c r="AK132" s="223"/>
      <c r="AL132" s="230" t="s">
        <v>846</v>
      </c>
      <c r="AM132" s="231">
        <v>9928677488</v>
      </c>
      <c r="AN132" s="231">
        <v>3801762928</v>
      </c>
      <c r="AO132" s="231">
        <f t="shared" si="31"/>
        <v>13730440416</v>
      </c>
      <c r="AP132" s="231">
        <v>7175519666</v>
      </c>
      <c r="AQ132" s="231">
        <v>0</v>
      </c>
      <c r="AR132" s="231">
        <v>1505000000</v>
      </c>
      <c r="AS132" s="231">
        <v>1003333333</v>
      </c>
      <c r="AT132" s="231">
        <f t="shared" si="22"/>
        <v>2508333333</v>
      </c>
      <c r="AU132" s="231">
        <v>157233711.34</v>
      </c>
      <c r="AV132" s="231">
        <v>0</v>
      </c>
      <c r="AW132" s="232"/>
      <c r="AX132" s="232" t="s">
        <v>847</v>
      </c>
      <c r="AY132" s="232" t="s">
        <v>848</v>
      </c>
      <c r="AZ132" s="232" t="s">
        <v>849</v>
      </c>
      <c r="BA132" s="221" t="s">
        <v>850</v>
      </c>
      <c r="BB132" s="221"/>
      <c r="BC132" s="233" t="s">
        <v>128</v>
      </c>
      <c r="BF132" s="51"/>
    </row>
    <row r="133" spans="1:58" ht="13.5" customHeight="1">
      <c r="A133" s="220">
        <f t="shared" si="24"/>
        <v>132</v>
      </c>
      <c r="B133" s="221" t="s">
        <v>405</v>
      </c>
      <c r="C133" s="221" t="s">
        <v>837</v>
      </c>
      <c r="D133" s="221" t="s">
        <v>365</v>
      </c>
      <c r="E133" s="221" t="s">
        <v>607</v>
      </c>
      <c r="F133" s="221" t="s">
        <v>608</v>
      </c>
      <c r="G133" s="222" t="s">
        <v>946</v>
      </c>
      <c r="H133" s="221" t="s">
        <v>154</v>
      </c>
      <c r="I133" s="221" t="s">
        <v>947</v>
      </c>
      <c r="J133" s="221" t="s">
        <v>948</v>
      </c>
      <c r="K133" s="221" t="s">
        <v>949</v>
      </c>
      <c r="L133" s="221">
        <v>-74.827748304401794</v>
      </c>
      <c r="M133" s="221">
        <v>10.978061565586</v>
      </c>
      <c r="N133" s="223" t="s">
        <v>228</v>
      </c>
      <c r="O133" s="230" t="s">
        <v>229</v>
      </c>
      <c r="P133" s="224">
        <v>450013175.5484066</v>
      </c>
      <c r="Q133" s="225">
        <v>1</v>
      </c>
      <c r="R133" s="225">
        <v>1</v>
      </c>
      <c r="S133" s="225">
        <f t="shared" si="25"/>
        <v>0</v>
      </c>
      <c r="T133" s="225" t="str" cm="1">
        <f t="array" ref="T133">+_xlfn.IFS($P133&lt;=10000000000,IF(S133&gt;-0.05,"Verde",IF(S133&lt;=-0.1,"Rojo","Amarillo")),$P133&gt;10000000000,IF(S133&gt;-0.03,"Verde",IF(S133&lt;=-0.07,"Rojo","Amarillo")))</f>
        <v>Verde</v>
      </c>
      <c r="U133" s="226">
        <v>45492</v>
      </c>
      <c r="V133" s="226">
        <v>45509</v>
      </c>
      <c r="W133" s="226">
        <v>45544</v>
      </c>
      <c r="X133" s="226">
        <v>45657</v>
      </c>
      <c r="Y133" s="272">
        <v>45716</v>
      </c>
      <c r="Z133" s="225" t="str">
        <f t="shared" ca="1" si="23"/>
        <v>En_Ejecución</v>
      </c>
      <c r="AA133" s="225" t="str">
        <f t="shared" ca="1" si="30"/>
        <v>-</v>
      </c>
      <c r="AB133" s="273" t="s">
        <v>128</v>
      </c>
      <c r="AC133" s="272"/>
      <c r="AD133" s="227">
        <v>45838</v>
      </c>
      <c r="AE133" s="221" t="s">
        <v>921</v>
      </c>
      <c r="AF133" s="223" t="s">
        <v>922</v>
      </c>
      <c r="AG133" s="223" t="s">
        <v>928</v>
      </c>
      <c r="AH133" s="223" t="s">
        <v>923</v>
      </c>
      <c r="AI133" s="221" t="s">
        <v>837</v>
      </c>
      <c r="AJ133" s="223" t="s">
        <v>336</v>
      </c>
      <c r="AK133" s="223"/>
      <c r="AL133" s="230" t="s">
        <v>846</v>
      </c>
      <c r="AM133" s="231">
        <v>9928677488</v>
      </c>
      <c r="AN133" s="231">
        <v>3801762928</v>
      </c>
      <c r="AO133" s="231">
        <f t="shared" si="31"/>
        <v>13730440416</v>
      </c>
      <c r="AP133" s="231">
        <v>7175519666</v>
      </c>
      <c r="AQ133" s="231">
        <v>0</v>
      </c>
      <c r="AR133" s="231">
        <v>1505000000</v>
      </c>
      <c r="AS133" s="231">
        <v>1003333333</v>
      </c>
      <c r="AT133" s="231">
        <f t="shared" si="22"/>
        <v>2508333333</v>
      </c>
      <c r="AU133" s="231">
        <v>157233711.34</v>
      </c>
      <c r="AV133" s="231">
        <v>0</v>
      </c>
      <c r="AW133" s="232"/>
      <c r="AX133" s="232" t="s">
        <v>847</v>
      </c>
      <c r="AY133" s="232" t="s">
        <v>848</v>
      </c>
      <c r="AZ133" s="232" t="s">
        <v>849</v>
      </c>
      <c r="BA133" s="221" t="s">
        <v>850</v>
      </c>
      <c r="BB133" s="221"/>
      <c r="BC133" s="233" t="s">
        <v>128</v>
      </c>
      <c r="BF133" s="51"/>
    </row>
    <row r="134" spans="1:58" ht="13.5" customHeight="1">
      <c r="A134" s="220">
        <f t="shared" si="24"/>
        <v>133</v>
      </c>
      <c r="B134" s="221" t="s">
        <v>405</v>
      </c>
      <c r="C134" s="221" t="s">
        <v>837</v>
      </c>
      <c r="D134" s="221" t="s">
        <v>365</v>
      </c>
      <c r="E134" s="221" t="s">
        <v>607</v>
      </c>
      <c r="F134" s="221" t="s">
        <v>608</v>
      </c>
      <c r="G134" s="222" t="s">
        <v>950</v>
      </c>
      <c r="H134" s="221" t="s">
        <v>154</v>
      </c>
      <c r="I134" s="221" t="s">
        <v>951</v>
      </c>
      <c r="J134" s="221" t="s">
        <v>952</v>
      </c>
      <c r="K134" s="221" t="s">
        <v>953</v>
      </c>
      <c r="L134" s="221">
        <v>-74.824609893305293</v>
      </c>
      <c r="M134" s="221">
        <v>10.9659672837978</v>
      </c>
      <c r="N134" s="223" t="s">
        <v>228</v>
      </c>
      <c r="O134" s="230" t="s">
        <v>229</v>
      </c>
      <c r="P134" s="224">
        <v>257729076.62483591</v>
      </c>
      <c r="Q134" s="225">
        <v>1</v>
      </c>
      <c r="R134" s="225">
        <v>1</v>
      </c>
      <c r="S134" s="225">
        <f t="shared" si="25"/>
        <v>0</v>
      </c>
      <c r="T134" s="225" t="str" cm="1">
        <f t="array" ref="T134">+_xlfn.IFS($P134&lt;=10000000000,IF(S134&gt;-0.05,"Verde",IF(S134&lt;=-0.1,"Rojo","Amarillo")),$P134&gt;10000000000,IF(S134&gt;-0.03,"Verde",IF(S134&lt;=-0.07,"Rojo","Amarillo")))</f>
        <v>Verde</v>
      </c>
      <c r="U134" s="226">
        <v>45492</v>
      </c>
      <c r="V134" s="226">
        <v>45509</v>
      </c>
      <c r="W134" s="226">
        <v>45544</v>
      </c>
      <c r="X134" s="226">
        <v>45657</v>
      </c>
      <c r="Y134" s="272">
        <v>45807</v>
      </c>
      <c r="Z134" s="225" t="str">
        <f t="shared" ca="1" si="23"/>
        <v>En_Ejecución</v>
      </c>
      <c r="AA134" s="225" t="str">
        <f t="shared" ca="1" si="30"/>
        <v>-</v>
      </c>
      <c r="AB134" s="273" t="s">
        <v>128</v>
      </c>
      <c r="AC134" s="272"/>
      <c r="AD134" s="227">
        <v>45807</v>
      </c>
      <c r="AE134" s="221" t="s">
        <v>921</v>
      </c>
      <c r="AF134" s="223" t="s">
        <v>922</v>
      </c>
      <c r="AG134" s="223" t="s">
        <v>928</v>
      </c>
      <c r="AH134" s="223" t="s">
        <v>923</v>
      </c>
      <c r="AI134" s="221" t="s">
        <v>837</v>
      </c>
      <c r="AJ134" s="223" t="s">
        <v>336</v>
      </c>
      <c r="AK134" s="223"/>
      <c r="AL134" s="230" t="s">
        <v>846</v>
      </c>
      <c r="AM134" s="231">
        <v>9928677488</v>
      </c>
      <c r="AN134" s="231">
        <v>3801762928</v>
      </c>
      <c r="AO134" s="231">
        <f t="shared" si="31"/>
        <v>13730440416</v>
      </c>
      <c r="AP134" s="231">
        <v>7175519666</v>
      </c>
      <c r="AQ134" s="231">
        <v>0</v>
      </c>
      <c r="AR134" s="231">
        <v>1505000000</v>
      </c>
      <c r="AS134" s="231">
        <v>1003333333</v>
      </c>
      <c r="AT134" s="231">
        <f t="shared" si="22"/>
        <v>2508333333</v>
      </c>
      <c r="AU134" s="231">
        <v>157233711.34</v>
      </c>
      <c r="AV134" s="231">
        <v>0</v>
      </c>
      <c r="AW134" s="232"/>
      <c r="AX134" s="232" t="s">
        <v>847</v>
      </c>
      <c r="AY134" s="232" t="s">
        <v>848</v>
      </c>
      <c r="AZ134" s="232" t="s">
        <v>849</v>
      </c>
      <c r="BA134" s="221" t="s">
        <v>850</v>
      </c>
      <c r="BB134" s="221"/>
      <c r="BC134" s="233" t="s">
        <v>128</v>
      </c>
      <c r="BF134" s="51"/>
    </row>
    <row r="135" spans="1:58" ht="13.5" customHeight="1">
      <c r="A135" s="220">
        <f t="shared" si="24"/>
        <v>134</v>
      </c>
      <c r="B135" s="221" t="s">
        <v>405</v>
      </c>
      <c r="C135" s="221" t="s">
        <v>837</v>
      </c>
      <c r="D135" s="221" t="s">
        <v>365</v>
      </c>
      <c r="E135" s="221" t="s">
        <v>607</v>
      </c>
      <c r="F135" s="221" t="s">
        <v>608</v>
      </c>
      <c r="G135" s="222" t="s">
        <v>954</v>
      </c>
      <c r="H135" s="221" t="s">
        <v>582</v>
      </c>
      <c r="I135" s="221" t="s">
        <v>955</v>
      </c>
      <c r="J135" s="221" t="s">
        <v>956</v>
      </c>
      <c r="K135" s="221" t="s">
        <v>957</v>
      </c>
      <c r="L135" s="221">
        <v>-74.796274380337394</v>
      </c>
      <c r="M135" s="221">
        <v>10.9470869941368</v>
      </c>
      <c r="N135" s="223" t="s">
        <v>228</v>
      </c>
      <c r="O135" s="230" t="s">
        <v>229</v>
      </c>
      <c r="P135" s="224">
        <v>510965426.92494375</v>
      </c>
      <c r="Q135" s="225">
        <v>1</v>
      </c>
      <c r="R135" s="225">
        <v>1</v>
      </c>
      <c r="S135" s="225">
        <f t="shared" si="25"/>
        <v>0</v>
      </c>
      <c r="T135" s="225" t="str" cm="1">
        <f t="array" ref="T135">+_xlfn.IFS($P135&lt;=10000000000,IF(S135&gt;-0.05,"Verde",IF(S135&lt;=-0.1,"Rojo","Amarillo")),$P135&gt;10000000000,IF(S135&gt;-0.03,"Verde",IF(S135&lt;=-0.07,"Rojo","Amarillo")))</f>
        <v>Verde</v>
      </c>
      <c r="U135" s="226">
        <v>45492</v>
      </c>
      <c r="V135" s="226">
        <v>45509</v>
      </c>
      <c r="W135" s="226">
        <v>45544</v>
      </c>
      <c r="X135" s="226">
        <v>45657</v>
      </c>
      <c r="Y135" s="272">
        <v>45749</v>
      </c>
      <c r="Z135" s="225" t="str">
        <f t="shared" ca="1" si="23"/>
        <v>En_Ejecución</v>
      </c>
      <c r="AA135" s="225" t="str">
        <f t="shared" ca="1" si="30"/>
        <v>-</v>
      </c>
      <c r="AB135" s="273" t="s">
        <v>128</v>
      </c>
      <c r="AC135" s="272"/>
      <c r="AD135" s="227">
        <v>45838</v>
      </c>
      <c r="AE135" s="221" t="s">
        <v>921</v>
      </c>
      <c r="AF135" s="223" t="s">
        <v>922</v>
      </c>
      <c r="AG135" s="223" t="s">
        <v>928</v>
      </c>
      <c r="AH135" s="223" t="s">
        <v>923</v>
      </c>
      <c r="AI135" s="221" t="s">
        <v>837</v>
      </c>
      <c r="AJ135" s="223" t="s">
        <v>336</v>
      </c>
      <c r="AK135" s="223"/>
      <c r="AL135" s="230" t="s">
        <v>846</v>
      </c>
      <c r="AM135" s="231">
        <v>9928677488</v>
      </c>
      <c r="AN135" s="231">
        <v>3801762928</v>
      </c>
      <c r="AO135" s="231">
        <f t="shared" si="31"/>
        <v>13730440416</v>
      </c>
      <c r="AP135" s="231">
        <v>7175519666</v>
      </c>
      <c r="AQ135" s="231">
        <v>0</v>
      </c>
      <c r="AR135" s="231">
        <v>1505000000</v>
      </c>
      <c r="AS135" s="231">
        <v>1003333333</v>
      </c>
      <c r="AT135" s="231">
        <f t="shared" si="22"/>
        <v>2508333333</v>
      </c>
      <c r="AU135" s="231">
        <v>157233711.34</v>
      </c>
      <c r="AV135" s="231">
        <v>0</v>
      </c>
      <c r="AW135" s="232"/>
      <c r="AX135" s="232" t="s">
        <v>847</v>
      </c>
      <c r="AY135" s="232" t="s">
        <v>848</v>
      </c>
      <c r="AZ135" s="232" t="s">
        <v>849</v>
      </c>
      <c r="BA135" s="221" t="s">
        <v>850</v>
      </c>
      <c r="BB135" s="221"/>
      <c r="BC135" s="233" t="s">
        <v>128</v>
      </c>
      <c r="BF135" s="51"/>
    </row>
    <row r="136" spans="1:58" ht="13.5" customHeight="1">
      <c r="A136" s="220">
        <f t="shared" si="24"/>
        <v>135</v>
      </c>
      <c r="B136" s="221" t="s">
        <v>405</v>
      </c>
      <c r="C136" s="221" t="s">
        <v>837</v>
      </c>
      <c r="D136" s="221" t="s">
        <v>365</v>
      </c>
      <c r="E136" s="221" t="s">
        <v>607</v>
      </c>
      <c r="F136" s="221" t="s">
        <v>608</v>
      </c>
      <c r="G136" s="222" t="s">
        <v>958</v>
      </c>
      <c r="H136" s="221" t="s">
        <v>397</v>
      </c>
      <c r="I136" s="221" t="s">
        <v>959</v>
      </c>
      <c r="J136" s="221" t="s">
        <v>960</v>
      </c>
      <c r="K136" s="221" t="s">
        <v>961</v>
      </c>
      <c r="L136" s="221">
        <v>-74.767463899400099</v>
      </c>
      <c r="M136" s="221">
        <v>10.981722808576</v>
      </c>
      <c r="N136" s="223" t="s">
        <v>228</v>
      </c>
      <c r="O136" s="230" t="s">
        <v>229</v>
      </c>
      <c r="P136" s="224">
        <v>907479312.89118767</v>
      </c>
      <c r="Q136" s="225">
        <v>1</v>
      </c>
      <c r="R136" s="225">
        <v>1</v>
      </c>
      <c r="S136" s="225">
        <f t="shared" si="25"/>
        <v>0</v>
      </c>
      <c r="T136" s="225" t="str" cm="1">
        <f t="array" ref="T136">+_xlfn.IFS($P136&lt;=10000000000,IF(S136&gt;-0.05,"Verde",IF(S136&lt;=-0.1,"Rojo","Amarillo")),$P136&gt;10000000000,IF(S136&gt;-0.03,"Verde",IF(S136&lt;=-0.07,"Rojo","Amarillo")))</f>
        <v>Verde</v>
      </c>
      <c r="U136" s="226">
        <v>45492</v>
      </c>
      <c r="V136" s="226">
        <v>45509</v>
      </c>
      <c r="W136" s="226">
        <v>45544</v>
      </c>
      <c r="X136" s="226">
        <v>45657</v>
      </c>
      <c r="Y136" s="272">
        <v>45807</v>
      </c>
      <c r="Z136" s="225" t="str">
        <f t="shared" ca="1" si="23"/>
        <v>En_Ejecución</v>
      </c>
      <c r="AA136" s="225" t="str">
        <f t="shared" ca="1" si="30"/>
        <v>-</v>
      </c>
      <c r="AB136" s="273" t="s">
        <v>128</v>
      </c>
      <c r="AC136" s="272"/>
      <c r="AD136" s="227">
        <v>45807</v>
      </c>
      <c r="AE136" s="221" t="s">
        <v>921</v>
      </c>
      <c r="AF136" s="223" t="s">
        <v>922</v>
      </c>
      <c r="AG136" s="223" t="s">
        <v>928</v>
      </c>
      <c r="AH136" s="223" t="s">
        <v>923</v>
      </c>
      <c r="AI136" s="221" t="s">
        <v>837</v>
      </c>
      <c r="AJ136" s="223" t="s">
        <v>336</v>
      </c>
      <c r="AK136" s="223"/>
      <c r="AL136" s="230" t="s">
        <v>846</v>
      </c>
      <c r="AM136" s="231">
        <v>9928677488</v>
      </c>
      <c r="AN136" s="231">
        <v>3801762928</v>
      </c>
      <c r="AO136" s="231">
        <f t="shared" si="31"/>
        <v>13730440416</v>
      </c>
      <c r="AP136" s="231">
        <v>7175519666</v>
      </c>
      <c r="AQ136" s="231">
        <v>0</v>
      </c>
      <c r="AR136" s="231">
        <v>1505000000</v>
      </c>
      <c r="AS136" s="231">
        <v>1003333333</v>
      </c>
      <c r="AT136" s="231">
        <f t="shared" si="22"/>
        <v>2508333333</v>
      </c>
      <c r="AU136" s="231">
        <v>157233711.34</v>
      </c>
      <c r="AV136" s="231">
        <v>0</v>
      </c>
      <c r="AW136" s="232"/>
      <c r="AX136" s="232" t="s">
        <v>847</v>
      </c>
      <c r="AY136" s="232" t="s">
        <v>848</v>
      </c>
      <c r="AZ136" s="232" t="s">
        <v>849</v>
      </c>
      <c r="BA136" s="221" t="s">
        <v>850</v>
      </c>
      <c r="BB136" s="221"/>
      <c r="BC136" s="233" t="s">
        <v>128</v>
      </c>
      <c r="BF136" s="51"/>
    </row>
    <row r="137" spans="1:58" ht="13.5" customHeight="1">
      <c r="A137" s="220">
        <f t="shared" si="24"/>
        <v>136</v>
      </c>
      <c r="B137" s="221" t="s">
        <v>405</v>
      </c>
      <c r="C137" s="221" t="s">
        <v>962</v>
      </c>
      <c r="D137" s="221" t="s">
        <v>407</v>
      </c>
      <c r="E137" s="221" t="s">
        <v>963</v>
      </c>
      <c r="F137" s="221" t="s">
        <v>964</v>
      </c>
      <c r="G137" s="222" t="s">
        <v>965</v>
      </c>
      <c r="H137" s="221" t="s">
        <v>411</v>
      </c>
      <c r="I137" s="221"/>
      <c r="J137" s="221"/>
      <c r="K137" s="221"/>
      <c r="L137" s="221"/>
      <c r="M137" s="221"/>
      <c r="N137" s="223" t="s">
        <v>228</v>
      </c>
      <c r="O137" s="230" t="s">
        <v>229</v>
      </c>
      <c r="P137" s="224">
        <v>121254460319</v>
      </c>
      <c r="Q137" s="225">
        <v>0.43</v>
      </c>
      <c r="R137" s="225">
        <v>0.39</v>
      </c>
      <c r="S137" s="225">
        <f t="shared" si="25"/>
        <v>-3.999999999999998E-2</v>
      </c>
      <c r="T137" s="225" t="str" cm="1">
        <f t="array" ref="T137">+_xlfn.IFS($P137&lt;=10000000000,IF(S137&gt;-0.05,"Verde",IF(S137&lt;=-0.1,"Rojo","Amarillo")),$P137&gt;10000000000,IF(S137&gt;-0.03,"Verde",IF(S137&lt;=-0.07,"Rojo","Amarillo")))</f>
        <v>Amarillo</v>
      </c>
      <c r="U137" s="226"/>
      <c r="V137" s="226"/>
      <c r="W137" s="226">
        <v>45542</v>
      </c>
      <c r="X137" s="226">
        <v>46241</v>
      </c>
      <c r="Y137" s="272">
        <v>46241</v>
      </c>
      <c r="Z137" s="225"/>
      <c r="AA137" s="225"/>
      <c r="AB137" s="273"/>
      <c r="AC137" s="272"/>
      <c r="AD137" s="227">
        <v>46241</v>
      </c>
      <c r="AE137" s="221" t="s">
        <v>966</v>
      </c>
      <c r="AF137" s="223" t="s">
        <v>967</v>
      </c>
      <c r="AG137" s="223" t="s">
        <v>968</v>
      </c>
      <c r="AH137" s="223"/>
      <c r="AI137" s="221" t="s">
        <v>962</v>
      </c>
      <c r="AJ137" s="223" t="s">
        <v>336</v>
      </c>
      <c r="AK137" s="223"/>
      <c r="AL137" s="230" t="s">
        <v>846</v>
      </c>
      <c r="AM137" s="231">
        <v>117038433119</v>
      </c>
      <c r="AN137" s="231"/>
      <c r="AO137" s="231">
        <f t="shared" si="31"/>
        <v>117038433119</v>
      </c>
      <c r="AP137" s="231">
        <v>2955000000</v>
      </c>
      <c r="AQ137" s="231"/>
      <c r="AR137" s="231">
        <v>4216027200</v>
      </c>
      <c r="AS137" s="231"/>
      <c r="AT137" s="231">
        <v>4216027200</v>
      </c>
      <c r="AU137" s="231"/>
      <c r="AV137" s="231"/>
      <c r="AW137" s="232"/>
      <c r="AX137" s="232"/>
      <c r="AY137" s="232"/>
      <c r="AZ137" s="232"/>
      <c r="BA137" s="221"/>
      <c r="BB137" s="221"/>
      <c r="BC137" s="233"/>
      <c r="BF137" s="51"/>
    </row>
    <row r="138" spans="1:58" ht="13.5" customHeight="1">
      <c r="A138" s="220">
        <f t="shared" si="24"/>
        <v>137</v>
      </c>
      <c r="B138" s="221" t="s">
        <v>405</v>
      </c>
      <c r="C138" s="221" t="s">
        <v>969</v>
      </c>
      <c r="D138" s="221" t="s">
        <v>365</v>
      </c>
      <c r="E138" s="221" t="s">
        <v>596</v>
      </c>
      <c r="F138" s="221" t="s">
        <v>597</v>
      </c>
      <c r="G138" s="222" t="s">
        <v>970</v>
      </c>
      <c r="H138" s="221" t="s">
        <v>397</v>
      </c>
      <c r="I138" s="221"/>
      <c r="J138" s="221" t="s">
        <v>971</v>
      </c>
      <c r="K138" s="221" t="s">
        <v>972</v>
      </c>
      <c r="L138" s="221"/>
      <c r="M138" s="221"/>
      <c r="N138" s="223" t="s">
        <v>228</v>
      </c>
      <c r="O138" s="230" t="s">
        <v>229</v>
      </c>
      <c r="P138" s="224">
        <v>4160352590</v>
      </c>
      <c r="Q138" s="225">
        <v>0.95</v>
      </c>
      <c r="R138" s="225">
        <v>0.93</v>
      </c>
      <c r="S138" s="225">
        <f t="shared" si="25"/>
        <v>-1.9999999999999907E-2</v>
      </c>
      <c r="T138" s="225" t="str" cm="1">
        <f t="array" ref="T138">+_xlfn.IFS($P138&lt;=10000000000,IF(S138&gt;-0.05,"Verde",IF(S138&lt;=-0.1,"Rojo","Amarillo")),$P138&gt;10000000000,IF(S138&gt;-0.03,"Verde",IF(S138&lt;=-0.07,"Rojo","Amarillo")))</f>
        <v>Verde</v>
      </c>
      <c r="U138" s="226"/>
      <c r="V138" s="226">
        <v>45736</v>
      </c>
      <c r="W138" s="226">
        <v>45736</v>
      </c>
      <c r="X138" s="226">
        <v>45858</v>
      </c>
      <c r="Y138" s="272">
        <v>45950</v>
      </c>
      <c r="Z138" s="225"/>
      <c r="AA138" s="225"/>
      <c r="AB138" s="273"/>
      <c r="AC138" s="272"/>
      <c r="AD138" s="227">
        <v>45950</v>
      </c>
      <c r="AE138" s="221" t="s">
        <v>973</v>
      </c>
      <c r="AF138" s="223" t="s">
        <v>974</v>
      </c>
      <c r="AG138" s="223" t="s">
        <v>975</v>
      </c>
      <c r="AH138" s="223"/>
      <c r="AI138" s="221" t="s">
        <v>969</v>
      </c>
      <c r="AJ138" s="223" t="s">
        <v>336</v>
      </c>
      <c r="AK138" s="223"/>
      <c r="AL138" s="230" t="s">
        <v>846</v>
      </c>
      <c r="AM138" s="231">
        <v>3816299790</v>
      </c>
      <c r="AN138" s="231"/>
      <c r="AO138" s="231">
        <f t="shared" si="31"/>
        <v>3816299790</v>
      </c>
      <c r="AP138" s="231">
        <v>1941049640.25</v>
      </c>
      <c r="AQ138" s="231"/>
      <c r="AR138" s="231">
        <v>344052800</v>
      </c>
      <c r="AS138" s="231"/>
      <c r="AT138" s="231">
        <v>344052800</v>
      </c>
      <c r="AU138" s="231"/>
      <c r="AV138" s="231"/>
      <c r="AW138" s="232"/>
      <c r="AX138" s="232"/>
      <c r="AY138" s="232"/>
      <c r="AZ138" s="232"/>
      <c r="BA138" s="221"/>
      <c r="BB138" s="221" t="s">
        <v>2434</v>
      </c>
      <c r="BC138" s="233"/>
      <c r="BF138" s="51"/>
    </row>
    <row r="139" spans="1:58" ht="13.5" customHeight="1">
      <c r="A139" s="220">
        <f t="shared" si="24"/>
        <v>138</v>
      </c>
      <c r="B139" s="221" t="s">
        <v>976</v>
      </c>
      <c r="C139" s="221" t="s">
        <v>977</v>
      </c>
      <c r="D139" s="221" t="s">
        <v>118</v>
      </c>
      <c r="E139" s="221" t="s">
        <v>119</v>
      </c>
      <c r="F139" s="221" t="s">
        <v>391</v>
      </c>
      <c r="G139" s="222" t="s">
        <v>978</v>
      </c>
      <c r="H139" s="221" t="s">
        <v>122</v>
      </c>
      <c r="I139" s="221" t="s">
        <v>979</v>
      </c>
      <c r="J139" s="221" t="s">
        <v>980</v>
      </c>
      <c r="K139" s="221" t="s">
        <v>981</v>
      </c>
      <c r="L139" s="221">
        <v>-74.783333333333303</v>
      </c>
      <c r="M139" s="221">
        <v>10.9421111111111</v>
      </c>
      <c r="N139" s="223" t="s">
        <v>126</v>
      </c>
      <c r="O139" s="230" t="s">
        <v>127</v>
      </c>
      <c r="P139" s="224">
        <f t="shared" ref="P139:P144" si="32">AO139+AT139</f>
        <v>153676963328</v>
      </c>
      <c r="Q139" s="225">
        <v>1</v>
      </c>
      <c r="R139" s="225">
        <v>1</v>
      </c>
      <c r="S139" s="225">
        <f t="shared" si="25"/>
        <v>0</v>
      </c>
      <c r="T139" s="225" t="str" cm="1">
        <f t="array" ref="T139">+_xlfn.IFS($P139&lt;=10000000000,IF(S139&gt;-0.05,"Verde",IF(S139&lt;=-0.1,"Rojo","Amarillo")),$P139&gt;10000000000,IF(S139&gt;-0.03,"Verde",IF(S139&lt;=-0.07,"Rojo","Amarillo")))</f>
        <v>Verde</v>
      </c>
      <c r="U139" s="226"/>
      <c r="V139" s="226" t="s">
        <v>982</v>
      </c>
      <c r="W139" s="226">
        <v>43341</v>
      </c>
      <c r="X139" s="226">
        <v>43465</v>
      </c>
      <c r="Y139" s="337">
        <v>45351</v>
      </c>
      <c r="Z139" s="225" t="str">
        <f t="shared" ref="Z139:Z181" ca="1" si="33">+IF(AND(O139="En_Ejecución",OR(T139="Rojo",T139="Amarillo")),IF(($Y139-(TODAY())&lt;15),"Rojo",IF(($Y139-TODAY())&gt;=45,"Verde","Amarillo")),O139)</f>
        <v>Terminado</v>
      </c>
      <c r="AA139" s="225" t="str">
        <f t="shared" ref="AA139:AA181" ca="1" si="34">+IF(AND(Z139="Amarillo",T139="Rojo"),"En_Seguimiento",IF(AND(Z139="Rojo",T139="Amarillo"),"En_Seguimiento",IF(AND(Z139="Rojo",T139="Rojo"),"En_Seguimiento",IF(AND(Z139="Suspendido",T139="Amarillo"),"En_Seguimiento",IF(AND(Z139="Suspendido",T139="Rojo"),"En_Seguimiento","-")))))</f>
        <v>-</v>
      </c>
      <c r="AB139" s="273"/>
      <c r="AC139" s="272"/>
      <c r="AD139" s="227">
        <v>45473</v>
      </c>
      <c r="AE139" s="221" t="s">
        <v>983</v>
      </c>
      <c r="AF139" s="223" t="s">
        <v>984</v>
      </c>
      <c r="AG139" s="223" t="s">
        <v>985</v>
      </c>
      <c r="AH139" s="223" t="s">
        <v>986</v>
      </c>
      <c r="AI139" s="221" t="s">
        <v>987</v>
      </c>
      <c r="AJ139" s="223" t="s">
        <v>988</v>
      </c>
      <c r="AK139" s="223" t="s">
        <v>989</v>
      </c>
      <c r="AL139" s="230" t="s">
        <v>990</v>
      </c>
      <c r="AM139" s="231">
        <v>91060617044</v>
      </c>
      <c r="AN139" s="231">
        <v>46725078849</v>
      </c>
      <c r="AO139" s="231">
        <f t="shared" si="31"/>
        <v>137785695893</v>
      </c>
      <c r="AP139" s="231">
        <v>124460811254</v>
      </c>
      <c r="AQ139" s="231">
        <v>124215276460</v>
      </c>
      <c r="AR139" s="231">
        <v>4112642380</v>
      </c>
      <c r="AS139" s="231">
        <v>11778625055</v>
      </c>
      <c r="AT139" s="231">
        <f t="shared" ref="AT139:AT144" si="35">AR139+AS139</f>
        <v>15891267435</v>
      </c>
      <c r="AU139" s="231">
        <v>15783305083.6</v>
      </c>
      <c r="AV139" s="231">
        <v>14569655074.6</v>
      </c>
      <c r="AW139" s="232"/>
      <c r="AX139" s="232"/>
      <c r="AY139" s="232"/>
      <c r="AZ139" s="232"/>
      <c r="BA139" s="221" t="s">
        <v>991</v>
      </c>
      <c r="BB139" s="221" t="s">
        <v>992</v>
      </c>
      <c r="BC139" s="233" t="s">
        <v>364</v>
      </c>
      <c r="BF139" s="51"/>
    </row>
    <row r="140" spans="1:58" ht="13.5" customHeight="1">
      <c r="A140" s="220">
        <f t="shared" si="24"/>
        <v>139</v>
      </c>
      <c r="B140" s="221" t="s">
        <v>976</v>
      </c>
      <c r="C140" s="221" t="s">
        <v>977</v>
      </c>
      <c r="D140" s="221" t="s">
        <v>118</v>
      </c>
      <c r="E140" s="221" t="s">
        <v>119</v>
      </c>
      <c r="F140" s="221" t="s">
        <v>391</v>
      </c>
      <c r="G140" s="222" t="s">
        <v>993</v>
      </c>
      <c r="H140" s="221" t="s">
        <v>122</v>
      </c>
      <c r="I140" s="221" t="s">
        <v>994</v>
      </c>
      <c r="J140" s="221" t="s">
        <v>995</v>
      </c>
      <c r="K140" s="221" t="s">
        <v>996</v>
      </c>
      <c r="L140" s="221">
        <v>-74.836027777777801</v>
      </c>
      <c r="M140" s="221">
        <v>10.978388888888899</v>
      </c>
      <c r="N140" s="223" t="s">
        <v>126</v>
      </c>
      <c r="O140" s="230" t="s">
        <v>127</v>
      </c>
      <c r="P140" s="224">
        <f t="shared" si="32"/>
        <v>108999113607</v>
      </c>
      <c r="Q140" s="225">
        <v>0.96</v>
      </c>
      <c r="R140" s="225">
        <v>0.89</v>
      </c>
      <c r="S140" s="225">
        <f t="shared" si="25"/>
        <v>-6.9999999999999951E-2</v>
      </c>
      <c r="T140" s="225" t="str" cm="1">
        <f t="array" ref="T140">+_xlfn.IFS($P140&lt;=10000000000,IF(S140&gt;-0.05,"Verde",IF(S140&lt;=-0.1,"Rojo","Amarillo")),$P140&gt;10000000000,IF(S140&gt;-0.03,"Verde",IF(S140&lt;=-0.07,"Rojo","Amarillo")))</f>
        <v>Rojo</v>
      </c>
      <c r="U140" s="226"/>
      <c r="V140" s="226" t="s">
        <v>997</v>
      </c>
      <c r="W140" s="226">
        <v>43215</v>
      </c>
      <c r="X140" s="226">
        <v>43465</v>
      </c>
      <c r="Y140" s="337">
        <v>45777</v>
      </c>
      <c r="Z140" s="225" t="str">
        <f ca="1">+IF(AND(O140="En_Ejecución",OR(T140="Rojo",T140="Amarillo")),IF(($Y140-(TODAY())&lt;15),"Rojo",IF(($Y140-TODAY())&gt;=45,"Verde","Amarillo")),O140)</f>
        <v>Terminado</v>
      </c>
      <c r="AA140" s="225" t="str">
        <f t="shared" ca="1" si="34"/>
        <v>-</v>
      </c>
      <c r="AB140" s="273"/>
      <c r="AC140" s="272"/>
      <c r="AD140" s="227">
        <v>45657</v>
      </c>
      <c r="AE140" s="221" t="s">
        <v>998</v>
      </c>
      <c r="AF140" s="223" t="s">
        <v>999</v>
      </c>
      <c r="AG140" s="223" t="s">
        <v>1000</v>
      </c>
      <c r="AH140" s="223" t="s">
        <v>1001</v>
      </c>
      <c r="AI140" s="221" t="s">
        <v>1002</v>
      </c>
      <c r="AJ140" s="223" t="s">
        <v>1003</v>
      </c>
      <c r="AK140" s="223" t="s">
        <v>1004</v>
      </c>
      <c r="AL140" s="230" t="s">
        <v>1005</v>
      </c>
      <c r="AM140" s="231">
        <v>60278012703</v>
      </c>
      <c r="AN140" s="231">
        <v>42310136793</v>
      </c>
      <c r="AO140" s="231">
        <f t="shared" si="31"/>
        <v>102588149496</v>
      </c>
      <c r="AP140" s="231">
        <v>102588149496</v>
      </c>
      <c r="AQ140" s="231">
        <v>102588149496</v>
      </c>
      <c r="AR140" s="231">
        <v>2720010013</v>
      </c>
      <c r="AS140" s="231">
        <v>3690954098</v>
      </c>
      <c r="AT140" s="231">
        <f t="shared" si="35"/>
        <v>6410964111</v>
      </c>
      <c r="AU140" s="231">
        <v>5267966682</v>
      </c>
      <c r="AV140" s="231">
        <v>4378242491</v>
      </c>
      <c r="AW140" s="232"/>
      <c r="AX140" s="232"/>
      <c r="AY140" s="232"/>
      <c r="AZ140" s="232"/>
      <c r="BA140" s="221" t="s">
        <v>1006</v>
      </c>
      <c r="BB140" s="221" t="s">
        <v>1007</v>
      </c>
      <c r="BC140" s="233" t="s">
        <v>364</v>
      </c>
      <c r="BF140" s="51"/>
    </row>
    <row r="141" spans="1:58" ht="13.5" customHeight="1">
      <c r="A141" s="220">
        <f t="shared" si="24"/>
        <v>140</v>
      </c>
      <c r="B141" s="221" t="s">
        <v>976</v>
      </c>
      <c r="C141" s="221" t="s">
        <v>977</v>
      </c>
      <c r="D141" s="221" t="s">
        <v>118</v>
      </c>
      <c r="E141" s="221" t="s">
        <v>119</v>
      </c>
      <c r="F141" s="221" t="s">
        <v>391</v>
      </c>
      <c r="G141" s="222" t="s">
        <v>1008</v>
      </c>
      <c r="H141" s="221" t="s">
        <v>122</v>
      </c>
      <c r="I141" s="221" t="s">
        <v>1009</v>
      </c>
      <c r="J141" s="221" t="s">
        <v>1010</v>
      </c>
      <c r="K141" s="221" t="s">
        <v>1011</v>
      </c>
      <c r="L141" s="221">
        <v>-74.827805555555599</v>
      </c>
      <c r="M141" s="221">
        <v>10.944000000000001</v>
      </c>
      <c r="N141" s="223" t="s">
        <v>126</v>
      </c>
      <c r="O141" s="230" t="s">
        <v>127</v>
      </c>
      <c r="P141" s="224">
        <f t="shared" si="32"/>
        <v>156618141815</v>
      </c>
      <c r="Q141" s="225">
        <v>0.90080000000000005</v>
      </c>
      <c r="R141" s="225">
        <v>0.88</v>
      </c>
      <c r="S141" s="225">
        <f t="shared" si="25"/>
        <v>-2.0800000000000041E-2</v>
      </c>
      <c r="T141" s="225" t="str" cm="1">
        <f t="array" ref="T141">+_xlfn.IFS($P141&lt;=10000000000,IF(S141&gt;-0.05,"Verde",IF(S141&lt;=-0.1,"Rojo","Amarillo")),$P141&gt;10000000000,IF(S141&gt;-0.03,"Verde",IF(S141&lt;=-0.07,"Rojo","Amarillo")))</f>
        <v>Verde</v>
      </c>
      <c r="U141" s="226"/>
      <c r="V141" s="226" t="s">
        <v>1012</v>
      </c>
      <c r="W141" s="226">
        <v>43213</v>
      </c>
      <c r="X141" s="226">
        <v>43465</v>
      </c>
      <c r="Y141" s="337">
        <v>45777</v>
      </c>
      <c r="Z141" s="225" t="str">
        <f t="shared" ca="1" si="33"/>
        <v>Terminado</v>
      </c>
      <c r="AA141" s="225" t="str">
        <f t="shared" ca="1" si="34"/>
        <v>-</v>
      </c>
      <c r="AB141" s="273"/>
      <c r="AC141" s="272"/>
      <c r="AD141" s="227">
        <v>45503</v>
      </c>
      <c r="AE141" s="221" t="s">
        <v>1013</v>
      </c>
      <c r="AF141" s="223" t="s">
        <v>1014</v>
      </c>
      <c r="AG141" s="223" t="s">
        <v>985</v>
      </c>
      <c r="AH141" s="223" t="s">
        <v>986</v>
      </c>
      <c r="AI141" s="221" t="s">
        <v>1015</v>
      </c>
      <c r="AJ141" s="223" t="s">
        <v>336</v>
      </c>
      <c r="AK141" s="223" t="s">
        <v>1016</v>
      </c>
      <c r="AL141" s="230" t="s">
        <v>1017</v>
      </c>
      <c r="AM141" s="231">
        <v>90509645936</v>
      </c>
      <c r="AN141" s="231">
        <v>61426915616</v>
      </c>
      <c r="AO141" s="231">
        <f t="shared" si="31"/>
        <v>151936561552</v>
      </c>
      <c r="AP141" s="231">
        <v>146459204484</v>
      </c>
      <c r="AQ141" s="231">
        <v>146003957524</v>
      </c>
      <c r="AR141" s="231">
        <v>1835997344</v>
      </c>
      <c r="AS141" s="231">
        <v>2845582919</v>
      </c>
      <c r="AT141" s="231">
        <f t="shared" si="35"/>
        <v>4681580263</v>
      </c>
      <c r="AU141" s="231">
        <v>4381834767</v>
      </c>
      <c r="AV141" s="231">
        <v>4173896855</v>
      </c>
      <c r="AW141" s="232"/>
      <c r="AX141" s="232"/>
      <c r="AY141" s="232"/>
      <c r="AZ141" s="232"/>
      <c r="BA141" s="221" t="s">
        <v>1018</v>
      </c>
      <c r="BB141" s="221" t="s">
        <v>1019</v>
      </c>
      <c r="BC141" s="233" t="s">
        <v>364</v>
      </c>
      <c r="BF141" s="51"/>
    </row>
    <row r="142" spans="1:58" ht="13.5" customHeight="1">
      <c r="A142" s="220">
        <f t="shared" si="24"/>
        <v>141</v>
      </c>
      <c r="B142" s="221" t="s">
        <v>976</v>
      </c>
      <c r="C142" s="221">
        <v>12016001622</v>
      </c>
      <c r="D142" s="221" t="s">
        <v>407</v>
      </c>
      <c r="E142" s="221" t="s">
        <v>963</v>
      </c>
      <c r="F142" s="221" t="s">
        <v>964</v>
      </c>
      <c r="G142" s="222" t="s">
        <v>1020</v>
      </c>
      <c r="H142" s="221" t="s">
        <v>582</v>
      </c>
      <c r="I142" s="221" t="s">
        <v>1021</v>
      </c>
      <c r="J142" s="221" t="s">
        <v>1022</v>
      </c>
      <c r="K142" s="221" t="s">
        <v>1023</v>
      </c>
      <c r="L142" s="221">
        <v>-74.796861111111099</v>
      </c>
      <c r="M142" s="221">
        <v>10.9649444444444</v>
      </c>
      <c r="N142" s="223" t="s">
        <v>228</v>
      </c>
      <c r="O142" s="230" t="s">
        <v>534</v>
      </c>
      <c r="P142" s="224">
        <f t="shared" si="32"/>
        <v>170704825174.69998</v>
      </c>
      <c r="Q142" s="225">
        <v>1</v>
      </c>
      <c r="R142" s="225">
        <v>0.99</v>
      </c>
      <c r="S142" s="225">
        <f t="shared" si="25"/>
        <v>-1.0000000000000009E-2</v>
      </c>
      <c r="T142" s="225" t="str" cm="1">
        <f t="array" ref="T142">+_xlfn.IFS($P142&lt;=10000000000,IF(S142&gt;-0.05,"Verde",IF(S142&lt;=-0.1,"Rojo","Amarillo")),$P142&gt;10000000000,IF(S142&gt;-0.03,"Verde",IF(S142&lt;=-0.07,"Rojo","Amarillo")))</f>
        <v>Verde</v>
      </c>
      <c r="U142" s="226"/>
      <c r="V142" s="226" t="s">
        <v>1024</v>
      </c>
      <c r="W142" s="226">
        <v>42695</v>
      </c>
      <c r="X142" s="226">
        <v>44333</v>
      </c>
      <c r="Y142" s="337">
        <v>44411</v>
      </c>
      <c r="Z142" s="225" t="str">
        <f t="shared" ca="1" si="33"/>
        <v>Suspendido</v>
      </c>
      <c r="AA142" s="225" t="str">
        <f t="shared" ca="1" si="34"/>
        <v>-</v>
      </c>
      <c r="AB142" s="273"/>
      <c r="AC142" s="272"/>
      <c r="AD142" s="227">
        <v>0</v>
      </c>
      <c r="AE142" s="221" t="s">
        <v>1025</v>
      </c>
      <c r="AF142" s="223" t="s">
        <v>1026</v>
      </c>
      <c r="AG142" s="223" t="s">
        <v>1027</v>
      </c>
      <c r="AH142" s="223" t="s">
        <v>1028</v>
      </c>
      <c r="AI142" s="221" t="s">
        <v>1029</v>
      </c>
      <c r="AJ142" s="223" t="s">
        <v>1030</v>
      </c>
      <c r="AK142" s="223" t="s">
        <v>1031</v>
      </c>
      <c r="AL142" s="230" t="s">
        <v>1032</v>
      </c>
      <c r="AM142" s="231">
        <v>124700881244.69</v>
      </c>
      <c r="AN142" s="231">
        <v>39170128141.43</v>
      </c>
      <c r="AO142" s="231">
        <f t="shared" si="31"/>
        <v>163871009386.12</v>
      </c>
      <c r="AP142" s="231">
        <v>162776763028.04999</v>
      </c>
      <c r="AQ142" s="231">
        <v>167877481517.42001</v>
      </c>
      <c r="AR142" s="231">
        <v>5614556582.6000004</v>
      </c>
      <c r="AS142" s="231">
        <v>1219259205.98</v>
      </c>
      <c r="AT142" s="231">
        <f t="shared" si="35"/>
        <v>6833815788.5799999</v>
      </c>
      <c r="AU142" s="231">
        <v>6833815783</v>
      </c>
      <c r="AV142" s="231">
        <v>6666763034</v>
      </c>
      <c r="AW142" s="232" t="s">
        <v>1033</v>
      </c>
      <c r="AX142" s="232"/>
      <c r="AY142" s="232"/>
      <c r="AZ142" s="232"/>
      <c r="BA142" s="221" t="s">
        <v>1034</v>
      </c>
      <c r="BB142" s="221" t="s">
        <v>1035</v>
      </c>
      <c r="BC142" s="233" t="s">
        <v>128</v>
      </c>
      <c r="BF142" s="51"/>
    </row>
    <row r="143" spans="1:58" ht="13.5" customHeight="1">
      <c r="A143" s="220">
        <f t="shared" si="24"/>
        <v>142</v>
      </c>
      <c r="B143" s="221" t="s">
        <v>976</v>
      </c>
      <c r="C143" s="221">
        <v>12016001622</v>
      </c>
      <c r="D143" s="221" t="s">
        <v>407</v>
      </c>
      <c r="E143" s="221" t="s">
        <v>963</v>
      </c>
      <c r="F143" s="221" t="s">
        <v>964</v>
      </c>
      <c r="G143" s="222" t="s">
        <v>1036</v>
      </c>
      <c r="H143" s="221" t="s">
        <v>397</v>
      </c>
      <c r="I143" s="221" t="s">
        <v>1037</v>
      </c>
      <c r="J143" s="221" t="s">
        <v>1038</v>
      </c>
      <c r="K143" s="221" t="s">
        <v>1039</v>
      </c>
      <c r="L143" s="221">
        <v>-74.792583333333297</v>
      </c>
      <c r="M143" s="221">
        <v>10.9940833333333</v>
      </c>
      <c r="N143" s="223" t="s">
        <v>126</v>
      </c>
      <c r="O143" s="230" t="s">
        <v>127</v>
      </c>
      <c r="P143" s="224">
        <f t="shared" si="32"/>
        <v>117933429834</v>
      </c>
      <c r="Q143" s="225">
        <v>1</v>
      </c>
      <c r="R143" s="225">
        <v>0.99</v>
      </c>
      <c r="S143" s="225">
        <f t="shared" si="25"/>
        <v>-1.0000000000000009E-2</v>
      </c>
      <c r="T143" s="225" t="str" cm="1">
        <f t="array" ref="T143">+_xlfn.IFS($P143&lt;=10000000000,IF(S143&gt;-0.05,"Verde",IF(S143&lt;=-0.1,"Rojo","Amarillo")),$P143&gt;10000000000,IF(S143&gt;-0.03,"Verde",IF(S143&lt;=-0.07,"Rojo","Amarillo")))</f>
        <v>Verde</v>
      </c>
      <c r="U143" s="226"/>
      <c r="V143" s="226" t="s">
        <v>1040</v>
      </c>
      <c r="W143" s="226">
        <v>42800</v>
      </c>
      <c r="X143" s="226">
        <v>43286</v>
      </c>
      <c r="Y143" s="337">
        <v>45787</v>
      </c>
      <c r="Z143" s="225" t="str">
        <f t="shared" ca="1" si="33"/>
        <v>Terminado</v>
      </c>
      <c r="AA143" s="225" t="str">
        <f t="shared" ca="1" si="34"/>
        <v>-</v>
      </c>
      <c r="AB143" s="273"/>
      <c r="AC143" s="272"/>
      <c r="AD143" s="227">
        <v>0</v>
      </c>
      <c r="AE143" s="221" t="s">
        <v>1041</v>
      </c>
      <c r="AF143" s="223" t="s">
        <v>1042</v>
      </c>
      <c r="AG143" s="223" t="s">
        <v>1043</v>
      </c>
      <c r="AH143" s="223" t="s">
        <v>1044</v>
      </c>
      <c r="AI143" s="221" t="s">
        <v>1045</v>
      </c>
      <c r="AJ143" s="223" t="s">
        <v>1046</v>
      </c>
      <c r="AK143" s="223" t="s">
        <v>1047</v>
      </c>
      <c r="AL143" s="230" t="s">
        <v>1048</v>
      </c>
      <c r="AM143" s="231">
        <v>87355066338</v>
      </c>
      <c r="AN143" s="231">
        <v>25337398996</v>
      </c>
      <c r="AO143" s="231">
        <f t="shared" si="31"/>
        <v>112692465334</v>
      </c>
      <c r="AP143" s="231">
        <v>110069716016</v>
      </c>
      <c r="AQ143" s="231">
        <v>108420214452</v>
      </c>
      <c r="AR143" s="231">
        <v>3930695496</v>
      </c>
      <c r="AS143" s="231">
        <v>1310269004</v>
      </c>
      <c r="AT143" s="231">
        <f t="shared" si="35"/>
        <v>5240964500</v>
      </c>
      <c r="AU143" s="231">
        <v>5036040607</v>
      </c>
      <c r="AV143" s="231">
        <v>4856406128</v>
      </c>
      <c r="AW143" s="232" t="s">
        <v>1049</v>
      </c>
      <c r="AX143" s="232"/>
      <c r="AY143" s="232"/>
      <c r="AZ143" s="232"/>
      <c r="BA143" s="221" t="s">
        <v>1050</v>
      </c>
      <c r="BB143" s="221" t="s">
        <v>1051</v>
      </c>
      <c r="BC143" s="233" t="s">
        <v>128</v>
      </c>
      <c r="BF143" s="51"/>
    </row>
    <row r="144" spans="1:58" ht="13.5" customHeight="1">
      <c r="A144" s="220">
        <f t="shared" si="24"/>
        <v>143</v>
      </c>
      <c r="B144" s="221" t="s">
        <v>976</v>
      </c>
      <c r="C144" s="221">
        <v>12016001622</v>
      </c>
      <c r="D144" s="221" t="s">
        <v>407</v>
      </c>
      <c r="E144" s="221" t="s">
        <v>963</v>
      </c>
      <c r="F144" s="221" t="s">
        <v>964</v>
      </c>
      <c r="G144" s="222" t="s">
        <v>1052</v>
      </c>
      <c r="H144" s="221" t="s">
        <v>122</v>
      </c>
      <c r="I144" s="221" t="s">
        <v>1053</v>
      </c>
      <c r="J144" s="221" t="s">
        <v>1054</v>
      </c>
      <c r="K144" s="221" t="s">
        <v>1055</v>
      </c>
      <c r="L144" s="221">
        <v>-74.790638888888907</v>
      </c>
      <c r="M144" s="221">
        <v>10.984083333333301</v>
      </c>
      <c r="N144" s="223" t="s">
        <v>228</v>
      </c>
      <c r="O144" s="230" t="s">
        <v>534</v>
      </c>
      <c r="P144" s="224">
        <f t="shared" si="32"/>
        <v>201849730042</v>
      </c>
      <c r="Q144" s="225">
        <v>0.98</v>
      </c>
      <c r="R144" s="225">
        <v>0.96220000000000006</v>
      </c>
      <c r="S144" s="225">
        <f t="shared" si="25"/>
        <v>-1.7799999999999927E-2</v>
      </c>
      <c r="T144" s="225" t="str" cm="1">
        <f t="array" ref="T144">+_xlfn.IFS($P144&lt;=10000000000,IF(S144&gt;-0.05,"Verde",IF(S144&lt;=-0.1,"Rojo","Amarillo")),$P144&gt;10000000000,IF(S144&gt;-0.03,"Verde",IF(S144&lt;=-0.07,"Rojo","Amarillo")))</f>
        <v>Verde</v>
      </c>
      <c r="U144" s="226"/>
      <c r="V144" s="226" t="s">
        <v>1056</v>
      </c>
      <c r="W144" s="226">
        <v>42751</v>
      </c>
      <c r="X144" s="226">
        <v>43235</v>
      </c>
      <c r="Y144" s="337">
        <v>44911</v>
      </c>
      <c r="Z144" s="225" t="str">
        <f t="shared" ca="1" si="33"/>
        <v>Suspendido</v>
      </c>
      <c r="AA144" s="225" t="str">
        <f t="shared" ca="1" si="34"/>
        <v>-</v>
      </c>
      <c r="AB144" s="273"/>
      <c r="AC144" s="272"/>
      <c r="AD144" s="227">
        <v>0</v>
      </c>
      <c r="AE144" s="221" t="s">
        <v>1057</v>
      </c>
      <c r="AF144" s="223" t="s">
        <v>1058</v>
      </c>
      <c r="AG144" s="223" t="s">
        <v>1059</v>
      </c>
      <c r="AH144" s="223" t="s">
        <v>1060</v>
      </c>
      <c r="AI144" s="221" t="s">
        <v>1061</v>
      </c>
      <c r="AJ144" s="223" t="s">
        <v>336</v>
      </c>
      <c r="AK144" s="223" t="s">
        <v>1016</v>
      </c>
      <c r="AL144" s="230" t="s">
        <v>1017</v>
      </c>
      <c r="AM144" s="231">
        <v>123004386348</v>
      </c>
      <c r="AN144" s="231">
        <v>75294373694</v>
      </c>
      <c r="AO144" s="231">
        <f t="shared" si="31"/>
        <v>198298760042</v>
      </c>
      <c r="AP144" s="231">
        <v>190796795624.47</v>
      </c>
      <c r="AQ144" s="231">
        <v>184751315764</v>
      </c>
      <c r="AR144" s="231">
        <v>3000000000</v>
      </c>
      <c r="AS144" s="231">
        <v>550970000</v>
      </c>
      <c r="AT144" s="231">
        <f t="shared" si="35"/>
        <v>3550970000</v>
      </c>
      <c r="AU144" s="231">
        <v>2920132061</v>
      </c>
      <c r="AV144" s="231">
        <v>2920132061</v>
      </c>
      <c r="AW144" s="232" t="s">
        <v>1062</v>
      </c>
      <c r="AX144" s="232"/>
      <c r="AY144" s="232"/>
      <c r="AZ144" s="232"/>
      <c r="BA144" s="221" t="s">
        <v>1034</v>
      </c>
      <c r="BB144" s="221" t="s">
        <v>1035</v>
      </c>
      <c r="BC144" s="233" t="s">
        <v>128</v>
      </c>
      <c r="BF144" s="51"/>
    </row>
    <row r="145" spans="1:58" ht="13.5" customHeight="1">
      <c r="A145" s="220">
        <f t="shared" si="24"/>
        <v>144</v>
      </c>
      <c r="B145" s="221" t="s">
        <v>976</v>
      </c>
      <c r="C145" s="221" t="s">
        <v>25</v>
      </c>
      <c r="D145" s="221" t="s">
        <v>118</v>
      </c>
      <c r="E145" s="221" t="s">
        <v>596</v>
      </c>
      <c r="F145" s="221" t="s">
        <v>1063</v>
      </c>
      <c r="G145" s="222" t="s">
        <v>1064</v>
      </c>
      <c r="H145" s="221" t="s">
        <v>154</v>
      </c>
      <c r="I145" s="221" t="s">
        <v>1065</v>
      </c>
      <c r="J145" s="221" t="s">
        <v>1066</v>
      </c>
      <c r="K145" s="221" t="s">
        <v>1067</v>
      </c>
      <c r="L145" s="221">
        <v>-74.831412036224194</v>
      </c>
      <c r="M145" s="221">
        <v>10.9815382506132</v>
      </c>
      <c r="N145" s="223" t="s">
        <v>126</v>
      </c>
      <c r="O145" s="230" t="s">
        <v>372</v>
      </c>
      <c r="P145" s="224">
        <v>4872721651.1999998</v>
      </c>
      <c r="Q145" s="225">
        <v>1</v>
      </c>
      <c r="R145" s="225">
        <v>1</v>
      </c>
      <c r="S145" s="225">
        <f t="shared" si="25"/>
        <v>0</v>
      </c>
      <c r="T145" s="225" t="str" cm="1">
        <f t="array" ref="T145">+_xlfn.IFS($P145&lt;=10000000000,IF(S145&gt;-0.05,"Verde",IF(S145&lt;=-0.1,"Rojo","Amarillo")),$P145&gt;10000000000,IF(S145&gt;-0.03,"Verde",IF(S145&lt;=-0.07,"Rojo","Amarillo")))</f>
        <v>Verde</v>
      </c>
      <c r="U145" s="226"/>
      <c r="V145" s="226"/>
      <c r="W145" s="226">
        <v>43164</v>
      </c>
      <c r="X145" s="226">
        <v>44004</v>
      </c>
      <c r="Y145" s="272">
        <v>45473</v>
      </c>
      <c r="Z145" s="225" t="str">
        <f t="shared" ca="1" si="33"/>
        <v>Entregado</v>
      </c>
      <c r="AA145" s="225" t="str">
        <f t="shared" ca="1" si="34"/>
        <v>-</v>
      </c>
      <c r="AB145" s="273"/>
      <c r="AC145" s="272"/>
      <c r="AD145" s="227">
        <v>45473</v>
      </c>
      <c r="AE145" s="221" t="s">
        <v>1068</v>
      </c>
      <c r="AF145" s="223" t="s">
        <v>1069</v>
      </c>
      <c r="AG145" s="223" t="s">
        <v>1070</v>
      </c>
      <c r="AH145" s="223" t="s">
        <v>1071</v>
      </c>
      <c r="AI145" s="221" t="s">
        <v>1072</v>
      </c>
      <c r="AJ145" s="223" t="s">
        <v>336</v>
      </c>
      <c r="AK145" s="223" t="s">
        <v>25</v>
      </c>
      <c r="AL145" s="230" t="s">
        <v>1073</v>
      </c>
      <c r="AM145" s="231">
        <v>56978814090.900002</v>
      </c>
      <c r="AN145" s="231">
        <v>29998375894.5</v>
      </c>
      <c r="AO145" s="231">
        <f t="shared" si="31"/>
        <v>86977189985.399994</v>
      </c>
      <c r="AP145" s="231">
        <v>82621834145.399994</v>
      </c>
      <c r="AQ145" s="231">
        <v>80247799743.710007</v>
      </c>
      <c r="AR145" s="231">
        <v>2000000000</v>
      </c>
      <c r="AS145" s="231">
        <v>1300000000</v>
      </c>
      <c r="AT145" s="231">
        <v>3300000000</v>
      </c>
      <c r="AU145" s="231">
        <v>3300000000</v>
      </c>
      <c r="AV145" s="231">
        <v>696926850</v>
      </c>
      <c r="AW145" s="232">
        <v>25300</v>
      </c>
      <c r="AX145" s="232"/>
      <c r="AY145" s="232"/>
      <c r="AZ145" s="232"/>
      <c r="BA145" s="221" t="s">
        <v>1074</v>
      </c>
      <c r="BB145" s="221" t="s">
        <v>1075</v>
      </c>
      <c r="BC145" s="233" t="s">
        <v>364</v>
      </c>
      <c r="BF145" s="51"/>
    </row>
    <row r="146" spans="1:58" ht="13.5" customHeight="1">
      <c r="A146" s="220">
        <f t="shared" si="24"/>
        <v>145</v>
      </c>
      <c r="B146" s="221" t="s">
        <v>976</v>
      </c>
      <c r="C146" s="221" t="s">
        <v>25</v>
      </c>
      <c r="D146" s="221" t="s">
        <v>118</v>
      </c>
      <c r="E146" s="221" t="s">
        <v>596</v>
      </c>
      <c r="F146" s="221" t="s">
        <v>1063</v>
      </c>
      <c r="G146" s="222" t="s">
        <v>1076</v>
      </c>
      <c r="H146" s="221" t="s">
        <v>163</v>
      </c>
      <c r="I146" s="221" t="s">
        <v>918</v>
      </c>
      <c r="J146" s="221" t="s">
        <v>1077</v>
      </c>
      <c r="K146" s="221" t="s">
        <v>1078</v>
      </c>
      <c r="L146" s="221">
        <v>-74.8051416666667</v>
      </c>
      <c r="M146" s="221">
        <v>10.9305972222222</v>
      </c>
      <c r="N146" s="223" t="s">
        <v>126</v>
      </c>
      <c r="O146" s="230" t="s">
        <v>372</v>
      </c>
      <c r="P146" s="224">
        <v>958944721.79999995</v>
      </c>
      <c r="Q146" s="225">
        <v>1</v>
      </c>
      <c r="R146" s="225">
        <v>1</v>
      </c>
      <c r="S146" s="225">
        <f t="shared" si="25"/>
        <v>0</v>
      </c>
      <c r="T146" s="225" t="str" cm="1">
        <f t="array" ref="T146">+_xlfn.IFS($P146&lt;=10000000000,IF(S146&gt;-0.05,"Verde",IF(S146&lt;=-0.1,"Rojo","Amarillo")),$P146&gt;10000000000,IF(S146&gt;-0.03,"Verde",IF(S146&lt;=-0.07,"Rojo","Amarillo")))</f>
        <v>Verde</v>
      </c>
      <c r="U146" s="226"/>
      <c r="V146" s="226"/>
      <c r="W146" s="226">
        <v>43164</v>
      </c>
      <c r="X146" s="226">
        <v>44004</v>
      </c>
      <c r="Y146" s="272">
        <v>45345</v>
      </c>
      <c r="Z146" s="225" t="str">
        <f t="shared" ca="1" si="33"/>
        <v>Entregado</v>
      </c>
      <c r="AA146" s="225" t="str">
        <f t="shared" ca="1" si="34"/>
        <v>-</v>
      </c>
      <c r="AB146" s="273"/>
      <c r="AC146" s="272"/>
      <c r="AD146" s="227">
        <v>45345</v>
      </c>
      <c r="AE146" s="221" t="s">
        <v>1068</v>
      </c>
      <c r="AF146" s="223" t="s">
        <v>1069</v>
      </c>
      <c r="AG146" s="223" t="s">
        <v>1070</v>
      </c>
      <c r="AH146" s="223" t="s">
        <v>1071</v>
      </c>
      <c r="AI146" s="221" t="s">
        <v>1072</v>
      </c>
      <c r="AJ146" s="223" t="s">
        <v>336</v>
      </c>
      <c r="AK146" s="223" t="s">
        <v>25</v>
      </c>
      <c r="AL146" s="230" t="s">
        <v>1073</v>
      </c>
      <c r="AM146" s="231">
        <v>56978814090.900002</v>
      </c>
      <c r="AN146" s="231">
        <v>29998375894.5</v>
      </c>
      <c r="AO146" s="231">
        <f t="shared" si="31"/>
        <v>86977189985.399994</v>
      </c>
      <c r="AP146" s="231">
        <v>82621834145.399994</v>
      </c>
      <c r="AQ146" s="231">
        <v>80247799743.710007</v>
      </c>
      <c r="AR146" s="231">
        <v>2000000000</v>
      </c>
      <c r="AS146" s="231">
        <v>1300000000</v>
      </c>
      <c r="AT146" s="231">
        <v>3300000000</v>
      </c>
      <c r="AU146" s="231">
        <v>3300000000</v>
      </c>
      <c r="AV146" s="231">
        <v>696926850</v>
      </c>
      <c r="AW146" s="232">
        <v>9365</v>
      </c>
      <c r="AX146" s="232"/>
      <c r="AY146" s="232"/>
      <c r="AZ146" s="232"/>
      <c r="BA146" s="221" t="s">
        <v>1079</v>
      </c>
      <c r="BB146" s="221" t="s">
        <v>1080</v>
      </c>
      <c r="BC146" s="233" t="s">
        <v>128</v>
      </c>
      <c r="BF146" s="51"/>
    </row>
    <row r="147" spans="1:58" ht="13.5" customHeight="1">
      <c r="A147" s="220">
        <f t="shared" si="24"/>
        <v>146</v>
      </c>
      <c r="B147" s="221" t="s">
        <v>976</v>
      </c>
      <c r="C147" s="221" t="s">
        <v>25</v>
      </c>
      <c r="D147" s="221" t="s">
        <v>118</v>
      </c>
      <c r="E147" s="221" t="s">
        <v>596</v>
      </c>
      <c r="F147" s="221" t="s">
        <v>1063</v>
      </c>
      <c r="G147" s="222" t="s">
        <v>1081</v>
      </c>
      <c r="H147" s="221" t="s">
        <v>163</v>
      </c>
      <c r="I147" s="221" t="s">
        <v>1082</v>
      </c>
      <c r="J147" s="221" t="s">
        <v>1083</v>
      </c>
      <c r="K147" s="221" t="s">
        <v>1084</v>
      </c>
      <c r="L147" s="221">
        <v>-74.803763888888895</v>
      </c>
      <c r="M147" s="221">
        <v>10.9224861111111</v>
      </c>
      <c r="N147" s="223" t="s">
        <v>126</v>
      </c>
      <c r="O147" s="230" t="s">
        <v>372</v>
      </c>
      <c r="P147" s="224">
        <v>935338521</v>
      </c>
      <c r="Q147" s="225">
        <v>1</v>
      </c>
      <c r="R147" s="225">
        <v>1</v>
      </c>
      <c r="S147" s="225">
        <f t="shared" si="25"/>
        <v>0</v>
      </c>
      <c r="T147" s="225" t="str" cm="1">
        <f t="array" ref="T147">+_xlfn.IFS($P147&lt;=10000000000,IF(S147&gt;-0.05,"Verde",IF(S147&lt;=-0.1,"Rojo","Amarillo")),$P147&gt;10000000000,IF(S147&gt;-0.03,"Verde",IF(S147&lt;=-0.07,"Rojo","Amarillo")))</f>
        <v>Verde</v>
      </c>
      <c r="U147" s="226"/>
      <c r="V147" s="226"/>
      <c r="W147" s="226">
        <v>43164</v>
      </c>
      <c r="X147" s="226">
        <v>44004</v>
      </c>
      <c r="Y147" s="272">
        <v>45388</v>
      </c>
      <c r="Z147" s="225" t="str">
        <f t="shared" ca="1" si="33"/>
        <v>Entregado</v>
      </c>
      <c r="AA147" s="225" t="str">
        <f t="shared" ca="1" si="34"/>
        <v>-</v>
      </c>
      <c r="AB147" s="273"/>
      <c r="AC147" s="272"/>
      <c r="AD147" s="227">
        <v>45388</v>
      </c>
      <c r="AE147" s="221" t="s">
        <v>1068</v>
      </c>
      <c r="AF147" s="223" t="s">
        <v>1069</v>
      </c>
      <c r="AG147" s="223" t="s">
        <v>1070</v>
      </c>
      <c r="AH147" s="223" t="s">
        <v>1071</v>
      </c>
      <c r="AI147" s="221" t="s">
        <v>1072</v>
      </c>
      <c r="AJ147" s="223" t="s">
        <v>336</v>
      </c>
      <c r="AK147" s="223" t="s">
        <v>25</v>
      </c>
      <c r="AL147" s="230" t="s">
        <v>1073</v>
      </c>
      <c r="AM147" s="231">
        <v>56978814090.900002</v>
      </c>
      <c r="AN147" s="231">
        <v>29998375894.5</v>
      </c>
      <c r="AO147" s="231">
        <f t="shared" si="31"/>
        <v>86977189985.399994</v>
      </c>
      <c r="AP147" s="231">
        <v>82621834145.399994</v>
      </c>
      <c r="AQ147" s="231">
        <v>80247799743.710007</v>
      </c>
      <c r="AR147" s="231">
        <v>2000000000</v>
      </c>
      <c r="AS147" s="231">
        <v>1300000000</v>
      </c>
      <c r="AT147" s="231">
        <v>3300000000</v>
      </c>
      <c r="AU147" s="231">
        <v>3300000000</v>
      </c>
      <c r="AV147" s="231">
        <v>696926850</v>
      </c>
      <c r="AW147" s="232">
        <v>6126</v>
      </c>
      <c r="AX147" s="232"/>
      <c r="AY147" s="232"/>
      <c r="AZ147" s="232"/>
      <c r="BA147" s="221" t="s">
        <v>1079</v>
      </c>
      <c r="BB147" s="221" t="s">
        <v>1085</v>
      </c>
      <c r="BC147" s="233" t="s">
        <v>128</v>
      </c>
      <c r="BF147" s="51"/>
    </row>
    <row r="148" spans="1:58" ht="13.5" customHeight="1">
      <c r="A148" s="220">
        <f t="shared" si="24"/>
        <v>147</v>
      </c>
      <c r="B148" s="221" t="s">
        <v>976</v>
      </c>
      <c r="C148" s="221" t="s">
        <v>25</v>
      </c>
      <c r="D148" s="221" t="s">
        <v>118</v>
      </c>
      <c r="E148" s="221" t="s">
        <v>596</v>
      </c>
      <c r="F148" s="221" t="s">
        <v>1063</v>
      </c>
      <c r="G148" s="222" t="s">
        <v>1086</v>
      </c>
      <c r="H148" s="221" t="s">
        <v>582</v>
      </c>
      <c r="I148" s="221" t="s">
        <v>1087</v>
      </c>
      <c r="J148" s="221" t="s">
        <v>1088</v>
      </c>
      <c r="K148" s="221" t="s">
        <v>1089</v>
      </c>
      <c r="L148" s="221">
        <v>-74.787088888888903</v>
      </c>
      <c r="M148" s="221">
        <v>10.9415944444444</v>
      </c>
      <c r="N148" s="223" t="s">
        <v>126</v>
      </c>
      <c r="O148" s="230" t="s">
        <v>372</v>
      </c>
      <c r="P148" s="224">
        <v>1320867674.0999999</v>
      </c>
      <c r="Q148" s="225">
        <v>1</v>
      </c>
      <c r="R148" s="225">
        <v>1</v>
      </c>
      <c r="S148" s="225">
        <f t="shared" si="25"/>
        <v>0</v>
      </c>
      <c r="T148" s="225" t="str" cm="1">
        <f t="array" ref="T148">+_xlfn.IFS($P148&lt;=10000000000,IF(S148&gt;-0.05,"Verde",IF(S148&lt;=-0.1,"Rojo","Amarillo")),$P148&gt;10000000000,IF(S148&gt;-0.03,"Verde",IF(S148&lt;=-0.07,"Rojo","Amarillo")))</f>
        <v>Verde</v>
      </c>
      <c r="U148" s="226"/>
      <c r="V148" s="226"/>
      <c r="W148" s="226">
        <v>43164</v>
      </c>
      <c r="X148" s="226">
        <v>44004</v>
      </c>
      <c r="Y148" s="272">
        <v>45394</v>
      </c>
      <c r="Z148" s="225" t="str">
        <f t="shared" ca="1" si="33"/>
        <v>Entregado</v>
      </c>
      <c r="AA148" s="225" t="str">
        <f t="shared" ca="1" si="34"/>
        <v>-</v>
      </c>
      <c r="AB148" s="273"/>
      <c r="AC148" s="272"/>
      <c r="AD148" s="227">
        <v>45394</v>
      </c>
      <c r="AE148" s="221" t="s">
        <v>1068</v>
      </c>
      <c r="AF148" s="223" t="s">
        <v>1069</v>
      </c>
      <c r="AG148" s="223" t="s">
        <v>1070</v>
      </c>
      <c r="AH148" s="223" t="s">
        <v>1071</v>
      </c>
      <c r="AI148" s="221" t="s">
        <v>1072</v>
      </c>
      <c r="AJ148" s="223" t="s">
        <v>336</v>
      </c>
      <c r="AK148" s="223" t="s">
        <v>25</v>
      </c>
      <c r="AL148" s="230" t="s">
        <v>1073</v>
      </c>
      <c r="AM148" s="231">
        <v>56978814090.900002</v>
      </c>
      <c r="AN148" s="231">
        <v>29998375894.5</v>
      </c>
      <c r="AO148" s="231">
        <f t="shared" si="31"/>
        <v>86977189985.399994</v>
      </c>
      <c r="AP148" s="231">
        <v>82621834145.399994</v>
      </c>
      <c r="AQ148" s="231">
        <v>80247799743.710007</v>
      </c>
      <c r="AR148" s="231">
        <v>2000000000</v>
      </c>
      <c r="AS148" s="231">
        <v>1300000000</v>
      </c>
      <c r="AT148" s="231">
        <v>3300000000</v>
      </c>
      <c r="AU148" s="231">
        <v>3300000000</v>
      </c>
      <c r="AV148" s="231">
        <v>696926850</v>
      </c>
      <c r="AW148" s="232">
        <v>10300</v>
      </c>
      <c r="AX148" s="232"/>
      <c r="AY148" s="232"/>
      <c r="AZ148" s="232"/>
      <c r="BA148" s="221" t="s">
        <v>1079</v>
      </c>
      <c r="BB148" s="221" t="s">
        <v>1090</v>
      </c>
      <c r="BC148" s="233" t="s">
        <v>128</v>
      </c>
      <c r="BF148" s="51"/>
    </row>
    <row r="149" spans="1:58" ht="13.5" customHeight="1">
      <c r="A149" s="220">
        <f t="shared" si="24"/>
        <v>148</v>
      </c>
      <c r="B149" s="221" t="s">
        <v>976</v>
      </c>
      <c r="C149" s="221" t="s">
        <v>25</v>
      </c>
      <c r="D149" s="221" t="s">
        <v>118</v>
      </c>
      <c r="E149" s="221" t="s">
        <v>596</v>
      </c>
      <c r="F149" s="221" t="s">
        <v>1063</v>
      </c>
      <c r="G149" s="222" t="s">
        <v>1091</v>
      </c>
      <c r="H149" s="221" t="s">
        <v>582</v>
      </c>
      <c r="I149" s="221" t="s">
        <v>1092</v>
      </c>
      <c r="J149" s="221" t="s">
        <v>1093</v>
      </c>
      <c r="K149" s="221" t="s">
        <v>1094</v>
      </c>
      <c r="L149" s="221">
        <v>-74.793347222222195</v>
      </c>
      <c r="M149" s="221">
        <v>10.933436111111099</v>
      </c>
      <c r="N149" s="223" t="s">
        <v>228</v>
      </c>
      <c r="O149" s="230" t="s">
        <v>229</v>
      </c>
      <c r="P149" s="224">
        <v>924843801.70000005</v>
      </c>
      <c r="Q149" s="225">
        <v>1</v>
      </c>
      <c r="R149" s="225">
        <v>1</v>
      </c>
      <c r="S149" s="225">
        <f t="shared" si="25"/>
        <v>0</v>
      </c>
      <c r="T149" s="225" t="str" cm="1">
        <f t="array" ref="T149">+_xlfn.IFS($P149&lt;=10000000000,IF(S149&gt;-0.05,"Verde",IF(S149&lt;=-0.1,"Rojo","Amarillo")),$P149&gt;10000000000,IF(S149&gt;-0.03,"Verde",IF(S149&lt;=-0.07,"Rojo","Amarillo")))</f>
        <v>Verde</v>
      </c>
      <c r="U149" s="226"/>
      <c r="V149" s="226"/>
      <c r="W149" s="226">
        <v>43164</v>
      </c>
      <c r="X149" s="226">
        <v>44004</v>
      </c>
      <c r="Y149" s="272">
        <v>45442</v>
      </c>
      <c r="Z149" s="225" t="str">
        <f t="shared" ca="1" si="33"/>
        <v>En_Ejecución</v>
      </c>
      <c r="AA149" s="225" t="str">
        <f t="shared" ca="1" si="34"/>
        <v>-</v>
      </c>
      <c r="AB149" s="273"/>
      <c r="AC149" s="272"/>
      <c r="AD149" s="227">
        <v>45442</v>
      </c>
      <c r="AE149" s="221" t="s">
        <v>1068</v>
      </c>
      <c r="AF149" s="223" t="s">
        <v>1069</v>
      </c>
      <c r="AG149" s="223" t="s">
        <v>1070</v>
      </c>
      <c r="AH149" s="223" t="s">
        <v>1071</v>
      </c>
      <c r="AI149" s="221" t="s">
        <v>1072</v>
      </c>
      <c r="AJ149" s="223" t="s">
        <v>336</v>
      </c>
      <c r="AK149" s="223" t="s">
        <v>25</v>
      </c>
      <c r="AL149" s="230" t="s">
        <v>1073</v>
      </c>
      <c r="AM149" s="231">
        <v>56978814090.900002</v>
      </c>
      <c r="AN149" s="231">
        <v>29998375894.5</v>
      </c>
      <c r="AO149" s="231">
        <f t="shared" si="31"/>
        <v>86977189985.399994</v>
      </c>
      <c r="AP149" s="231">
        <v>82621834145.399994</v>
      </c>
      <c r="AQ149" s="231">
        <v>80247799743.710007</v>
      </c>
      <c r="AR149" s="231">
        <v>2000000000</v>
      </c>
      <c r="AS149" s="231">
        <v>1300000000</v>
      </c>
      <c r="AT149" s="231">
        <v>3300000000</v>
      </c>
      <c r="AU149" s="231">
        <v>3300000000</v>
      </c>
      <c r="AV149" s="231">
        <v>696926850</v>
      </c>
      <c r="AW149" s="232">
        <v>7500</v>
      </c>
      <c r="AX149" s="232"/>
      <c r="AY149" s="232"/>
      <c r="AZ149" s="232"/>
      <c r="BA149" s="221" t="s">
        <v>1095</v>
      </c>
      <c r="BB149" s="221" t="s">
        <v>1096</v>
      </c>
      <c r="BC149" s="233" t="s">
        <v>364</v>
      </c>
      <c r="BF149" s="51"/>
    </row>
    <row r="150" spans="1:58" ht="13.5" customHeight="1">
      <c r="A150" s="220">
        <f t="shared" si="24"/>
        <v>149</v>
      </c>
      <c r="B150" s="221" t="s">
        <v>976</v>
      </c>
      <c r="C150" s="221" t="s">
        <v>25</v>
      </c>
      <c r="D150" s="221" t="s">
        <v>118</v>
      </c>
      <c r="E150" s="221" t="s">
        <v>596</v>
      </c>
      <c r="F150" s="221" t="s">
        <v>1063</v>
      </c>
      <c r="G150" s="222" t="s">
        <v>1097</v>
      </c>
      <c r="H150" s="221" t="s">
        <v>163</v>
      </c>
      <c r="I150" s="221" t="s">
        <v>610</v>
      </c>
      <c r="J150" s="221" t="s">
        <v>318</v>
      </c>
      <c r="K150" s="221" t="s">
        <v>1098</v>
      </c>
      <c r="L150" s="221">
        <v>-74.810550000000006</v>
      </c>
      <c r="M150" s="221">
        <v>10.9275694444444</v>
      </c>
      <c r="N150" s="223" t="s">
        <v>126</v>
      </c>
      <c r="O150" s="230" t="s">
        <v>372</v>
      </c>
      <c r="P150" s="224">
        <v>1422193774.3</v>
      </c>
      <c r="Q150" s="225">
        <v>1</v>
      </c>
      <c r="R150" s="225">
        <v>1</v>
      </c>
      <c r="S150" s="225">
        <f t="shared" si="25"/>
        <v>0</v>
      </c>
      <c r="T150" s="225" t="str" cm="1">
        <f t="array" ref="T150">+_xlfn.IFS($P150&lt;=10000000000,IF(S150&gt;-0.05,"Verde",IF(S150&lt;=-0.1,"Rojo","Amarillo")),$P150&gt;10000000000,IF(S150&gt;-0.03,"Verde",IF(S150&lt;=-0.07,"Rojo","Amarillo")))</f>
        <v>Verde</v>
      </c>
      <c r="U150" s="226"/>
      <c r="V150" s="226"/>
      <c r="W150" s="226">
        <v>43164</v>
      </c>
      <c r="X150" s="226">
        <v>44004</v>
      </c>
      <c r="Y150" s="272">
        <v>45473</v>
      </c>
      <c r="Z150" s="225" t="str">
        <f t="shared" ca="1" si="33"/>
        <v>Entregado</v>
      </c>
      <c r="AA150" s="225" t="str">
        <f t="shared" ca="1" si="34"/>
        <v>-</v>
      </c>
      <c r="AB150" s="273"/>
      <c r="AC150" s="272"/>
      <c r="AD150" s="227">
        <v>45473</v>
      </c>
      <c r="AE150" s="221" t="s">
        <v>1068</v>
      </c>
      <c r="AF150" s="223" t="s">
        <v>1069</v>
      </c>
      <c r="AG150" s="223" t="s">
        <v>1070</v>
      </c>
      <c r="AH150" s="223" t="s">
        <v>1071</v>
      </c>
      <c r="AI150" s="221" t="s">
        <v>1072</v>
      </c>
      <c r="AJ150" s="223" t="s">
        <v>336</v>
      </c>
      <c r="AK150" s="223" t="s">
        <v>25</v>
      </c>
      <c r="AL150" s="230" t="s">
        <v>1073</v>
      </c>
      <c r="AM150" s="231">
        <v>56978814090.900002</v>
      </c>
      <c r="AN150" s="231">
        <v>29998375894.5</v>
      </c>
      <c r="AO150" s="231">
        <f t="shared" si="31"/>
        <v>86977189985.399994</v>
      </c>
      <c r="AP150" s="231">
        <v>82621834145.399994</v>
      </c>
      <c r="AQ150" s="231">
        <v>80247799743.710007</v>
      </c>
      <c r="AR150" s="231">
        <v>2000000000</v>
      </c>
      <c r="AS150" s="231">
        <v>1300000000</v>
      </c>
      <c r="AT150" s="231">
        <v>3300000000</v>
      </c>
      <c r="AU150" s="231">
        <v>3300000000</v>
      </c>
      <c r="AV150" s="231">
        <v>696926850</v>
      </c>
      <c r="AW150" s="232">
        <v>12600</v>
      </c>
      <c r="AX150" s="232"/>
      <c r="AY150" s="232"/>
      <c r="AZ150" s="232"/>
      <c r="BA150" s="221" t="s">
        <v>1099</v>
      </c>
      <c r="BB150" s="221" t="s">
        <v>1100</v>
      </c>
      <c r="BC150" s="233" t="s">
        <v>364</v>
      </c>
      <c r="BF150" s="51"/>
    </row>
    <row r="151" spans="1:58" ht="13.5" customHeight="1">
      <c r="A151" s="220">
        <f t="shared" si="24"/>
        <v>150</v>
      </c>
      <c r="B151" s="221" t="s">
        <v>976</v>
      </c>
      <c r="C151" s="221" t="s">
        <v>25</v>
      </c>
      <c r="D151" s="221" t="s">
        <v>118</v>
      </c>
      <c r="E151" s="221" t="s">
        <v>596</v>
      </c>
      <c r="F151" s="221" t="s">
        <v>1063</v>
      </c>
      <c r="G151" s="222" t="s">
        <v>1101</v>
      </c>
      <c r="H151" s="221" t="s">
        <v>411</v>
      </c>
      <c r="I151" s="221" t="s">
        <v>1102</v>
      </c>
      <c r="J151" s="221" t="s">
        <v>1103</v>
      </c>
      <c r="K151" s="221" t="s">
        <v>1104</v>
      </c>
      <c r="L151" s="221">
        <v>-74.817444444444405</v>
      </c>
      <c r="M151" s="221">
        <v>11.0231861111111</v>
      </c>
      <c r="N151" s="223" t="s">
        <v>126</v>
      </c>
      <c r="O151" s="230" t="s">
        <v>127</v>
      </c>
      <c r="P151" s="224">
        <v>0</v>
      </c>
      <c r="Q151" s="225">
        <v>1</v>
      </c>
      <c r="R151" s="225">
        <v>1</v>
      </c>
      <c r="S151" s="225">
        <f t="shared" si="25"/>
        <v>0</v>
      </c>
      <c r="T151" s="225" t="str" cm="1">
        <f t="array" ref="T151">+_xlfn.IFS($P151&lt;=10000000000,IF(S151&gt;-0.05,"Verde",IF(S151&lt;=-0.1,"Rojo","Amarillo")),$P151&gt;10000000000,IF(S151&gt;-0.03,"Verde",IF(S151&lt;=-0.07,"Rojo","Amarillo")))</f>
        <v>Verde</v>
      </c>
      <c r="U151" s="226"/>
      <c r="V151" s="226"/>
      <c r="W151" s="226">
        <v>44984</v>
      </c>
      <c r="X151" s="226">
        <v>45169</v>
      </c>
      <c r="Y151" s="272">
        <v>45398</v>
      </c>
      <c r="Z151" s="225" t="str">
        <f t="shared" ca="1" si="33"/>
        <v>Terminado</v>
      </c>
      <c r="AA151" s="225" t="str">
        <f t="shared" ca="1" si="34"/>
        <v>-</v>
      </c>
      <c r="AB151" s="273"/>
      <c r="AC151" s="272"/>
      <c r="AD151" s="227">
        <v>45398</v>
      </c>
      <c r="AE151" s="221" t="s">
        <v>25</v>
      </c>
      <c r="AF151" s="223" t="s">
        <v>1105</v>
      </c>
      <c r="AG151" s="223" t="s">
        <v>25</v>
      </c>
      <c r="AH151" s="223" t="s">
        <v>25</v>
      </c>
      <c r="AI151" s="221" t="s">
        <v>25</v>
      </c>
      <c r="AJ151" s="223" t="s">
        <v>25</v>
      </c>
      <c r="AK151" s="223" t="s">
        <v>25</v>
      </c>
      <c r="AL151" s="230" t="s">
        <v>25</v>
      </c>
      <c r="AM151" s="231">
        <v>0</v>
      </c>
      <c r="AN151" s="231">
        <v>0</v>
      </c>
      <c r="AO151" s="231">
        <f t="shared" si="31"/>
        <v>0</v>
      </c>
      <c r="AP151" s="231">
        <v>0</v>
      </c>
      <c r="AQ151" s="231">
        <v>0</v>
      </c>
      <c r="AR151" s="231">
        <v>0</v>
      </c>
      <c r="AS151" s="231">
        <v>0</v>
      </c>
      <c r="AT151" s="231">
        <f t="shared" ref="AT151:AT158" si="36">AR151+AS151</f>
        <v>0</v>
      </c>
      <c r="AU151" s="231">
        <v>0</v>
      </c>
      <c r="AV151" s="231">
        <v>0</v>
      </c>
      <c r="AW151" s="232">
        <v>22000</v>
      </c>
      <c r="AX151" s="232"/>
      <c r="AY151" s="232"/>
      <c r="AZ151" s="232"/>
      <c r="BA151" s="221" t="s">
        <v>1106</v>
      </c>
      <c r="BB151" s="221" t="s">
        <v>1107</v>
      </c>
      <c r="BC151" s="233" t="s">
        <v>364</v>
      </c>
      <c r="BF151" s="51"/>
    </row>
    <row r="152" spans="1:58" ht="13.5" customHeight="1">
      <c r="A152" s="220">
        <f t="shared" si="24"/>
        <v>151</v>
      </c>
      <c r="B152" s="221" t="s">
        <v>976</v>
      </c>
      <c r="C152" s="221" t="s">
        <v>25</v>
      </c>
      <c r="D152" s="221" t="s">
        <v>118</v>
      </c>
      <c r="E152" s="221" t="s">
        <v>596</v>
      </c>
      <c r="F152" s="221" t="s">
        <v>1063</v>
      </c>
      <c r="G152" s="222" t="s">
        <v>1108</v>
      </c>
      <c r="H152" s="221" t="s">
        <v>411</v>
      </c>
      <c r="I152" s="221" t="s">
        <v>1109</v>
      </c>
      <c r="J152" s="221" t="s">
        <v>1110</v>
      </c>
      <c r="K152" s="221" t="s">
        <v>1111</v>
      </c>
      <c r="L152" s="221">
        <v>-74.8222916666667</v>
      </c>
      <c r="M152" s="221">
        <v>11.022077777777801</v>
      </c>
      <c r="N152" s="223" t="s">
        <v>126</v>
      </c>
      <c r="O152" s="230" t="s">
        <v>372</v>
      </c>
      <c r="P152" s="224">
        <v>0</v>
      </c>
      <c r="Q152" s="225">
        <v>1</v>
      </c>
      <c r="R152" s="225">
        <v>1</v>
      </c>
      <c r="S152" s="225">
        <f t="shared" si="25"/>
        <v>0</v>
      </c>
      <c r="T152" s="225" t="str" cm="1">
        <f t="array" ref="T152">+_xlfn.IFS($P152&lt;=10000000000,IF(S152&gt;-0.05,"Verde",IF(S152&lt;=-0.1,"Rojo","Amarillo")),$P152&gt;10000000000,IF(S152&gt;-0.03,"Verde",IF(S152&lt;=-0.07,"Rojo","Amarillo")))</f>
        <v>Verde</v>
      </c>
      <c r="U152" s="226"/>
      <c r="V152" s="226"/>
      <c r="W152" s="226">
        <v>44833</v>
      </c>
      <c r="X152" s="226">
        <v>45107</v>
      </c>
      <c r="Y152" s="272">
        <v>45386</v>
      </c>
      <c r="Z152" s="225" t="str">
        <f t="shared" ca="1" si="33"/>
        <v>Entregado</v>
      </c>
      <c r="AA152" s="225" t="str">
        <f t="shared" ca="1" si="34"/>
        <v>-</v>
      </c>
      <c r="AB152" s="273"/>
      <c r="AC152" s="272"/>
      <c r="AD152" s="227">
        <v>45393</v>
      </c>
      <c r="AE152" s="221" t="s">
        <v>25</v>
      </c>
      <c r="AF152" s="223" t="s">
        <v>1105</v>
      </c>
      <c r="AG152" s="223" t="s">
        <v>25</v>
      </c>
      <c r="AH152" s="223" t="s">
        <v>25</v>
      </c>
      <c r="AI152" s="221" t="s">
        <v>25</v>
      </c>
      <c r="AJ152" s="223" t="s">
        <v>25</v>
      </c>
      <c r="AK152" s="223" t="s">
        <v>25</v>
      </c>
      <c r="AL152" s="230" t="s">
        <v>25</v>
      </c>
      <c r="AM152" s="231">
        <v>0</v>
      </c>
      <c r="AN152" s="231">
        <v>0</v>
      </c>
      <c r="AO152" s="231">
        <f t="shared" si="31"/>
        <v>0</v>
      </c>
      <c r="AP152" s="231">
        <v>0</v>
      </c>
      <c r="AQ152" s="231">
        <v>0</v>
      </c>
      <c r="AR152" s="231">
        <v>0</v>
      </c>
      <c r="AS152" s="231">
        <v>0</v>
      </c>
      <c r="AT152" s="231">
        <f t="shared" si="36"/>
        <v>0</v>
      </c>
      <c r="AU152" s="231">
        <v>0</v>
      </c>
      <c r="AV152" s="231">
        <v>0</v>
      </c>
      <c r="AW152" s="232">
        <v>15000</v>
      </c>
      <c r="AX152" s="232"/>
      <c r="AY152" s="232"/>
      <c r="AZ152" s="232"/>
      <c r="BA152" s="221" t="s">
        <v>1079</v>
      </c>
      <c r="BB152" s="221" t="s">
        <v>1112</v>
      </c>
      <c r="BC152" s="233" t="s">
        <v>128</v>
      </c>
      <c r="BF152" s="51"/>
    </row>
    <row r="153" spans="1:58" ht="13.5" customHeight="1">
      <c r="A153" s="220">
        <f t="shared" si="24"/>
        <v>152</v>
      </c>
      <c r="B153" s="221" t="s">
        <v>976</v>
      </c>
      <c r="C153" s="221" t="s">
        <v>1113</v>
      </c>
      <c r="D153" s="221" t="s">
        <v>118</v>
      </c>
      <c r="E153" s="221" t="s">
        <v>596</v>
      </c>
      <c r="F153" s="221" t="s">
        <v>1063</v>
      </c>
      <c r="G153" s="222" t="s">
        <v>1114</v>
      </c>
      <c r="H153" s="221" t="s">
        <v>154</v>
      </c>
      <c r="I153" s="221" t="s">
        <v>1115</v>
      </c>
      <c r="J153" s="221" t="s">
        <v>1116</v>
      </c>
      <c r="K153" s="221" t="s">
        <v>1117</v>
      </c>
      <c r="L153" s="221">
        <v>-74.858922222222205</v>
      </c>
      <c r="M153" s="221">
        <v>10.9588416666667</v>
      </c>
      <c r="N153" s="223" t="s">
        <v>126</v>
      </c>
      <c r="O153" s="230" t="s">
        <v>127</v>
      </c>
      <c r="P153" s="224">
        <v>0</v>
      </c>
      <c r="Q153" s="225">
        <v>1</v>
      </c>
      <c r="R153" s="225">
        <v>1</v>
      </c>
      <c r="S153" s="225">
        <f t="shared" si="25"/>
        <v>0</v>
      </c>
      <c r="T153" s="225" t="str" cm="1">
        <f t="array" ref="T153">+_xlfn.IFS($P153&lt;=10000000000,IF(S153&gt;-0.05,"Verde",IF(S153&lt;=-0.1,"Rojo","Amarillo")),$P153&gt;10000000000,IF(S153&gt;-0.03,"Verde",IF(S153&lt;=-0.07,"Rojo","Amarillo")))</f>
        <v>Verde</v>
      </c>
      <c r="U153" s="226"/>
      <c r="V153" s="226"/>
      <c r="W153" s="226">
        <v>45336</v>
      </c>
      <c r="X153" s="226">
        <v>45441</v>
      </c>
      <c r="Y153" s="272">
        <v>45604</v>
      </c>
      <c r="Z153" s="225" t="str">
        <f t="shared" ca="1" si="33"/>
        <v>Terminado</v>
      </c>
      <c r="AA153" s="225" t="str">
        <f t="shared" ca="1" si="34"/>
        <v>-</v>
      </c>
      <c r="AB153" s="273"/>
      <c r="AC153" s="272"/>
      <c r="AD153" s="227">
        <v>45441</v>
      </c>
      <c r="AE153" s="221" t="s">
        <v>25</v>
      </c>
      <c r="AF153" s="223" t="s">
        <v>1118</v>
      </c>
      <c r="AG153" s="223" t="s">
        <v>25</v>
      </c>
      <c r="AH153" s="223" t="s">
        <v>25</v>
      </c>
      <c r="AI153" s="221" t="s">
        <v>25</v>
      </c>
      <c r="AJ153" s="223" t="s">
        <v>25</v>
      </c>
      <c r="AK153" s="223" t="s">
        <v>25</v>
      </c>
      <c r="AL153" s="230" t="s">
        <v>25</v>
      </c>
      <c r="AM153" s="231">
        <v>0</v>
      </c>
      <c r="AN153" s="231">
        <v>0</v>
      </c>
      <c r="AO153" s="231">
        <f t="shared" si="31"/>
        <v>0</v>
      </c>
      <c r="AP153" s="231">
        <v>0</v>
      </c>
      <c r="AQ153" s="231">
        <v>0</v>
      </c>
      <c r="AR153" s="231">
        <v>0</v>
      </c>
      <c r="AS153" s="231">
        <v>0</v>
      </c>
      <c r="AT153" s="231">
        <f t="shared" si="36"/>
        <v>0</v>
      </c>
      <c r="AU153" s="231">
        <v>0</v>
      </c>
      <c r="AV153" s="231">
        <v>0</v>
      </c>
      <c r="AW153" s="232">
        <v>10700</v>
      </c>
      <c r="AX153" s="232"/>
      <c r="AY153" s="232"/>
      <c r="AZ153" s="232"/>
      <c r="BA153" s="221" t="s">
        <v>1119</v>
      </c>
      <c r="BB153" s="221" t="s">
        <v>1120</v>
      </c>
      <c r="BC153" s="233" t="s">
        <v>128</v>
      </c>
      <c r="BF153" s="51"/>
    </row>
    <row r="154" spans="1:58" ht="13.5" customHeight="1">
      <c r="A154" s="220">
        <f t="shared" si="24"/>
        <v>153</v>
      </c>
      <c r="B154" s="221" t="s">
        <v>976</v>
      </c>
      <c r="C154" s="221" t="s">
        <v>25</v>
      </c>
      <c r="D154" s="221" t="s">
        <v>118</v>
      </c>
      <c r="E154" s="221" t="s">
        <v>596</v>
      </c>
      <c r="F154" s="221" t="s">
        <v>1063</v>
      </c>
      <c r="G154" s="222" t="s">
        <v>1121</v>
      </c>
      <c r="H154" s="221" t="s">
        <v>582</v>
      </c>
      <c r="I154" s="221" t="s">
        <v>1122</v>
      </c>
      <c r="J154" s="221" t="s">
        <v>1123</v>
      </c>
      <c r="K154" s="221" t="s">
        <v>1124</v>
      </c>
      <c r="L154" s="221">
        <v>-74.779765416202096</v>
      </c>
      <c r="M154" s="221">
        <v>10.964102450634501</v>
      </c>
      <c r="N154" s="223" t="s">
        <v>228</v>
      </c>
      <c r="O154" s="230" t="s">
        <v>229</v>
      </c>
      <c r="P154" s="224">
        <f t="shared" ref="P154:P181" si="37">AO154+AT154</f>
        <v>23055369882.560234</v>
      </c>
      <c r="Q154" s="225">
        <v>1</v>
      </c>
      <c r="R154" s="225">
        <v>0.99</v>
      </c>
      <c r="S154" s="225">
        <f t="shared" si="25"/>
        <v>-1.0000000000000009E-2</v>
      </c>
      <c r="T154" s="225" t="str" cm="1">
        <f t="array" ref="T154">+_xlfn.IFS($P154&lt;=10000000000,IF(S154&gt;-0.05,"Verde",IF(S154&lt;=-0.1,"Rojo","Amarillo")),$P154&gt;10000000000,IF(S154&gt;-0.03,"Verde",IF(S154&lt;=-0.07,"Rojo","Amarillo")))</f>
        <v>Verde</v>
      </c>
      <c r="U154" s="226">
        <v>45372</v>
      </c>
      <c r="V154" s="226">
        <v>45393</v>
      </c>
      <c r="W154" s="226">
        <v>45547</v>
      </c>
      <c r="X154" s="226">
        <v>45657</v>
      </c>
      <c r="Y154" s="272">
        <v>45869</v>
      </c>
      <c r="Z154" s="225" t="str">
        <f t="shared" ca="1" si="33"/>
        <v>En_Ejecución</v>
      </c>
      <c r="AA154" s="225" t="str">
        <f t="shared" ca="1" si="34"/>
        <v>-</v>
      </c>
      <c r="AB154" s="273" t="s">
        <v>364</v>
      </c>
      <c r="AC154" s="272"/>
      <c r="AD154" s="227"/>
      <c r="AE154" s="221" t="s">
        <v>1125</v>
      </c>
      <c r="AF154" s="223" t="s">
        <v>1126</v>
      </c>
      <c r="AG154" s="223" t="s">
        <v>1127</v>
      </c>
      <c r="AH154" s="223" t="s">
        <v>1128</v>
      </c>
      <c r="AI154" s="221"/>
      <c r="AJ154" s="223" t="s">
        <v>336</v>
      </c>
      <c r="AK154" s="223" t="s">
        <v>25</v>
      </c>
      <c r="AL154" s="230" t="s">
        <v>1073</v>
      </c>
      <c r="AM154" s="231">
        <v>14410669633.389999</v>
      </c>
      <c r="AN154" s="231">
        <v>7888974454.1300001</v>
      </c>
      <c r="AO154" s="231">
        <f t="shared" si="31"/>
        <v>22299644087.52</v>
      </c>
      <c r="AP154" s="231">
        <v>14754018928.040001</v>
      </c>
      <c r="AQ154" s="231">
        <v>7685122675.4499998</v>
      </c>
      <c r="AR154" s="231">
        <v>755725795.0402317</v>
      </c>
      <c r="AS154" s="231">
        <v>0</v>
      </c>
      <c r="AT154" s="231">
        <f t="shared" si="36"/>
        <v>755725795.0402317</v>
      </c>
      <c r="AU154" s="231">
        <v>0</v>
      </c>
      <c r="AV154" s="231">
        <v>0</v>
      </c>
      <c r="AW154" s="232">
        <v>324000</v>
      </c>
      <c r="AX154" s="232"/>
      <c r="AY154" s="232"/>
      <c r="AZ154" s="232"/>
      <c r="BA154" s="221" t="s">
        <v>1129</v>
      </c>
      <c r="BB154" s="221" t="s">
        <v>1130</v>
      </c>
      <c r="BC154" s="233" t="s">
        <v>128</v>
      </c>
      <c r="BF154" s="51"/>
    </row>
    <row r="155" spans="1:58" ht="13.5" customHeight="1">
      <c r="A155" s="220">
        <f t="shared" si="24"/>
        <v>154</v>
      </c>
      <c r="B155" s="221" t="s">
        <v>976</v>
      </c>
      <c r="C155" s="221" t="s">
        <v>25</v>
      </c>
      <c r="D155" s="221" t="s">
        <v>118</v>
      </c>
      <c r="E155" s="221" t="s">
        <v>596</v>
      </c>
      <c r="F155" s="221" t="s">
        <v>1063</v>
      </c>
      <c r="G155" s="222" t="s">
        <v>1131</v>
      </c>
      <c r="H155" s="221" t="s">
        <v>582</v>
      </c>
      <c r="I155" s="221" t="s">
        <v>1132</v>
      </c>
      <c r="J155" s="221" t="s">
        <v>1133</v>
      </c>
      <c r="K155" s="221" t="s">
        <v>1134</v>
      </c>
      <c r="L155" s="221">
        <v>-74.792997222222198</v>
      </c>
      <c r="M155" s="221">
        <v>10.943052777777799</v>
      </c>
      <c r="N155" s="223" t="s">
        <v>228</v>
      </c>
      <c r="O155" s="230" t="s">
        <v>229</v>
      </c>
      <c r="P155" s="224">
        <f t="shared" si="37"/>
        <v>15634907851.34721</v>
      </c>
      <c r="Q155" s="225">
        <v>1</v>
      </c>
      <c r="R155" s="225">
        <v>0.90669999999999995</v>
      </c>
      <c r="S155" s="225">
        <f t="shared" si="25"/>
        <v>-9.330000000000005E-2</v>
      </c>
      <c r="T155" s="225" t="str" cm="1">
        <f t="array" ref="T155">+_xlfn.IFS($P155&lt;=10000000000,IF(S155&gt;-0.05,"Verde",IF(S155&lt;=-0.1,"Rojo","Amarillo")),$P155&gt;10000000000,IF(S155&gt;-0.03,"Verde",IF(S155&lt;=-0.07,"Rojo","Amarillo")))</f>
        <v>Rojo</v>
      </c>
      <c r="U155" s="226">
        <v>45372</v>
      </c>
      <c r="V155" s="226">
        <v>45392</v>
      </c>
      <c r="W155" s="226">
        <v>45404</v>
      </c>
      <c r="X155" s="226">
        <v>45657</v>
      </c>
      <c r="Y155" s="272">
        <v>45930</v>
      </c>
      <c r="Z155" s="225" t="str">
        <f ca="1">+IF(AND(O155="En_Ejecución",OR(T155="Rojo",T155="Amarillo")),IF(($Y155-(TODAY())&lt;15),"Rojo",IF(($Y155-TODAY())&gt;=45,"Verde","Amarillo")),O155)</f>
        <v>Rojo</v>
      </c>
      <c r="AA155" s="225" t="str">
        <f ca="1">+IF(AND(Z155="Amarillo",T155="Rojo"),"En_Seguimiento",IF(AND(Z155="Rojo",T155="Amarillo"),"En_Seguimiento",IF(AND(Z155="Rojo",T155="Rojo"),"En_Seguimiento",IF(AND(Z155="Suspendido",T155="Amarillo"),"En_Seguimiento",IF(AND(Z155="Suspendido",T155="Rojo"),"En_Seguimiento","-")))))</f>
        <v>En_Seguimiento</v>
      </c>
      <c r="AB155" s="273" t="s">
        <v>364</v>
      </c>
      <c r="AC155" s="272"/>
      <c r="AD155" s="227"/>
      <c r="AE155" s="221" t="s">
        <v>1135</v>
      </c>
      <c r="AF155" s="223" t="s">
        <v>1136</v>
      </c>
      <c r="AG155" s="223" t="s">
        <v>1137</v>
      </c>
      <c r="AH155" s="223" t="s">
        <v>278</v>
      </c>
      <c r="AI155" s="221"/>
      <c r="AJ155" s="223" t="s">
        <v>336</v>
      </c>
      <c r="AK155" s="223" t="s">
        <v>25</v>
      </c>
      <c r="AL155" s="230" t="s">
        <v>1073</v>
      </c>
      <c r="AM155" s="231">
        <v>14858229465.610001</v>
      </c>
      <c r="AN155" s="231">
        <v>0</v>
      </c>
      <c r="AO155" s="231">
        <f t="shared" si="31"/>
        <v>14858229465.610001</v>
      </c>
      <c r="AP155" s="231"/>
      <c r="AQ155" s="231">
        <v>0</v>
      </c>
      <c r="AR155" s="231">
        <v>776678385.73721004</v>
      </c>
      <c r="AS155" s="231">
        <v>0</v>
      </c>
      <c r="AT155" s="231">
        <f t="shared" si="36"/>
        <v>776678385.73721004</v>
      </c>
      <c r="AU155" s="231">
        <v>0</v>
      </c>
      <c r="AV155" s="231">
        <v>0</v>
      </c>
      <c r="AW155" s="232">
        <v>45000</v>
      </c>
      <c r="AX155" s="232"/>
      <c r="AY155" s="232"/>
      <c r="AZ155" s="232"/>
      <c r="BA155" s="221" t="s">
        <v>1129</v>
      </c>
      <c r="BB155" s="221" t="s">
        <v>1138</v>
      </c>
      <c r="BC155" s="233" t="s">
        <v>128</v>
      </c>
      <c r="BF155" s="51"/>
    </row>
    <row r="156" spans="1:58" ht="13.5" customHeight="1">
      <c r="A156" s="220">
        <f t="shared" si="24"/>
        <v>155</v>
      </c>
      <c r="B156" s="221" t="s">
        <v>976</v>
      </c>
      <c r="C156" s="221" t="s">
        <v>25</v>
      </c>
      <c r="D156" s="221" t="s">
        <v>118</v>
      </c>
      <c r="E156" s="221" t="s">
        <v>596</v>
      </c>
      <c r="F156" s="221" t="s">
        <v>1063</v>
      </c>
      <c r="G156" s="222" t="s">
        <v>1139</v>
      </c>
      <c r="H156" s="221" t="s">
        <v>154</v>
      </c>
      <c r="I156" s="221" t="s">
        <v>1140</v>
      </c>
      <c r="J156" s="221" t="s">
        <v>1141</v>
      </c>
      <c r="K156" s="221" t="s">
        <v>1142</v>
      </c>
      <c r="L156" s="221">
        <v>-74.829608333333297</v>
      </c>
      <c r="M156" s="221">
        <v>10.9625638888889</v>
      </c>
      <c r="N156" s="223" t="s">
        <v>228</v>
      </c>
      <c r="O156" s="230" t="s">
        <v>127</v>
      </c>
      <c r="P156" s="224">
        <f t="shared" si="37"/>
        <v>1435630036.3650708</v>
      </c>
      <c r="Q156" s="225">
        <v>1</v>
      </c>
      <c r="R156" s="225">
        <v>1</v>
      </c>
      <c r="S156" s="225">
        <f t="shared" si="25"/>
        <v>0</v>
      </c>
      <c r="T156" s="225" t="str" cm="1">
        <f t="array" ref="T156">+_xlfn.IFS($P156&lt;=10000000000,IF(S156&gt;-0.05,"Verde",IF(S156&lt;=-0.1,"Rojo","Amarillo")),$P156&gt;10000000000,IF(S156&gt;-0.03,"Verde",IF(S156&lt;=-0.07,"Rojo","Amarillo")))</f>
        <v>Verde</v>
      </c>
      <c r="U156" s="226">
        <v>45372</v>
      </c>
      <c r="V156" s="226">
        <v>45392</v>
      </c>
      <c r="W156" s="226">
        <v>45405</v>
      </c>
      <c r="X156" s="226">
        <v>45657</v>
      </c>
      <c r="Y156" s="272">
        <v>45823</v>
      </c>
      <c r="Z156" s="225" t="str">
        <f t="shared" ca="1" si="33"/>
        <v>Terminado</v>
      </c>
      <c r="AA156" s="225" t="str">
        <f t="shared" ca="1" si="34"/>
        <v>-</v>
      </c>
      <c r="AB156" s="273" t="s">
        <v>364</v>
      </c>
      <c r="AC156" s="272"/>
      <c r="AD156" s="227"/>
      <c r="AE156" s="221" t="s">
        <v>1143</v>
      </c>
      <c r="AF156" s="223" t="s">
        <v>1144</v>
      </c>
      <c r="AG156" s="223" t="s">
        <v>1145</v>
      </c>
      <c r="AH156" s="223" t="s">
        <v>1146</v>
      </c>
      <c r="AI156" s="221"/>
      <c r="AJ156" s="223" t="s">
        <v>336</v>
      </c>
      <c r="AK156" s="223" t="s">
        <v>25</v>
      </c>
      <c r="AL156" s="230" t="s">
        <v>1073</v>
      </c>
      <c r="AM156" s="231">
        <v>1367266701.3069038</v>
      </c>
      <c r="AN156" s="231">
        <v>0</v>
      </c>
      <c r="AO156" s="231">
        <f t="shared" si="31"/>
        <v>1367266701.3069038</v>
      </c>
      <c r="AP156" s="231"/>
      <c r="AQ156" s="231">
        <v>0</v>
      </c>
      <c r="AR156" s="231">
        <v>68363335.05816704</v>
      </c>
      <c r="AS156" s="231">
        <v>0</v>
      </c>
      <c r="AT156" s="231">
        <f t="shared" si="36"/>
        <v>68363335.05816704</v>
      </c>
      <c r="AU156" s="231">
        <v>0</v>
      </c>
      <c r="AV156" s="231">
        <v>0</v>
      </c>
      <c r="AW156" s="232">
        <v>7125</v>
      </c>
      <c r="AX156" s="232"/>
      <c r="AY156" s="232"/>
      <c r="AZ156" s="232"/>
      <c r="BA156" s="221" t="s">
        <v>1129</v>
      </c>
      <c r="BB156" s="221" t="s">
        <v>1147</v>
      </c>
      <c r="BC156" s="233" t="s">
        <v>128</v>
      </c>
      <c r="BF156" s="51"/>
    </row>
    <row r="157" spans="1:58" ht="13.5" customHeight="1">
      <c r="A157" s="220">
        <f t="shared" si="24"/>
        <v>156</v>
      </c>
      <c r="B157" s="221" t="s">
        <v>976</v>
      </c>
      <c r="C157" s="221" t="s">
        <v>25</v>
      </c>
      <c r="D157" s="221" t="s">
        <v>118</v>
      </c>
      <c r="E157" s="221" t="s">
        <v>596</v>
      </c>
      <c r="F157" s="221" t="s">
        <v>1063</v>
      </c>
      <c r="G157" s="222" t="s">
        <v>1148</v>
      </c>
      <c r="H157" s="221" t="s">
        <v>154</v>
      </c>
      <c r="I157" s="221" t="s">
        <v>1149</v>
      </c>
      <c r="J157" s="221" t="s">
        <v>1150</v>
      </c>
      <c r="K157" s="221" t="s">
        <v>1151</v>
      </c>
      <c r="L157" s="221">
        <v>-74.865141666666702</v>
      </c>
      <c r="M157" s="221">
        <v>10.9589861111111</v>
      </c>
      <c r="N157" s="223" t="s">
        <v>228</v>
      </c>
      <c r="O157" s="230" t="s">
        <v>229</v>
      </c>
      <c r="P157" s="224">
        <f t="shared" si="37"/>
        <v>1783087327.0937545</v>
      </c>
      <c r="Q157" s="225">
        <v>1</v>
      </c>
      <c r="R157" s="225">
        <v>1</v>
      </c>
      <c r="S157" s="225">
        <f t="shared" si="25"/>
        <v>0</v>
      </c>
      <c r="T157" s="225" t="str" cm="1">
        <f t="array" ref="T157">+_xlfn.IFS($P157&lt;=10000000000,IF(S157&gt;-0.05,"Verde",IF(S157&lt;=-0.1,"Rojo","Amarillo")),$P157&gt;10000000000,IF(S157&gt;-0.03,"Verde",IF(S157&lt;=-0.07,"Rojo","Amarillo")))</f>
        <v>Verde</v>
      </c>
      <c r="U157" s="226">
        <v>45372</v>
      </c>
      <c r="V157" s="226">
        <v>45392</v>
      </c>
      <c r="W157" s="226">
        <v>45405</v>
      </c>
      <c r="X157" s="226">
        <v>45657</v>
      </c>
      <c r="Y157" s="272">
        <v>45823</v>
      </c>
      <c r="Z157" s="225" t="str">
        <f t="shared" ca="1" si="33"/>
        <v>En_Ejecución</v>
      </c>
      <c r="AA157" s="225" t="str">
        <f t="shared" ca="1" si="34"/>
        <v>-</v>
      </c>
      <c r="AB157" s="273" t="s">
        <v>364</v>
      </c>
      <c r="AC157" s="272"/>
      <c r="AD157" s="227"/>
      <c r="AE157" s="221" t="s">
        <v>1143</v>
      </c>
      <c r="AF157" s="223" t="s">
        <v>1144</v>
      </c>
      <c r="AG157" s="223" t="s">
        <v>1145</v>
      </c>
      <c r="AH157" s="223" t="s">
        <v>1146</v>
      </c>
      <c r="AI157" s="221"/>
      <c r="AJ157" s="223" t="s">
        <v>336</v>
      </c>
      <c r="AK157" s="223" t="s">
        <v>25</v>
      </c>
      <c r="AL157" s="230" t="s">
        <v>1073</v>
      </c>
      <c r="AM157" s="231">
        <v>1698178406.7644477</v>
      </c>
      <c r="AN157" s="231">
        <v>0</v>
      </c>
      <c r="AO157" s="231">
        <f t="shared" si="31"/>
        <v>1698178406.7644477</v>
      </c>
      <c r="AP157" s="231"/>
      <c r="AQ157" s="231">
        <v>0</v>
      </c>
      <c r="AR157" s="231">
        <v>84908920.329306945</v>
      </c>
      <c r="AS157" s="231">
        <v>0</v>
      </c>
      <c r="AT157" s="231">
        <f t="shared" si="36"/>
        <v>84908920.329306945</v>
      </c>
      <c r="AU157" s="231">
        <v>0</v>
      </c>
      <c r="AV157" s="231">
        <v>0</v>
      </c>
      <c r="AW157" s="232">
        <v>7100</v>
      </c>
      <c r="AX157" s="232"/>
      <c r="AY157" s="232"/>
      <c r="AZ157" s="232"/>
      <c r="BA157" s="221" t="s">
        <v>1129</v>
      </c>
      <c r="BB157" s="221" t="s">
        <v>1152</v>
      </c>
      <c r="BC157" s="233" t="s">
        <v>364</v>
      </c>
      <c r="BF157" s="51"/>
    </row>
    <row r="158" spans="1:58" ht="13.5" customHeight="1">
      <c r="A158" s="220">
        <f t="shared" si="24"/>
        <v>157</v>
      </c>
      <c r="B158" s="221" t="s">
        <v>976</v>
      </c>
      <c r="C158" s="221" t="s">
        <v>25</v>
      </c>
      <c r="D158" s="221" t="s">
        <v>118</v>
      </c>
      <c r="E158" s="221" t="s">
        <v>596</v>
      </c>
      <c r="F158" s="221" t="s">
        <v>1063</v>
      </c>
      <c r="G158" s="222" t="s">
        <v>1153</v>
      </c>
      <c r="H158" s="221" t="s">
        <v>582</v>
      </c>
      <c r="I158" s="221" t="s">
        <v>1154</v>
      </c>
      <c r="J158" s="221" t="s">
        <v>1155</v>
      </c>
      <c r="K158" s="221" t="s">
        <v>1156</v>
      </c>
      <c r="L158" s="221">
        <v>-74.788227777777806</v>
      </c>
      <c r="M158" s="221">
        <v>10.9526055555556</v>
      </c>
      <c r="N158" s="223" t="s">
        <v>228</v>
      </c>
      <c r="O158" s="230" t="s">
        <v>127</v>
      </c>
      <c r="P158" s="224">
        <f t="shared" si="37"/>
        <v>1318231243.5590153</v>
      </c>
      <c r="Q158" s="225">
        <v>1</v>
      </c>
      <c r="R158" s="225">
        <v>1</v>
      </c>
      <c r="S158" s="225">
        <f t="shared" si="25"/>
        <v>0</v>
      </c>
      <c r="T158" s="225" t="str" cm="1">
        <f t="array" ref="T158">+_xlfn.IFS($P158&lt;=10000000000,IF(S158&gt;-0.05,"Verde",IF(S158&lt;=-0.1,"Rojo","Amarillo")),$P158&gt;10000000000,IF(S158&gt;-0.03,"Verde",IF(S158&lt;=-0.07,"Rojo","Amarillo")))</f>
        <v>Verde</v>
      </c>
      <c r="U158" s="226">
        <v>45372</v>
      </c>
      <c r="V158" s="226">
        <v>45392</v>
      </c>
      <c r="W158" s="226">
        <v>45405</v>
      </c>
      <c r="X158" s="226">
        <v>45657</v>
      </c>
      <c r="Y158" s="272">
        <v>45823</v>
      </c>
      <c r="Z158" s="225" t="str">
        <f t="shared" ca="1" si="33"/>
        <v>Terminado</v>
      </c>
      <c r="AA158" s="225" t="str">
        <f t="shared" ca="1" si="34"/>
        <v>-</v>
      </c>
      <c r="AB158" s="273" t="s">
        <v>364</v>
      </c>
      <c r="AC158" s="272"/>
      <c r="AD158" s="227"/>
      <c r="AE158" s="221" t="s">
        <v>1143</v>
      </c>
      <c r="AF158" s="223" t="s">
        <v>1144</v>
      </c>
      <c r="AG158" s="223" t="s">
        <v>1145</v>
      </c>
      <c r="AH158" s="223" t="s">
        <v>1146</v>
      </c>
      <c r="AI158" s="221"/>
      <c r="AJ158" s="223" t="s">
        <v>336</v>
      </c>
      <c r="AK158" s="223" t="s">
        <v>25</v>
      </c>
      <c r="AL158" s="230" t="s">
        <v>1073</v>
      </c>
      <c r="AM158" s="231">
        <v>1255458327.2053394</v>
      </c>
      <c r="AN158" s="231">
        <v>0</v>
      </c>
      <c r="AO158" s="231">
        <f t="shared" si="31"/>
        <v>1255458327.2053394</v>
      </c>
      <c r="AP158" s="231">
        <v>0</v>
      </c>
      <c r="AQ158" s="231">
        <v>0</v>
      </c>
      <c r="AR158" s="231">
        <v>62772916.353675812</v>
      </c>
      <c r="AS158" s="231">
        <v>0</v>
      </c>
      <c r="AT158" s="231">
        <f t="shared" si="36"/>
        <v>62772916.353675812</v>
      </c>
      <c r="AU158" s="231">
        <v>0</v>
      </c>
      <c r="AV158" s="231">
        <v>0</v>
      </c>
      <c r="AW158" s="232">
        <v>8460</v>
      </c>
      <c r="AX158" s="232"/>
      <c r="AY158" s="232"/>
      <c r="AZ158" s="232"/>
      <c r="BA158" s="221" t="s">
        <v>1129</v>
      </c>
      <c r="BB158" s="221" t="s">
        <v>1157</v>
      </c>
      <c r="BC158" s="233" t="s">
        <v>128</v>
      </c>
      <c r="BF158" s="51"/>
    </row>
    <row r="159" spans="1:58" ht="13.5" customHeight="1">
      <c r="A159" s="220">
        <f t="shared" si="24"/>
        <v>158</v>
      </c>
      <c r="B159" s="221" t="s">
        <v>976</v>
      </c>
      <c r="C159" s="221" t="s">
        <v>25</v>
      </c>
      <c r="D159" s="221" t="s">
        <v>118</v>
      </c>
      <c r="E159" s="221" t="s">
        <v>596</v>
      </c>
      <c r="F159" s="221" t="s">
        <v>1063</v>
      </c>
      <c r="G159" s="222" t="s">
        <v>1158</v>
      </c>
      <c r="H159" s="221" t="s">
        <v>163</v>
      </c>
      <c r="I159" s="221" t="s">
        <v>1159</v>
      </c>
      <c r="J159" s="221" t="s">
        <v>1160</v>
      </c>
      <c r="K159" s="221" t="s">
        <v>1161</v>
      </c>
      <c r="L159" s="221">
        <v>-74811994</v>
      </c>
      <c r="M159" s="221">
        <v>10943792</v>
      </c>
      <c r="N159" s="223" t="s">
        <v>228</v>
      </c>
      <c r="O159" s="230" t="s">
        <v>127</v>
      </c>
      <c r="P159" s="224">
        <f t="shared" si="37"/>
        <v>211175872</v>
      </c>
      <c r="Q159" s="225">
        <v>1</v>
      </c>
      <c r="R159" s="225">
        <v>1</v>
      </c>
      <c r="S159" s="225">
        <f t="shared" si="25"/>
        <v>0</v>
      </c>
      <c r="T159" s="225" t="str" cm="1">
        <f t="array" ref="T159">+_xlfn.IFS($P159&lt;=10000000000,IF(S159&gt;-0.05,"Verde",IF(S159&lt;=-0.1,"Rojo","Amarillo")),$P159&gt;10000000000,IF(S159&gt;-0.03,"Verde",IF(S159&lt;=-0.07,"Rojo","Amarillo")))</f>
        <v>Verde</v>
      </c>
      <c r="U159" s="226">
        <v>45372</v>
      </c>
      <c r="V159" s="226">
        <v>45388</v>
      </c>
      <c r="W159" s="226">
        <v>45405</v>
      </c>
      <c r="X159" s="226">
        <v>45657</v>
      </c>
      <c r="Y159" s="272">
        <v>45823</v>
      </c>
      <c r="Z159" s="225" t="str">
        <f t="shared" ca="1" si="33"/>
        <v>Terminado</v>
      </c>
      <c r="AA159" s="225" t="str">
        <f t="shared" ca="1" si="34"/>
        <v>-</v>
      </c>
      <c r="AB159" s="273" t="s">
        <v>364</v>
      </c>
      <c r="AC159" s="272"/>
      <c r="AD159" s="227"/>
      <c r="AE159" s="221" t="s">
        <v>1143</v>
      </c>
      <c r="AF159" s="223" t="s">
        <v>1144</v>
      </c>
      <c r="AG159" s="223" t="s">
        <v>1145</v>
      </c>
      <c r="AH159" s="223" t="s">
        <v>1146</v>
      </c>
      <c r="AI159" s="221"/>
      <c r="AJ159" s="223" t="s">
        <v>336</v>
      </c>
      <c r="AK159" s="223" t="s">
        <v>25</v>
      </c>
      <c r="AL159" s="230" t="s">
        <v>1073</v>
      </c>
      <c r="AM159" s="231">
        <v>211175872</v>
      </c>
      <c r="AN159" s="231">
        <v>0</v>
      </c>
      <c r="AO159" s="231">
        <f t="shared" si="31"/>
        <v>211175872</v>
      </c>
      <c r="AP159" s="231">
        <v>0</v>
      </c>
      <c r="AQ159" s="231">
        <v>0</v>
      </c>
      <c r="AR159" s="231"/>
      <c r="AS159" s="231"/>
      <c r="AT159" s="231"/>
      <c r="AU159" s="231"/>
      <c r="AV159" s="231"/>
      <c r="AW159" s="232"/>
      <c r="AX159" s="232"/>
      <c r="AY159" s="232"/>
      <c r="AZ159" s="232"/>
      <c r="BA159" s="221" t="s">
        <v>1129</v>
      </c>
      <c r="BB159" s="221" t="s">
        <v>1162</v>
      </c>
      <c r="BC159" s="233" t="s">
        <v>128</v>
      </c>
      <c r="BF159" s="51"/>
    </row>
    <row r="160" spans="1:58" ht="13.5" customHeight="1">
      <c r="A160" s="220">
        <f t="shared" si="24"/>
        <v>159</v>
      </c>
      <c r="B160" s="221" t="s">
        <v>976</v>
      </c>
      <c r="C160" s="221" t="s">
        <v>25</v>
      </c>
      <c r="D160" s="221" t="s">
        <v>118</v>
      </c>
      <c r="E160" s="221" t="s">
        <v>596</v>
      </c>
      <c r="F160" s="221" t="s">
        <v>1063</v>
      </c>
      <c r="G160" s="222" t="s">
        <v>1163</v>
      </c>
      <c r="H160" s="221" t="s">
        <v>154</v>
      </c>
      <c r="I160" s="221" t="s">
        <v>1164</v>
      </c>
      <c r="J160" s="221" t="s">
        <v>1165</v>
      </c>
      <c r="K160" s="221" t="s">
        <v>1166</v>
      </c>
      <c r="L160" s="221">
        <v>-74.861691666666701</v>
      </c>
      <c r="M160" s="221">
        <v>10.939683333333299</v>
      </c>
      <c r="N160" s="223" t="s">
        <v>228</v>
      </c>
      <c r="O160" s="230" t="s">
        <v>229</v>
      </c>
      <c r="P160" s="224">
        <f t="shared" si="37"/>
        <v>2133416441.79126</v>
      </c>
      <c r="Q160" s="225">
        <v>1</v>
      </c>
      <c r="R160" s="225">
        <v>0.71519999999999995</v>
      </c>
      <c r="S160" s="225">
        <f t="shared" si="25"/>
        <v>-0.28480000000000005</v>
      </c>
      <c r="T160" s="225" t="str" cm="1">
        <f t="array" ref="T160">+_xlfn.IFS($P160&lt;=10000000000,IF(S160&gt;-0.05,"Verde",IF(S160&lt;=-0.1,"Rojo","Amarillo")),$P160&gt;10000000000,IF(S160&gt;-0.03,"Verde",IF(S160&lt;=-0.07,"Rojo","Amarillo")))</f>
        <v>Rojo</v>
      </c>
      <c r="U160" s="226">
        <v>45372</v>
      </c>
      <c r="V160" s="226">
        <v>45390</v>
      </c>
      <c r="W160" s="226">
        <v>45404</v>
      </c>
      <c r="X160" s="226">
        <v>45657</v>
      </c>
      <c r="Y160" s="272">
        <v>45869</v>
      </c>
      <c r="Z160" s="225" t="str">
        <f t="shared" ca="1" si="33"/>
        <v>Rojo</v>
      </c>
      <c r="AA160" s="225" t="str">
        <f t="shared" ca="1" si="34"/>
        <v>En_Seguimiento</v>
      </c>
      <c r="AB160" s="273" t="s">
        <v>364</v>
      </c>
      <c r="AC160" s="272"/>
      <c r="AD160" s="227"/>
      <c r="AE160" s="221" t="s">
        <v>1167</v>
      </c>
      <c r="AF160" s="223" t="s">
        <v>1168</v>
      </c>
      <c r="AG160" s="223" t="s">
        <v>25</v>
      </c>
      <c r="AH160" s="223" t="s">
        <v>1169</v>
      </c>
      <c r="AI160" s="221"/>
      <c r="AJ160" s="223" t="s">
        <v>336</v>
      </c>
      <c r="AK160" s="223" t="s">
        <v>25</v>
      </c>
      <c r="AL160" s="230" t="s">
        <v>1073</v>
      </c>
      <c r="AM160" s="231">
        <v>2031825182.6685021</v>
      </c>
      <c r="AN160" s="231">
        <v>0</v>
      </c>
      <c r="AO160" s="231">
        <f t="shared" si="31"/>
        <v>2031825182.6685021</v>
      </c>
      <c r="AP160" s="231">
        <v>0</v>
      </c>
      <c r="AQ160" s="231">
        <v>0</v>
      </c>
      <c r="AR160" s="231">
        <v>101591259.12275802</v>
      </c>
      <c r="AS160" s="231">
        <v>0</v>
      </c>
      <c r="AT160" s="231">
        <f t="shared" ref="AT160:AT181" si="38">AR160+AS160</f>
        <v>101591259.12275802</v>
      </c>
      <c r="AU160" s="231">
        <v>0</v>
      </c>
      <c r="AV160" s="231">
        <v>0</v>
      </c>
      <c r="AW160" s="232">
        <v>2800</v>
      </c>
      <c r="AX160" s="232"/>
      <c r="AY160" s="232"/>
      <c r="AZ160" s="232"/>
      <c r="BA160" s="221" t="s">
        <v>1129</v>
      </c>
      <c r="BB160" s="221" t="s">
        <v>1170</v>
      </c>
      <c r="BC160" s="233" t="s">
        <v>128</v>
      </c>
      <c r="BF160" s="51"/>
    </row>
    <row r="161" spans="1:58" ht="13.5" customHeight="1">
      <c r="A161" s="220">
        <f t="shared" si="24"/>
        <v>160</v>
      </c>
      <c r="B161" s="221" t="s">
        <v>976</v>
      </c>
      <c r="C161" s="221" t="s">
        <v>25</v>
      </c>
      <c r="D161" s="221" t="s">
        <v>118</v>
      </c>
      <c r="E161" s="221" t="s">
        <v>596</v>
      </c>
      <c r="F161" s="221" t="s">
        <v>1063</v>
      </c>
      <c r="G161" s="222" t="s">
        <v>1171</v>
      </c>
      <c r="H161" s="221" t="s">
        <v>154</v>
      </c>
      <c r="I161" s="221" t="s">
        <v>1172</v>
      </c>
      <c r="J161" s="221" t="s">
        <v>1173</v>
      </c>
      <c r="K161" s="221" t="s">
        <v>1174</v>
      </c>
      <c r="L161" s="221">
        <v>-74.833413888888899</v>
      </c>
      <c r="M161" s="221">
        <v>10.9480916666667</v>
      </c>
      <c r="N161" s="223" t="s">
        <v>228</v>
      </c>
      <c r="O161" s="230" t="s">
        <v>127</v>
      </c>
      <c r="P161" s="224">
        <f t="shared" si="37"/>
        <v>369183968.20811647</v>
      </c>
      <c r="Q161" s="225">
        <v>1</v>
      </c>
      <c r="R161" s="225">
        <v>1</v>
      </c>
      <c r="S161" s="225">
        <f t="shared" si="25"/>
        <v>0</v>
      </c>
      <c r="T161" s="225" t="str" cm="1">
        <f t="array" ref="T161">+_xlfn.IFS($P161&lt;=10000000000,IF(S161&gt;-0.05,"Verde",IF(S161&lt;=-0.1,"Rojo","Amarillo")),$P161&gt;10000000000,IF(S161&gt;-0.03,"Verde",IF(S161&lt;=-0.07,"Rojo","Amarillo")))</f>
        <v>Verde</v>
      </c>
      <c r="U161" s="226">
        <v>45372</v>
      </c>
      <c r="V161" s="226">
        <v>45390</v>
      </c>
      <c r="W161" s="226">
        <v>45404</v>
      </c>
      <c r="X161" s="226">
        <v>45657</v>
      </c>
      <c r="Y161" s="272">
        <v>45869</v>
      </c>
      <c r="Z161" s="225" t="str">
        <f t="shared" ca="1" si="33"/>
        <v>Terminado</v>
      </c>
      <c r="AA161" s="225" t="str">
        <f t="shared" ca="1" si="34"/>
        <v>-</v>
      </c>
      <c r="AB161" s="273" t="s">
        <v>364</v>
      </c>
      <c r="AC161" s="272"/>
      <c r="AD161" s="227"/>
      <c r="AE161" s="221" t="s">
        <v>1167</v>
      </c>
      <c r="AF161" s="223" t="s">
        <v>1168</v>
      </c>
      <c r="AG161" s="223" t="s">
        <v>25</v>
      </c>
      <c r="AH161" s="223" t="s">
        <v>1169</v>
      </c>
      <c r="AI161" s="221"/>
      <c r="AJ161" s="223" t="s">
        <v>336</v>
      </c>
      <c r="AK161" s="223" t="s">
        <v>25</v>
      </c>
      <c r="AL161" s="230" t="s">
        <v>1073</v>
      </c>
      <c r="AM161" s="231">
        <v>351603779.24758321</v>
      </c>
      <c r="AN161" s="231">
        <v>0</v>
      </c>
      <c r="AO161" s="231">
        <f t="shared" si="31"/>
        <v>351603779.24758321</v>
      </c>
      <c r="AP161" s="231">
        <v>0</v>
      </c>
      <c r="AQ161" s="231">
        <v>0</v>
      </c>
      <c r="AR161" s="231">
        <v>17580188.960533243</v>
      </c>
      <c r="AS161" s="231">
        <v>0</v>
      </c>
      <c r="AT161" s="231">
        <f t="shared" si="38"/>
        <v>17580188.960533243</v>
      </c>
      <c r="AU161" s="231">
        <v>0</v>
      </c>
      <c r="AV161" s="231">
        <v>0</v>
      </c>
      <c r="AW161" s="232">
        <v>2500</v>
      </c>
      <c r="AX161" s="232"/>
      <c r="AY161" s="232"/>
      <c r="AZ161" s="232"/>
      <c r="BA161" s="221" t="s">
        <v>1129</v>
      </c>
      <c r="BB161" s="221" t="s">
        <v>1175</v>
      </c>
      <c r="BC161" s="233" t="s">
        <v>128</v>
      </c>
      <c r="BF161" s="51"/>
    </row>
    <row r="162" spans="1:58" ht="13.5" customHeight="1">
      <c r="A162" s="220">
        <f t="shared" si="24"/>
        <v>161</v>
      </c>
      <c r="B162" s="221" t="s">
        <v>976</v>
      </c>
      <c r="C162" s="221" t="s">
        <v>25</v>
      </c>
      <c r="D162" s="221" t="s">
        <v>118</v>
      </c>
      <c r="E162" s="221" t="s">
        <v>596</v>
      </c>
      <c r="F162" s="221" t="s">
        <v>1063</v>
      </c>
      <c r="G162" s="222" t="s">
        <v>1176</v>
      </c>
      <c r="H162" s="221" t="s">
        <v>163</v>
      </c>
      <c r="I162" s="221" t="s">
        <v>1177</v>
      </c>
      <c r="J162" s="221" t="s">
        <v>1178</v>
      </c>
      <c r="K162" s="221" t="s">
        <v>1179</v>
      </c>
      <c r="L162" s="221">
        <v>-74.820177777777801</v>
      </c>
      <c r="M162" s="221">
        <v>10.925025</v>
      </c>
      <c r="N162" s="223" t="s">
        <v>228</v>
      </c>
      <c r="O162" s="230" t="s">
        <v>229</v>
      </c>
      <c r="P162" s="224">
        <f t="shared" si="37"/>
        <v>3498206331.0168552</v>
      </c>
      <c r="Q162" s="225">
        <v>1</v>
      </c>
      <c r="R162" s="225">
        <v>0.5877</v>
      </c>
      <c r="S162" s="225">
        <f t="shared" si="25"/>
        <v>-0.4123</v>
      </c>
      <c r="T162" s="225" t="str" cm="1">
        <f t="array" ref="T162">+_xlfn.IFS($P162&lt;=10000000000,IF(S162&gt;-0.05,"Verde",IF(S162&lt;=-0.1,"Rojo","Amarillo")),$P162&gt;10000000000,IF(S162&gt;-0.03,"Verde",IF(S162&lt;=-0.07,"Rojo","Amarillo")))</f>
        <v>Rojo</v>
      </c>
      <c r="U162" s="226">
        <v>45372</v>
      </c>
      <c r="V162" s="226">
        <v>45390</v>
      </c>
      <c r="W162" s="226">
        <v>45404</v>
      </c>
      <c r="X162" s="226">
        <v>45657</v>
      </c>
      <c r="Y162" s="272">
        <v>45869</v>
      </c>
      <c r="Z162" s="225" t="str">
        <f t="shared" ca="1" si="33"/>
        <v>Rojo</v>
      </c>
      <c r="AA162" s="225" t="str">
        <f t="shared" ca="1" si="34"/>
        <v>En_Seguimiento</v>
      </c>
      <c r="AB162" s="273" t="s">
        <v>364</v>
      </c>
      <c r="AC162" s="272"/>
      <c r="AD162" s="227"/>
      <c r="AE162" s="221" t="s">
        <v>1167</v>
      </c>
      <c r="AF162" s="223" t="s">
        <v>1168</v>
      </c>
      <c r="AG162" s="223" t="s">
        <v>25</v>
      </c>
      <c r="AH162" s="223" t="s">
        <v>1169</v>
      </c>
      <c r="AI162" s="221"/>
      <c r="AJ162" s="223" t="s">
        <v>336</v>
      </c>
      <c r="AK162" s="223" t="s">
        <v>25</v>
      </c>
      <c r="AL162" s="230" t="s">
        <v>1073</v>
      </c>
      <c r="AM162" s="231">
        <v>3331625077.1755681</v>
      </c>
      <c r="AN162" s="231">
        <v>0</v>
      </c>
      <c r="AO162" s="231">
        <f t="shared" si="31"/>
        <v>3331625077.1755681</v>
      </c>
      <c r="AP162" s="231">
        <v>0</v>
      </c>
      <c r="AQ162" s="231">
        <v>0</v>
      </c>
      <c r="AR162" s="231">
        <v>166581253.84128737</v>
      </c>
      <c r="AS162" s="231">
        <v>0</v>
      </c>
      <c r="AT162" s="231">
        <f t="shared" si="38"/>
        <v>166581253.84128737</v>
      </c>
      <c r="AU162" s="231">
        <v>0</v>
      </c>
      <c r="AV162" s="231">
        <v>0</v>
      </c>
      <c r="AW162" s="232">
        <v>14600</v>
      </c>
      <c r="AX162" s="232"/>
      <c r="AY162" s="232"/>
      <c r="AZ162" s="232"/>
      <c r="BA162" s="221" t="s">
        <v>1129</v>
      </c>
      <c r="BB162" s="221" t="s">
        <v>1180</v>
      </c>
      <c r="BC162" s="233" t="s">
        <v>128</v>
      </c>
      <c r="BF162" s="51"/>
    </row>
    <row r="163" spans="1:58" ht="13.5" customHeight="1">
      <c r="A163" s="220">
        <f t="shared" si="24"/>
        <v>162</v>
      </c>
      <c r="B163" s="221" t="s">
        <v>976</v>
      </c>
      <c r="C163" s="221" t="s">
        <v>25</v>
      </c>
      <c r="D163" s="221" t="s">
        <v>118</v>
      </c>
      <c r="E163" s="221" t="s">
        <v>596</v>
      </c>
      <c r="F163" s="221" t="s">
        <v>1063</v>
      </c>
      <c r="G163" s="222" t="s">
        <v>1181</v>
      </c>
      <c r="H163" s="221" t="s">
        <v>154</v>
      </c>
      <c r="I163" s="221" t="s">
        <v>1182</v>
      </c>
      <c r="J163" s="221" t="s">
        <v>1183</v>
      </c>
      <c r="K163" s="221" t="s">
        <v>1184</v>
      </c>
      <c r="L163" s="221">
        <v>-74.819072222222204</v>
      </c>
      <c r="M163" s="221">
        <v>10.9467888888889</v>
      </c>
      <c r="N163" s="223" t="s">
        <v>228</v>
      </c>
      <c r="O163" s="230" t="s">
        <v>229</v>
      </c>
      <c r="P163" s="224">
        <f t="shared" si="37"/>
        <v>441218753.22995633</v>
      </c>
      <c r="Q163" s="225">
        <v>1</v>
      </c>
      <c r="R163" s="225">
        <v>1</v>
      </c>
      <c r="S163" s="225">
        <f t="shared" si="25"/>
        <v>0</v>
      </c>
      <c r="T163" s="225" t="str" cm="1">
        <f t="array" ref="T163">+_xlfn.IFS($P163&lt;=10000000000,IF(S163&gt;-0.05,"Verde",IF(S163&lt;=-0.1,"Rojo","Amarillo")),$P163&gt;10000000000,IF(S163&gt;-0.03,"Verde",IF(S163&lt;=-0.07,"Rojo","Amarillo")))</f>
        <v>Verde</v>
      </c>
      <c r="U163" s="226">
        <v>45372</v>
      </c>
      <c r="V163" s="226">
        <v>45390</v>
      </c>
      <c r="W163" s="226"/>
      <c r="X163" s="226">
        <v>45657</v>
      </c>
      <c r="Y163" s="272">
        <v>45657</v>
      </c>
      <c r="Z163" s="225" t="str">
        <f t="shared" ca="1" si="33"/>
        <v>En_Ejecución</v>
      </c>
      <c r="AA163" s="225" t="str">
        <f t="shared" ca="1" si="34"/>
        <v>-</v>
      </c>
      <c r="AB163" s="273" t="s">
        <v>364</v>
      </c>
      <c r="AC163" s="272"/>
      <c r="AD163" s="227"/>
      <c r="AE163" s="221" t="s">
        <v>1185</v>
      </c>
      <c r="AF163" s="223" t="s">
        <v>1168</v>
      </c>
      <c r="AG163" s="223" t="s">
        <v>25</v>
      </c>
      <c r="AH163" s="223" t="s">
        <v>1169</v>
      </c>
      <c r="AI163" s="221"/>
      <c r="AJ163" s="223" t="s">
        <v>336</v>
      </c>
      <c r="AK163" s="223" t="s">
        <v>25</v>
      </c>
      <c r="AL163" s="230" t="s">
        <v>1073</v>
      </c>
      <c r="AM163" s="231">
        <v>420208336.41158324</v>
      </c>
      <c r="AN163" s="231">
        <v>0</v>
      </c>
      <c r="AO163" s="231">
        <f t="shared" si="31"/>
        <v>420208336.41158324</v>
      </c>
      <c r="AP163" s="231">
        <v>0</v>
      </c>
      <c r="AQ163" s="231">
        <v>0</v>
      </c>
      <c r="AR163" s="231">
        <v>21010416.818373069</v>
      </c>
      <c r="AS163" s="231">
        <v>0</v>
      </c>
      <c r="AT163" s="231">
        <f t="shared" si="38"/>
        <v>21010416.818373069</v>
      </c>
      <c r="AU163" s="231">
        <v>0</v>
      </c>
      <c r="AV163" s="231">
        <v>0</v>
      </c>
      <c r="AW163" s="232">
        <v>5000</v>
      </c>
      <c r="AX163" s="232"/>
      <c r="AY163" s="232"/>
      <c r="AZ163" s="232"/>
      <c r="BA163" s="221" t="s">
        <v>1129</v>
      </c>
      <c r="BB163" s="221" t="s">
        <v>1186</v>
      </c>
      <c r="BC163" s="233" t="s">
        <v>128</v>
      </c>
      <c r="BF163" s="51"/>
    </row>
    <row r="164" spans="1:58" ht="13.5" customHeight="1">
      <c r="A164" s="220">
        <f t="shared" si="24"/>
        <v>163</v>
      </c>
      <c r="B164" s="221" t="s">
        <v>976</v>
      </c>
      <c r="C164" s="221" t="s">
        <v>25</v>
      </c>
      <c r="D164" s="221" t="s">
        <v>118</v>
      </c>
      <c r="E164" s="221" t="s">
        <v>596</v>
      </c>
      <c r="F164" s="221" t="s">
        <v>1063</v>
      </c>
      <c r="G164" s="222" t="s">
        <v>1187</v>
      </c>
      <c r="H164" s="221" t="s">
        <v>163</v>
      </c>
      <c r="I164" s="221" t="s">
        <v>1177</v>
      </c>
      <c r="J164" s="221" t="s">
        <v>1188</v>
      </c>
      <c r="K164" s="221" t="s">
        <v>1189</v>
      </c>
      <c r="L164" s="221">
        <v>-74.812858333333295</v>
      </c>
      <c r="M164" s="221">
        <v>10.9260083333333</v>
      </c>
      <c r="N164" s="223" t="s">
        <v>228</v>
      </c>
      <c r="O164" s="230" t="s">
        <v>229</v>
      </c>
      <c r="P164" s="224">
        <f t="shared" si="37"/>
        <v>364902420.29054445</v>
      </c>
      <c r="Q164" s="225">
        <v>0</v>
      </c>
      <c r="R164" s="225">
        <v>0</v>
      </c>
      <c r="S164" s="225">
        <f t="shared" si="25"/>
        <v>0</v>
      </c>
      <c r="T164" s="225" t="str" cm="1">
        <f t="array" ref="T164">+_xlfn.IFS($P164&lt;=10000000000,IF(S164&gt;-0.05,"Verde",IF(S164&lt;=-0.1,"Rojo","Amarillo")),$P164&gt;10000000000,IF(S164&gt;-0.03,"Verde",IF(S164&lt;=-0.07,"Rojo","Amarillo")))</f>
        <v>Verde</v>
      </c>
      <c r="U164" s="226">
        <v>45372</v>
      </c>
      <c r="V164" s="226">
        <v>45390</v>
      </c>
      <c r="W164" s="226"/>
      <c r="X164" s="226">
        <v>45657</v>
      </c>
      <c r="Y164" s="272">
        <v>45657</v>
      </c>
      <c r="Z164" s="225" t="str">
        <f t="shared" ca="1" si="33"/>
        <v>En_Ejecución</v>
      </c>
      <c r="AA164" s="225" t="str">
        <f t="shared" ca="1" si="34"/>
        <v>-</v>
      </c>
      <c r="AB164" s="273" t="s">
        <v>364</v>
      </c>
      <c r="AC164" s="272"/>
      <c r="AD164" s="227"/>
      <c r="AE164" s="221" t="s">
        <v>1190</v>
      </c>
      <c r="AF164" s="223" t="s">
        <v>1168</v>
      </c>
      <c r="AG164" s="223" t="s">
        <v>25</v>
      </c>
      <c r="AH164" s="223" t="s">
        <v>1169</v>
      </c>
      <c r="AI164" s="221"/>
      <c r="AJ164" s="223" t="s">
        <v>336</v>
      </c>
      <c r="AK164" s="223" t="s">
        <v>25</v>
      </c>
      <c r="AL164" s="230" t="s">
        <v>1073</v>
      </c>
      <c r="AM164" s="231">
        <v>347526114.56416094</v>
      </c>
      <c r="AN164" s="231">
        <v>0</v>
      </c>
      <c r="AO164" s="231">
        <f t="shared" si="31"/>
        <v>347526114.56416094</v>
      </c>
      <c r="AP164" s="231">
        <v>0</v>
      </c>
      <c r="AQ164" s="231">
        <v>0</v>
      </c>
      <c r="AR164" s="231">
        <v>17376305.726383533</v>
      </c>
      <c r="AS164" s="231">
        <v>0</v>
      </c>
      <c r="AT164" s="231">
        <f t="shared" si="38"/>
        <v>17376305.726383533</v>
      </c>
      <c r="AU164" s="231">
        <v>0</v>
      </c>
      <c r="AV164" s="231">
        <v>0</v>
      </c>
      <c r="AW164" s="232">
        <v>3900</v>
      </c>
      <c r="AX164" s="232"/>
      <c r="AY164" s="232"/>
      <c r="AZ164" s="232"/>
      <c r="BA164" s="221" t="s">
        <v>1129</v>
      </c>
      <c r="BB164" s="221" t="s">
        <v>1186</v>
      </c>
      <c r="BC164" s="233" t="s">
        <v>128</v>
      </c>
      <c r="BF164" s="51"/>
    </row>
    <row r="165" spans="1:58" ht="13.5" customHeight="1">
      <c r="A165" s="220">
        <f t="shared" si="24"/>
        <v>164</v>
      </c>
      <c r="B165" s="221" t="s">
        <v>976</v>
      </c>
      <c r="C165" s="221" t="s">
        <v>25</v>
      </c>
      <c r="D165" s="221" t="s">
        <v>118</v>
      </c>
      <c r="E165" s="221" t="s">
        <v>596</v>
      </c>
      <c r="F165" s="221" t="s">
        <v>1063</v>
      </c>
      <c r="G165" s="222" t="s">
        <v>1191</v>
      </c>
      <c r="H165" s="221" t="s">
        <v>154</v>
      </c>
      <c r="I165" s="221" t="s">
        <v>1192</v>
      </c>
      <c r="J165" s="221" t="s">
        <v>1165</v>
      </c>
      <c r="K165" s="221" t="s">
        <v>1193</v>
      </c>
      <c r="L165" s="221">
        <v>-74.818269444444397</v>
      </c>
      <c r="M165" s="221">
        <v>10.964591666666699</v>
      </c>
      <c r="N165" s="223" t="s">
        <v>228</v>
      </c>
      <c r="O165" s="230" t="s">
        <v>229</v>
      </c>
      <c r="P165" s="224">
        <f t="shared" si="37"/>
        <v>2915165999.9653788</v>
      </c>
      <c r="Q165" s="225">
        <v>3.8E-3</v>
      </c>
      <c r="R165" s="225">
        <v>3.8E-3</v>
      </c>
      <c r="S165" s="225">
        <f t="shared" si="25"/>
        <v>0</v>
      </c>
      <c r="T165" s="225" t="str" cm="1">
        <f t="array" ref="T165">+_xlfn.IFS($P165&lt;=10000000000,IF(S165&gt;-0.05,"Verde",IF(S165&lt;=-0.1,"Rojo","Amarillo")),$P165&gt;10000000000,IF(S165&gt;-0.03,"Verde",IF(S165&lt;=-0.07,"Rojo","Amarillo")))</f>
        <v>Verde</v>
      </c>
      <c r="U165" s="226">
        <v>45372</v>
      </c>
      <c r="V165" s="226">
        <v>45388</v>
      </c>
      <c r="W165" s="226"/>
      <c r="X165" s="226">
        <v>45657</v>
      </c>
      <c r="Y165" s="272">
        <v>46022</v>
      </c>
      <c r="Z165" s="225" t="str">
        <f t="shared" ca="1" si="33"/>
        <v>En_Ejecución</v>
      </c>
      <c r="AA165" s="225" t="str">
        <f t="shared" ca="1" si="34"/>
        <v>-</v>
      </c>
      <c r="AB165" s="273" t="s">
        <v>364</v>
      </c>
      <c r="AC165" s="272"/>
      <c r="AD165" s="227"/>
      <c r="AE165" s="221" t="s">
        <v>1185</v>
      </c>
      <c r="AF165" s="223" t="s">
        <v>1194</v>
      </c>
      <c r="AG165" s="223" t="s">
        <v>1195</v>
      </c>
      <c r="AH165" s="223" t="s">
        <v>1196</v>
      </c>
      <c r="AI165" s="221"/>
      <c r="AJ165" s="223" t="s">
        <v>336</v>
      </c>
      <c r="AK165" s="223" t="s">
        <v>25</v>
      </c>
      <c r="AL165" s="230" t="s">
        <v>1073</v>
      </c>
      <c r="AM165" s="231">
        <v>2776348571.4094806</v>
      </c>
      <c r="AN165" s="231">
        <v>0</v>
      </c>
      <c r="AO165" s="231">
        <f t="shared" si="31"/>
        <v>2776348571.4094806</v>
      </c>
      <c r="AP165" s="231">
        <v>0</v>
      </c>
      <c r="AQ165" s="231">
        <v>0</v>
      </c>
      <c r="AR165" s="231">
        <v>138817428.55589819</v>
      </c>
      <c r="AS165" s="231">
        <v>0</v>
      </c>
      <c r="AT165" s="231">
        <f t="shared" si="38"/>
        <v>138817428.55589819</v>
      </c>
      <c r="AU165" s="231">
        <v>0</v>
      </c>
      <c r="AV165" s="231">
        <v>0</v>
      </c>
      <c r="AW165" s="232">
        <v>9500</v>
      </c>
      <c r="AX165" s="232"/>
      <c r="AY165" s="232"/>
      <c r="AZ165" s="232"/>
      <c r="BA165" s="221" t="s">
        <v>1129</v>
      </c>
      <c r="BB165" s="221" t="s">
        <v>1186</v>
      </c>
      <c r="BC165" s="233" t="s">
        <v>128</v>
      </c>
      <c r="BF165" s="51"/>
    </row>
    <row r="166" spans="1:58" ht="13.5" customHeight="1">
      <c r="A166" s="220">
        <f t="shared" ref="A166:A229" si="39">+A165+1</f>
        <v>165</v>
      </c>
      <c r="B166" s="221" t="s">
        <v>976</v>
      </c>
      <c r="C166" s="221" t="s">
        <v>25</v>
      </c>
      <c r="D166" s="221" t="s">
        <v>118</v>
      </c>
      <c r="E166" s="221" t="s">
        <v>596</v>
      </c>
      <c r="F166" s="221" t="s">
        <v>1063</v>
      </c>
      <c r="G166" s="222" t="s">
        <v>1197</v>
      </c>
      <c r="H166" s="221" t="s">
        <v>154</v>
      </c>
      <c r="I166" s="221" t="s">
        <v>1198</v>
      </c>
      <c r="J166" s="221" t="s">
        <v>1199</v>
      </c>
      <c r="K166" s="221" t="s">
        <v>1200</v>
      </c>
      <c r="L166" s="221">
        <v>-74.838605446884102</v>
      </c>
      <c r="M166" s="221">
        <v>10.9784625274572</v>
      </c>
      <c r="N166" s="223" t="s">
        <v>228</v>
      </c>
      <c r="O166" s="230" t="s">
        <v>127</v>
      </c>
      <c r="P166" s="224">
        <f t="shared" si="37"/>
        <v>1852325611.6019962</v>
      </c>
      <c r="Q166" s="225">
        <v>1</v>
      </c>
      <c r="R166" s="225">
        <v>1</v>
      </c>
      <c r="S166" s="225">
        <f t="shared" si="25"/>
        <v>0</v>
      </c>
      <c r="T166" s="225" t="str" cm="1">
        <f t="array" ref="T166">+_xlfn.IFS($P166&lt;=10000000000,IF(S166&gt;-0.05,"Verde",IF(S166&lt;=-0.1,"Rojo","Amarillo")),$P166&gt;10000000000,IF(S166&gt;-0.03,"Verde",IF(S166&lt;=-0.07,"Rojo","Amarillo")))</f>
        <v>Verde</v>
      </c>
      <c r="U166" s="226">
        <v>45372</v>
      </c>
      <c r="V166" s="226">
        <v>45388</v>
      </c>
      <c r="W166" s="226">
        <v>45404</v>
      </c>
      <c r="X166" s="226">
        <v>45657</v>
      </c>
      <c r="Y166" s="272">
        <v>45868</v>
      </c>
      <c r="Z166" s="225" t="str">
        <f t="shared" ca="1" si="33"/>
        <v>Terminado</v>
      </c>
      <c r="AA166" s="225" t="str">
        <f t="shared" ca="1" si="34"/>
        <v>-</v>
      </c>
      <c r="AB166" s="273" t="s">
        <v>364</v>
      </c>
      <c r="AC166" s="272"/>
      <c r="AD166" s="227"/>
      <c r="AE166" s="221" t="s">
        <v>1185</v>
      </c>
      <c r="AF166" s="223" t="s">
        <v>1194</v>
      </c>
      <c r="AG166" s="223" t="s">
        <v>1195</v>
      </c>
      <c r="AH166" s="223" t="s">
        <v>1196</v>
      </c>
      <c r="AI166" s="221"/>
      <c r="AJ166" s="223" t="s">
        <v>336</v>
      </c>
      <c r="AK166" s="223" t="s">
        <v>25</v>
      </c>
      <c r="AL166" s="230" t="s">
        <v>1073</v>
      </c>
      <c r="AM166" s="231">
        <v>1764119630.1059599</v>
      </c>
      <c r="AN166" s="231">
        <v>0</v>
      </c>
      <c r="AO166" s="231">
        <f t="shared" si="31"/>
        <v>1764119630.1059599</v>
      </c>
      <c r="AP166" s="231">
        <v>0</v>
      </c>
      <c r="AQ166" s="231">
        <v>0</v>
      </c>
      <c r="AR166" s="231">
        <v>88205981.496036366</v>
      </c>
      <c r="AS166" s="231">
        <v>0</v>
      </c>
      <c r="AT166" s="231">
        <f t="shared" si="38"/>
        <v>88205981.496036366</v>
      </c>
      <c r="AU166" s="231">
        <v>0</v>
      </c>
      <c r="AV166" s="231">
        <v>0</v>
      </c>
      <c r="AW166" s="232">
        <v>12350</v>
      </c>
      <c r="AX166" s="232"/>
      <c r="AY166" s="232"/>
      <c r="AZ166" s="232"/>
      <c r="BA166" s="221" t="s">
        <v>1129</v>
      </c>
      <c r="BB166" s="221" t="s">
        <v>1201</v>
      </c>
      <c r="BC166" s="233" t="s">
        <v>128</v>
      </c>
      <c r="BF166" s="51"/>
    </row>
    <row r="167" spans="1:58" ht="13.5" customHeight="1">
      <c r="A167" s="220">
        <f t="shared" si="39"/>
        <v>166</v>
      </c>
      <c r="B167" s="221" t="s">
        <v>976</v>
      </c>
      <c r="C167" s="221" t="s">
        <v>25</v>
      </c>
      <c r="D167" s="221" t="s">
        <v>118</v>
      </c>
      <c r="E167" s="221" t="s">
        <v>596</v>
      </c>
      <c r="F167" s="221" t="s">
        <v>1063</v>
      </c>
      <c r="G167" s="222" t="s">
        <v>1202</v>
      </c>
      <c r="H167" s="221" t="s">
        <v>154</v>
      </c>
      <c r="I167" s="221" t="s">
        <v>1203</v>
      </c>
      <c r="J167" s="221" t="s">
        <v>1204</v>
      </c>
      <c r="K167" s="221" t="s">
        <v>1205</v>
      </c>
      <c r="L167" s="221">
        <v>-74.856955555555501</v>
      </c>
      <c r="M167" s="221">
        <v>10.9591305555556</v>
      </c>
      <c r="N167" s="223" t="s">
        <v>228</v>
      </c>
      <c r="O167" s="230" t="s">
        <v>229</v>
      </c>
      <c r="P167" s="224">
        <f t="shared" si="37"/>
        <v>1534852467.7443087</v>
      </c>
      <c r="Q167" s="225">
        <v>0.4667</v>
      </c>
      <c r="R167" s="225">
        <v>8.5900000000000004E-2</v>
      </c>
      <c r="S167" s="225">
        <f t="shared" ref="S167:S230" si="40">+R167-Q167</f>
        <v>-0.38080000000000003</v>
      </c>
      <c r="T167" s="225" t="str" cm="1">
        <f t="array" ref="T167">+_xlfn.IFS($P167&lt;=10000000000,IF(S167&gt;-0.05,"Verde",IF(S167&lt;=-0.1,"Rojo","Amarillo")),$P167&gt;10000000000,IF(S167&gt;-0.03,"Verde",IF(S167&lt;=-0.07,"Rojo","Amarillo")))</f>
        <v>Rojo</v>
      </c>
      <c r="U167" s="226">
        <v>45372</v>
      </c>
      <c r="V167" s="226">
        <v>45388</v>
      </c>
      <c r="W167" s="226">
        <v>45404</v>
      </c>
      <c r="X167" s="226">
        <v>45657</v>
      </c>
      <c r="Y167" s="272">
        <v>45868</v>
      </c>
      <c r="Z167" s="225" t="str">
        <f t="shared" ca="1" si="33"/>
        <v>Rojo</v>
      </c>
      <c r="AA167" s="225" t="str">
        <f t="shared" ca="1" si="34"/>
        <v>En_Seguimiento</v>
      </c>
      <c r="AB167" s="273" t="s">
        <v>364</v>
      </c>
      <c r="AC167" s="272"/>
      <c r="AD167" s="227"/>
      <c r="AE167" s="221" t="s">
        <v>1185</v>
      </c>
      <c r="AF167" s="223" t="s">
        <v>1194</v>
      </c>
      <c r="AG167" s="223" t="s">
        <v>1195</v>
      </c>
      <c r="AH167" s="223" t="s">
        <v>1196</v>
      </c>
      <c r="AI167" s="221"/>
      <c r="AJ167" s="223" t="s">
        <v>336</v>
      </c>
      <c r="AK167" s="223" t="s">
        <v>25</v>
      </c>
      <c r="AL167" s="230" t="s">
        <v>1073</v>
      </c>
      <c r="AM167" s="231">
        <v>1461764255.0018885</v>
      </c>
      <c r="AN167" s="231">
        <v>0</v>
      </c>
      <c r="AO167" s="231">
        <f t="shared" si="31"/>
        <v>1461764255.0018885</v>
      </c>
      <c r="AP167" s="231">
        <v>0</v>
      </c>
      <c r="AQ167" s="231">
        <v>0</v>
      </c>
      <c r="AR167" s="231">
        <v>73088212.742420167</v>
      </c>
      <c r="AS167" s="231">
        <v>0</v>
      </c>
      <c r="AT167" s="231">
        <f t="shared" si="38"/>
        <v>73088212.742420167</v>
      </c>
      <c r="AU167" s="231">
        <v>0</v>
      </c>
      <c r="AV167" s="231">
        <v>0</v>
      </c>
      <c r="AW167" s="232">
        <v>17500</v>
      </c>
      <c r="AX167" s="232"/>
      <c r="AY167" s="232"/>
      <c r="AZ167" s="232"/>
      <c r="BA167" s="221" t="s">
        <v>1129</v>
      </c>
      <c r="BB167" s="221" t="s">
        <v>1206</v>
      </c>
      <c r="BC167" s="233" t="s">
        <v>128</v>
      </c>
      <c r="BF167" s="51"/>
    </row>
    <row r="168" spans="1:58" ht="13.5" customHeight="1">
      <c r="A168" s="220">
        <f t="shared" si="39"/>
        <v>167</v>
      </c>
      <c r="B168" s="221" t="s">
        <v>976</v>
      </c>
      <c r="C168" s="221" t="s">
        <v>25</v>
      </c>
      <c r="D168" s="221" t="s">
        <v>118</v>
      </c>
      <c r="E168" s="221" t="s">
        <v>596</v>
      </c>
      <c r="F168" s="221" t="s">
        <v>1063</v>
      </c>
      <c r="G168" s="222" t="s">
        <v>1207</v>
      </c>
      <c r="H168" s="221" t="s">
        <v>154</v>
      </c>
      <c r="I168" s="221" t="s">
        <v>1208</v>
      </c>
      <c r="J168" s="221" t="s">
        <v>1209</v>
      </c>
      <c r="K168" s="221" t="s">
        <v>1210</v>
      </c>
      <c r="L168" s="221">
        <v>-74.8918527777778</v>
      </c>
      <c r="M168" s="221">
        <v>10.958030555555601</v>
      </c>
      <c r="N168" s="223" t="s">
        <v>228</v>
      </c>
      <c r="O168" s="230" t="s">
        <v>127</v>
      </c>
      <c r="P168" s="224">
        <f t="shared" si="37"/>
        <v>829944785.5084697</v>
      </c>
      <c r="Q168" s="225">
        <v>1</v>
      </c>
      <c r="R168" s="225">
        <v>1</v>
      </c>
      <c r="S168" s="225">
        <f t="shared" si="40"/>
        <v>0</v>
      </c>
      <c r="T168" s="225" t="str" cm="1">
        <f t="array" ref="T168">+_xlfn.IFS($P168&lt;=10000000000,IF(S168&gt;-0.05,"Verde",IF(S168&lt;=-0.1,"Rojo","Amarillo")),$P168&gt;10000000000,IF(S168&gt;-0.03,"Verde",IF(S168&lt;=-0.07,"Rojo","Amarillo")))</f>
        <v>Verde</v>
      </c>
      <c r="U168" s="226">
        <v>45372</v>
      </c>
      <c r="V168" s="226">
        <v>45388</v>
      </c>
      <c r="W168" s="226">
        <v>45404</v>
      </c>
      <c r="X168" s="226">
        <v>45657</v>
      </c>
      <c r="Y168" s="272">
        <v>45868</v>
      </c>
      <c r="Z168" s="225" t="str">
        <f t="shared" ca="1" si="33"/>
        <v>Terminado</v>
      </c>
      <c r="AA168" s="225" t="str">
        <f t="shared" ca="1" si="34"/>
        <v>-</v>
      </c>
      <c r="AB168" s="273" t="s">
        <v>364</v>
      </c>
      <c r="AC168" s="272"/>
      <c r="AD168" s="227"/>
      <c r="AE168" s="221" t="s">
        <v>1185</v>
      </c>
      <c r="AF168" s="223" t="s">
        <v>1194</v>
      </c>
      <c r="AG168" s="223" t="s">
        <v>1195</v>
      </c>
      <c r="AH168" s="223" t="s">
        <v>1196</v>
      </c>
      <c r="AI168" s="221"/>
      <c r="AJ168" s="223" t="s">
        <v>336</v>
      </c>
      <c r="AK168" s="223" t="s">
        <v>25</v>
      </c>
      <c r="AL168" s="230" t="s">
        <v>1073</v>
      </c>
      <c r="AM168" s="231">
        <v>790423605.25011373</v>
      </c>
      <c r="AN168" s="231">
        <v>0</v>
      </c>
      <c r="AO168" s="231">
        <f t="shared" si="31"/>
        <v>790423605.25011373</v>
      </c>
      <c r="AP168" s="231">
        <v>0</v>
      </c>
      <c r="AQ168" s="231">
        <v>0</v>
      </c>
      <c r="AR168" s="231">
        <v>39521180.25835596</v>
      </c>
      <c r="AS168" s="231">
        <v>0</v>
      </c>
      <c r="AT168" s="231">
        <f t="shared" si="38"/>
        <v>39521180.25835596</v>
      </c>
      <c r="AU168" s="231">
        <v>0</v>
      </c>
      <c r="AV168" s="231">
        <v>0</v>
      </c>
      <c r="AW168" s="232">
        <v>7450</v>
      </c>
      <c r="AX168" s="232"/>
      <c r="AY168" s="232"/>
      <c r="AZ168" s="232"/>
      <c r="BA168" s="221" t="s">
        <v>1129</v>
      </c>
      <c r="BB168" s="221" t="s">
        <v>1211</v>
      </c>
      <c r="BC168" s="233" t="s">
        <v>128</v>
      </c>
      <c r="BF168" s="51"/>
    </row>
    <row r="169" spans="1:58" ht="13.5" customHeight="1">
      <c r="A169" s="220">
        <f t="shared" si="39"/>
        <v>168</v>
      </c>
      <c r="B169" s="221" t="s">
        <v>976</v>
      </c>
      <c r="C169" s="221" t="s">
        <v>25</v>
      </c>
      <c r="D169" s="221" t="s">
        <v>118</v>
      </c>
      <c r="E169" s="221" t="s">
        <v>596</v>
      </c>
      <c r="F169" s="221" t="s">
        <v>1063</v>
      </c>
      <c r="G169" s="222" t="s">
        <v>1212</v>
      </c>
      <c r="H169" s="221" t="s">
        <v>582</v>
      </c>
      <c r="I169" s="221" t="s">
        <v>1213</v>
      </c>
      <c r="J169" s="221" t="s">
        <v>1214</v>
      </c>
      <c r="K169" s="221" t="s">
        <v>1215</v>
      </c>
      <c r="L169" s="221">
        <v>-74.784094444444406</v>
      </c>
      <c r="M169" s="221">
        <v>10.9593666666667</v>
      </c>
      <c r="N169" s="223" t="s">
        <v>228</v>
      </c>
      <c r="O169" s="230" t="s">
        <v>127</v>
      </c>
      <c r="P169" s="224">
        <f t="shared" si="37"/>
        <v>687644006.76487613</v>
      </c>
      <c r="Q169" s="225">
        <v>1</v>
      </c>
      <c r="R169" s="225">
        <v>1</v>
      </c>
      <c r="S169" s="225">
        <f t="shared" si="40"/>
        <v>0</v>
      </c>
      <c r="T169" s="225" t="str" cm="1">
        <f t="array" ref="T169">+_xlfn.IFS($P169&lt;=10000000000,IF(S169&gt;-0.05,"Verde",IF(S169&lt;=-0.1,"Rojo","Amarillo")),$P169&gt;10000000000,IF(S169&gt;-0.03,"Verde",IF(S169&lt;=-0.07,"Rojo","Amarillo")))</f>
        <v>Verde</v>
      </c>
      <c r="U169" s="226">
        <v>45372</v>
      </c>
      <c r="V169" s="226">
        <v>45388</v>
      </c>
      <c r="W169" s="226">
        <v>45404</v>
      </c>
      <c r="X169" s="226">
        <v>45657</v>
      </c>
      <c r="Y169" s="272">
        <v>45856</v>
      </c>
      <c r="Z169" s="225" t="str">
        <f t="shared" ca="1" si="33"/>
        <v>Terminado</v>
      </c>
      <c r="AA169" s="225" t="str">
        <f t="shared" ca="1" si="34"/>
        <v>-</v>
      </c>
      <c r="AB169" s="273" t="s">
        <v>364</v>
      </c>
      <c r="AC169" s="272"/>
      <c r="AD169" s="227"/>
      <c r="AE169" s="221" t="s">
        <v>1185</v>
      </c>
      <c r="AF169" s="223" t="s">
        <v>1194</v>
      </c>
      <c r="AG169" s="223" t="s">
        <v>1195</v>
      </c>
      <c r="AH169" s="223" t="s">
        <v>1196</v>
      </c>
      <c r="AI169" s="221"/>
      <c r="AJ169" s="223" t="s">
        <v>336</v>
      </c>
      <c r="AK169" s="223" t="s">
        <v>25</v>
      </c>
      <c r="AL169" s="230" t="s">
        <v>1073</v>
      </c>
      <c r="AM169" s="231">
        <v>654899054.06506133</v>
      </c>
      <c r="AN169" s="231">
        <v>0</v>
      </c>
      <c r="AO169" s="231">
        <f t="shared" si="31"/>
        <v>654899054.06506133</v>
      </c>
      <c r="AP169" s="231">
        <v>0</v>
      </c>
      <c r="AQ169" s="231">
        <v>0</v>
      </c>
      <c r="AR169" s="231">
        <v>32744952.699814849</v>
      </c>
      <c r="AS169" s="231">
        <v>0</v>
      </c>
      <c r="AT169" s="231">
        <f t="shared" si="38"/>
        <v>32744952.699814849</v>
      </c>
      <c r="AU169" s="231">
        <v>0</v>
      </c>
      <c r="AV169" s="231">
        <v>0</v>
      </c>
      <c r="AW169" s="232">
        <v>4300</v>
      </c>
      <c r="AX169" s="232"/>
      <c r="AY169" s="232"/>
      <c r="AZ169" s="232"/>
      <c r="BA169" s="221" t="s">
        <v>1129</v>
      </c>
      <c r="BB169" s="221" t="s">
        <v>1216</v>
      </c>
      <c r="BC169" s="233" t="s">
        <v>128</v>
      </c>
      <c r="BF169" s="51"/>
    </row>
    <row r="170" spans="1:58" ht="13.5" customHeight="1">
      <c r="A170" s="220">
        <f t="shared" si="39"/>
        <v>169</v>
      </c>
      <c r="B170" s="221" t="s">
        <v>976</v>
      </c>
      <c r="C170" s="221" t="s">
        <v>25</v>
      </c>
      <c r="D170" s="221" t="s">
        <v>118</v>
      </c>
      <c r="E170" s="221" t="s">
        <v>596</v>
      </c>
      <c r="F170" s="221" t="s">
        <v>1063</v>
      </c>
      <c r="G170" s="222" t="s">
        <v>1217</v>
      </c>
      <c r="H170" s="221" t="s">
        <v>582</v>
      </c>
      <c r="I170" s="221" t="s">
        <v>1218</v>
      </c>
      <c r="J170" s="221" t="s">
        <v>1219</v>
      </c>
      <c r="K170" s="221" t="s">
        <v>1220</v>
      </c>
      <c r="L170" s="221">
        <v>-74.7831210690304</v>
      </c>
      <c r="M170" s="221">
        <v>10.9532925311578</v>
      </c>
      <c r="N170" s="223" t="s">
        <v>228</v>
      </c>
      <c r="O170" s="230" t="s">
        <v>229</v>
      </c>
      <c r="P170" s="224">
        <f t="shared" si="37"/>
        <v>424084862.71340925</v>
      </c>
      <c r="Q170" s="225">
        <v>8.5999999999999993E-2</v>
      </c>
      <c r="R170" s="225">
        <v>8.5999999999999993E-2</v>
      </c>
      <c r="S170" s="225">
        <f t="shared" si="40"/>
        <v>0</v>
      </c>
      <c r="T170" s="225" t="str" cm="1">
        <f t="array" ref="T170">+_xlfn.IFS($P170&lt;=10000000000,IF(S170&gt;-0.05,"Verde",IF(S170&lt;=-0.1,"Rojo","Amarillo")),$P170&gt;10000000000,IF(S170&gt;-0.03,"Verde",IF(S170&lt;=-0.07,"Rojo","Amarillo")))</f>
        <v>Verde</v>
      </c>
      <c r="U170" s="226">
        <v>45372</v>
      </c>
      <c r="V170" s="226">
        <v>45388</v>
      </c>
      <c r="W170" s="226"/>
      <c r="X170" s="226">
        <v>45657</v>
      </c>
      <c r="Y170" s="272">
        <v>45657</v>
      </c>
      <c r="Z170" s="225" t="str">
        <f t="shared" ca="1" si="33"/>
        <v>En_Ejecución</v>
      </c>
      <c r="AA170" s="225" t="str">
        <f t="shared" ca="1" si="34"/>
        <v>-</v>
      </c>
      <c r="AB170" s="273" t="s">
        <v>364</v>
      </c>
      <c r="AC170" s="272"/>
      <c r="AD170" s="227"/>
      <c r="AE170" s="221" t="s">
        <v>1185</v>
      </c>
      <c r="AF170" s="223" t="s">
        <v>1194</v>
      </c>
      <c r="AG170" s="223" t="s">
        <v>1195</v>
      </c>
      <c r="AH170" s="223" t="s">
        <v>1196</v>
      </c>
      <c r="AI170" s="221"/>
      <c r="AJ170" s="223" t="s">
        <v>336</v>
      </c>
      <c r="AK170" s="223" t="s">
        <v>25</v>
      </c>
      <c r="AL170" s="230" t="s">
        <v>1073</v>
      </c>
      <c r="AM170" s="231">
        <v>403890345.44336158</v>
      </c>
      <c r="AN170" s="231">
        <v>0</v>
      </c>
      <c r="AO170" s="231">
        <f t="shared" si="31"/>
        <v>403890345.44336158</v>
      </c>
      <c r="AP170" s="231">
        <v>0</v>
      </c>
      <c r="AQ170" s="231">
        <v>0</v>
      </c>
      <c r="AR170" s="231">
        <v>20194517.270047653</v>
      </c>
      <c r="AS170" s="231">
        <v>0</v>
      </c>
      <c r="AT170" s="231">
        <f t="shared" si="38"/>
        <v>20194517.270047653</v>
      </c>
      <c r="AU170" s="231">
        <v>0</v>
      </c>
      <c r="AV170" s="231">
        <v>0</v>
      </c>
      <c r="AW170" s="232">
        <v>3750</v>
      </c>
      <c r="AX170" s="232"/>
      <c r="AY170" s="232"/>
      <c r="AZ170" s="232"/>
      <c r="BA170" s="221" t="s">
        <v>1129</v>
      </c>
      <c r="BB170" s="221" t="s">
        <v>1186</v>
      </c>
      <c r="BC170" s="233" t="s">
        <v>128</v>
      </c>
      <c r="BF170" s="51"/>
    </row>
    <row r="171" spans="1:58" ht="13.5" customHeight="1">
      <c r="A171" s="220">
        <f t="shared" si="39"/>
        <v>170</v>
      </c>
      <c r="B171" s="221" t="s">
        <v>976</v>
      </c>
      <c r="C171" s="221" t="s">
        <v>25</v>
      </c>
      <c r="D171" s="221" t="s">
        <v>118</v>
      </c>
      <c r="E171" s="221" t="s">
        <v>596</v>
      </c>
      <c r="F171" s="221" t="s">
        <v>1063</v>
      </c>
      <c r="G171" s="222" t="s">
        <v>1221</v>
      </c>
      <c r="H171" s="221" t="s">
        <v>154</v>
      </c>
      <c r="I171" s="221" t="s">
        <v>1222</v>
      </c>
      <c r="J171" s="221" t="s">
        <v>1223</v>
      </c>
      <c r="K171" s="221" t="s">
        <v>1224</v>
      </c>
      <c r="L171" s="221">
        <v>-74.830680555555503</v>
      </c>
      <c r="M171" s="221">
        <v>10.9826472222222</v>
      </c>
      <c r="N171" s="223" t="s">
        <v>228</v>
      </c>
      <c r="O171" s="230" t="s">
        <v>229</v>
      </c>
      <c r="P171" s="224">
        <f t="shared" si="37"/>
        <v>288679132.62018096</v>
      </c>
      <c r="Q171" s="225">
        <v>0</v>
      </c>
      <c r="R171" s="225">
        <v>0</v>
      </c>
      <c r="S171" s="225">
        <f t="shared" si="40"/>
        <v>0</v>
      </c>
      <c r="T171" s="225" t="str" cm="1">
        <f t="array" ref="T171">+_xlfn.IFS($P171&lt;=10000000000,IF(S171&gt;-0.05,"Verde",IF(S171&lt;=-0.1,"Rojo","Amarillo")),$P171&gt;10000000000,IF(S171&gt;-0.03,"Verde",IF(S171&lt;=-0.07,"Rojo","Amarillo")))</f>
        <v>Verde</v>
      </c>
      <c r="U171" s="226">
        <v>45372</v>
      </c>
      <c r="V171" s="226">
        <v>45388</v>
      </c>
      <c r="W171" s="226"/>
      <c r="X171" s="226">
        <v>45657</v>
      </c>
      <c r="Y171" s="272">
        <v>45657</v>
      </c>
      <c r="Z171" s="225" t="str">
        <f t="shared" ca="1" si="33"/>
        <v>En_Ejecución</v>
      </c>
      <c r="AA171" s="225" t="str">
        <f t="shared" ca="1" si="34"/>
        <v>-</v>
      </c>
      <c r="AB171" s="273" t="s">
        <v>364</v>
      </c>
      <c r="AC171" s="272"/>
      <c r="AD171" s="227"/>
      <c r="AE171" s="221" t="s">
        <v>1185</v>
      </c>
      <c r="AF171" s="223" t="s">
        <v>1194</v>
      </c>
      <c r="AG171" s="223" t="s">
        <v>1195</v>
      </c>
      <c r="AH171" s="223" t="s">
        <v>1196</v>
      </c>
      <c r="AI171" s="221"/>
      <c r="AJ171" s="223" t="s">
        <v>336</v>
      </c>
      <c r="AK171" s="223" t="s">
        <v>25</v>
      </c>
      <c r="AL171" s="230" t="s">
        <v>1073</v>
      </c>
      <c r="AM171" s="231">
        <v>274932507.25868988</v>
      </c>
      <c r="AN171" s="231">
        <v>0</v>
      </c>
      <c r="AO171" s="231">
        <f t="shared" si="31"/>
        <v>274932507.25868988</v>
      </c>
      <c r="AP171" s="231">
        <v>0</v>
      </c>
      <c r="AQ171" s="231">
        <v>0</v>
      </c>
      <c r="AR171" s="231">
        <v>13746625.361491099</v>
      </c>
      <c r="AS171" s="231">
        <v>0</v>
      </c>
      <c r="AT171" s="231">
        <f t="shared" si="38"/>
        <v>13746625.361491099</v>
      </c>
      <c r="AU171" s="231">
        <v>0</v>
      </c>
      <c r="AV171" s="231">
        <v>0</v>
      </c>
      <c r="AW171" s="232">
        <v>2700</v>
      </c>
      <c r="AX171" s="232"/>
      <c r="AY171" s="232"/>
      <c r="AZ171" s="232"/>
      <c r="BA171" s="221" t="s">
        <v>1129</v>
      </c>
      <c r="BB171" s="221" t="s">
        <v>1186</v>
      </c>
      <c r="BC171" s="233" t="s">
        <v>128</v>
      </c>
      <c r="BF171" s="51"/>
    </row>
    <row r="172" spans="1:58" ht="13.5" customHeight="1">
      <c r="A172" s="220">
        <f t="shared" si="39"/>
        <v>171</v>
      </c>
      <c r="B172" s="221" t="s">
        <v>976</v>
      </c>
      <c r="C172" s="221" t="s">
        <v>25</v>
      </c>
      <c r="D172" s="221" t="s">
        <v>118</v>
      </c>
      <c r="E172" s="221" t="s">
        <v>596</v>
      </c>
      <c r="F172" s="221" t="s">
        <v>1063</v>
      </c>
      <c r="G172" s="222" t="s">
        <v>1225</v>
      </c>
      <c r="H172" s="221" t="s">
        <v>163</v>
      </c>
      <c r="I172" s="221" t="s">
        <v>1226</v>
      </c>
      <c r="J172" s="221" t="s">
        <v>1227</v>
      </c>
      <c r="K172" s="221" t="s">
        <v>1228</v>
      </c>
      <c r="L172" s="221">
        <v>-74.815977777777803</v>
      </c>
      <c r="M172" s="221">
        <v>10.9363694444444</v>
      </c>
      <c r="N172" s="223" t="s">
        <v>228</v>
      </c>
      <c r="O172" s="230" t="s">
        <v>229</v>
      </c>
      <c r="P172" s="224">
        <f t="shared" si="37"/>
        <v>1855438864.5198522</v>
      </c>
      <c r="Q172" s="225">
        <v>1</v>
      </c>
      <c r="R172" s="225">
        <v>1</v>
      </c>
      <c r="S172" s="225">
        <f t="shared" si="40"/>
        <v>0</v>
      </c>
      <c r="T172" s="225" t="str" cm="1">
        <f t="array" ref="T172">+_xlfn.IFS($P172&lt;=10000000000,IF(S172&gt;-0.05,"Verde",IF(S172&lt;=-0.1,"Rojo","Amarillo")),$P172&gt;10000000000,IF(S172&gt;-0.03,"Verde",IF(S172&lt;=-0.07,"Rojo","Amarillo")))</f>
        <v>Verde</v>
      </c>
      <c r="U172" s="226">
        <v>45372</v>
      </c>
      <c r="V172" s="226">
        <v>45393</v>
      </c>
      <c r="W172" s="226"/>
      <c r="X172" s="226">
        <v>45657</v>
      </c>
      <c r="Y172" s="272">
        <v>45657</v>
      </c>
      <c r="Z172" s="225" t="str">
        <f t="shared" ca="1" si="33"/>
        <v>En_Ejecución</v>
      </c>
      <c r="AA172" s="225" t="str">
        <f t="shared" ca="1" si="34"/>
        <v>-</v>
      </c>
      <c r="AB172" s="273" t="s">
        <v>364</v>
      </c>
      <c r="AC172" s="272"/>
      <c r="AD172" s="227"/>
      <c r="AE172" s="221" t="s">
        <v>1190</v>
      </c>
      <c r="AF172" s="223" t="s">
        <v>1229</v>
      </c>
      <c r="AG172" s="223" t="s">
        <v>1230</v>
      </c>
      <c r="AH172" s="223" t="s">
        <v>1231</v>
      </c>
      <c r="AI172" s="221"/>
      <c r="AJ172" s="223" t="s">
        <v>336</v>
      </c>
      <c r="AK172" s="223" t="s">
        <v>25</v>
      </c>
      <c r="AL172" s="230" t="s">
        <v>1073</v>
      </c>
      <c r="AM172" s="231">
        <v>1767084632.8848851</v>
      </c>
      <c r="AN172" s="231">
        <v>0</v>
      </c>
      <c r="AO172" s="231">
        <f t="shared" si="31"/>
        <v>1767084632.8848851</v>
      </c>
      <c r="AP172" s="231">
        <v>0</v>
      </c>
      <c r="AQ172" s="231">
        <v>0</v>
      </c>
      <c r="AR172" s="231">
        <v>88354231.634967059</v>
      </c>
      <c r="AS172" s="231">
        <v>0</v>
      </c>
      <c r="AT172" s="231">
        <f t="shared" si="38"/>
        <v>88354231.634967059</v>
      </c>
      <c r="AU172" s="231">
        <v>0</v>
      </c>
      <c r="AV172" s="231">
        <v>0</v>
      </c>
      <c r="AW172" s="232">
        <v>11350</v>
      </c>
      <c r="AX172" s="232"/>
      <c r="AY172" s="232"/>
      <c r="AZ172" s="232"/>
      <c r="BA172" s="221" t="s">
        <v>1129</v>
      </c>
      <c r="BB172" s="221" t="s">
        <v>1232</v>
      </c>
      <c r="BC172" s="233" t="s">
        <v>128</v>
      </c>
      <c r="BF172" s="51"/>
    </row>
    <row r="173" spans="1:58" ht="13.5" customHeight="1">
      <c r="A173" s="220">
        <f t="shared" si="39"/>
        <v>172</v>
      </c>
      <c r="B173" s="221" t="s">
        <v>976</v>
      </c>
      <c r="C173" s="221" t="s">
        <v>25</v>
      </c>
      <c r="D173" s="221" t="s">
        <v>118</v>
      </c>
      <c r="E173" s="221" t="s">
        <v>596</v>
      </c>
      <c r="F173" s="221" t="s">
        <v>1063</v>
      </c>
      <c r="G173" s="222" t="s">
        <v>1233</v>
      </c>
      <c r="H173" s="221" t="s">
        <v>154</v>
      </c>
      <c r="I173" s="221" t="s">
        <v>1234</v>
      </c>
      <c r="J173" s="221" t="s">
        <v>1235</v>
      </c>
      <c r="K173" s="221" t="s">
        <v>1236</v>
      </c>
      <c r="L173" s="221">
        <v>-74.826883333333299</v>
      </c>
      <c r="M173" s="221">
        <v>10.982374999999999</v>
      </c>
      <c r="N173" s="223" t="s">
        <v>228</v>
      </c>
      <c r="O173" s="230" t="s">
        <v>127</v>
      </c>
      <c r="P173" s="224">
        <f t="shared" si="37"/>
        <v>2150311135.7286506</v>
      </c>
      <c r="Q173" s="225">
        <v>1</v>
      </c>
      <c r="R173" s="225">
        <v>1</v>
      </c>
      <c r="S173" s="225">
        <f t="shared" si="40"/>
        <v>0</v>
      </c>
      <c r="T173" s="225" t="str" cm="1">
        <f t="array" ref="T173">+_xlfn.IFS($P173&lt;=10000000000,IF(S173&gt;-0.05,"Verde",IF(S173&lt;=-0.1,"Rojo","Amarillo")),$P173&gt;10000000000,IF(S173&gt;-0.03,"Verde",IF(S173&lt;=-0.07,"Rojo","Amarillo")))</f>
        <v>Verde</v>
      </c>
      <c r="U173" s="226">
        <v>45372</v>
      </c>
      <c r="V173" s="226">
        <v>45393</v>
      </c>
      <c r="W173" s="226">
        <v>45404</v>
      </c>
      <c r="X173" s="226">
        <v>45657</v>
      </c>
      <c r="Y173" s="272">
        <v>45633</v>
      </c>
      <c r="Z173" s="225" t="str">
        <f t="shared" ca="1" si="33"/>
        <v>Terminado</v>
      </c>
      <c r="AA173" s="225" t="str">
        <f t="shared" ca="1" si="34"/>
        <v>-</v>
      </c>
      <c r="AB173" s="273" t="s">
        <v>364</v>
      </c>
      <c r="AC173" s="272"/>
      <c r="AD173" s="227"/>
      <c r="AE173" s="221" t="s">
        <v>1190</v>
      </c>
      <c r="AF173" s="223" t="s">
        <v>1229</v>
      </c>
      <c r="AG173" s="223" t="s">
        <v>1230</v>
      </c>
      <c r="AH173" s="223" t="s">
        <v>1231</v>
      </c>
      <c r="AI173" s="221"/>
      <c r="AJ173" s="223" t="s">
        <v>336</v>
      </c>
      <c r="AK173" s="223" t="s">
        <v>25</v>
      </c>
      <c r="AL173" s="230" t="s">
        <v>1073</v>
      </c>
      <c r="AM173" s="231">
        <v>2047915367.3708591</v>
      </c>
      <c r="AN173" s="231">
        <v>0</v>
      </c>
      <c r="AO173" s="231">
        <f t="shared" si="31"/>
        <v>2047915367.3708591</v>
      </c>
      <c r="AP173" s="231">
        <v>0</v>
      </c>
      <c r="AQ173" s="231">
        <v>0</v>
      </c>
      <c r="AR173" s="231">
        <v>102395768.35779141</v>
      </c>
      <c r="AS173" s="231">
        <v>0</v>
      </c>
      <c r="AT173" s="231">
        <f t="shared" si="38"/>
        <v>102395768.35779141</v>
      </c>
      <c r="AU173" s="231">
        <v>0</v>
      </c>
      <c r="AV173" s="231">
        <v>0</v>
      </c>
      <c r="AW173" s="232">
        <v>16180</v>
      </c>
      <c r="AX173" s="232"/>
      <c r="AY173" s="232"/>
      <c r="AZ173" s="232"/>
      <c r="BA173" s="221" t="s">
        <v>1129</v>
      </c>
      <c r="BB173" s="221" t="s">
        <v>1237</v>
      </c>
      <c r="BC173" s="233" t="s">
        <v>128</v>
      </c>
      <c r="BF173" s="51"/>
    </row>
    <row r="174" spans="1:58" ht="13.5" customHeight="1">
      <c r="A174" s="220">
        <f t="shared" si="39"/>
        <v>173</v>
      </c>
      <c r="B174" s="221" t="s">
        <v>976</v>
      </c>
      <c r="C174" s="221" t="s">
        <v>25</v>
      </c>
      <c r="D174" s="221" t="s">
        <v>118</v>
      </c>
      <c r="E174" s="221" t="s">
        <v>596</v>
      </c>
      <c r="F174" s="221" t="s">
        <v>1063</v>
      </c>
      <c r="G174" s="222" t="s">
        <v>1238</v>
      </c>
      <c r="H174" s="221" t="s">
        <v>582</v>
      </c>
      <c r="I174" s="221" t="s">
        <v>317</v>
      </c>
      <c r="J174" s="221" t="s">
        <v>1239</v>
      </c>
      <c r="K174" s="221" t="s">
        <v>1240</v>
      </c>
      <c r="L174" s="221">
        <v>-74.795222222222193</v>
      </c>
      <c r="M174" s="221">
        <v>10.930447222222201</v>
      </c>
      <c r="N174" s="223" t="s">
        <v>228</v>
      </c>
      <c r="O174" s="230" t="s">
        <v>229</v>
      </c>
      <c r="P174" s="224">
        <f t="shared" si="37"/>
        <v>1303421269.1883187</v>
      </c>
      <c r="Q174" s="225">
        <v>0.02</v>
      </c>
      <c r="R174" s="225">
        <v>0.02</v>
      </c>
      <c r="S174" s="225">
        <f t="shared" si="40"/>
        <v>0</v>
      </c>
      <c r="T174" s="225" t="str" cm="1">
        <f t="array" ref="T174">+_xlfn.IFS($P174&lt;=10000000000,IF(S174&gt;-0.05,"Verde",IF(S174&lt;=-0.1,"Rojo","Amarillo")),$P174&gt;10000000000,IF(S174&gt;-0.03,"Verde",IF(S174&lt;=-0.07,"Rojo","Amarillo")))</f>
        <v>Verde</v>
      </c>
      <c r="U174" s="226">
        <v>45372</v>
      </c>
      <c r="V174" s="226">
        <v>45393</v>
      </c>
      <c r="W174" s="226"/>
      <c r="X174" s="226">
        <v>45657</v>
      </c>
      <c r="Y174" s="272">
        <v>45657</v>
      </c>
      <c r="Z174" s="225" t="str">
        <f t="shared" ca="1" si="33"/>
        <v>En_Ejecución</v>
      </c>
      <c r="AA174" s="225" t="str">
        <f t="shared" ca="1" si="34"/>
        <v>-</v>
      </c>
      <c r="AB174" s="273" t="s">
        <v>364</v>
      </c>
      <c r="AC174" s="272"/>
      <c r="AD174" s="227"/>
      <c r="AE174" s="221" t="s">
        <v>1190</v>
      </c>
      <c r="AF174" s="223" t="s">
        <v>1229</v>
      </c>
      <c r="AG174" s="223" t="s">
        <v>1230</v>
      </c>
      <c r="AH174" s="223" t="s">
        <v>1231</v>
      </c>
      <c r="AI174" s="221"/>
      <c r="AJ174" s="223" t="s">
        <v>336</v>
      </c>
      <c r="AK174" s="223" t="s">
        <v>25</v>
      </c>
      <c r="AL174" s="230" t="s">
        <v>1073</v>
      </c>
      <c r="AM174" s="231">
        <v>1241353589.7093675</v>
      </c>
      <c r="AN174" s="231">
        <v>0</v>
      </c>
      <c r="AO174" s="231">
        <f t="shared" ref="AO174:AO181" si="41">AM174+AN174</f>
        <v>1241353589.7093675</v>
      </c>
      <c r="AP174" s="231">
        <v>0</v>
      </c>
      <c r="AQ174" s="231">
        <v>0</v>
      </c>
      <c r="AR174" s="231">
        <v>62067679.478951268</v>
      </c>
      <c r="AS174" s="231">
        <v>0</v>
      </c>
      <c r="AT174" s="231">
        <f t="shared" si="38"/>
        <v>62067679.478951268</v>
      </c>
      <c r="AU174" s="231">
        <v>0</v>
      </c>
      <c r="AV174" s="231">
        <v>0</v>
      </c>
      <c r="AW174" s="232">
        <v>11885</v>
      </c>
      <c r="AX174" s="232"/>
      <c r="AY174" s="232"/>
      <c r="AZ174" s="232"/>
      <c r="BA174" s="221" t="s">
        <v>1129</v>
      </c>
      <c r="BB174" s="221" t="s">
        <v>1186</v>
      </c>
      <c r="BC174" s="233" t="s">
        <v>128</v>
      </c>
      <c r="BF174" s="51"/>
    </row>
    <row r="175" spans="1:58" ht="13.5" customHeight="1">
      <c r="A175" s="220">
        <f t="shared" si="39"/>
        <v>174</v>
      </c>
      <c r="B175" s="221" t="s">
        <v>976</v>
      </c>
      <c r="C175" s="221" t="s">
        <v>25</v>
      </c>
      <c r="D175" s="221" t="s">
        <v>118</v>
      </c>
      <c r="E175" s="221" t="s">
        <v>596</v>
      </c>
      <c r="F175" s="221" t="s">
        <v>1063</v>
      </c>
      <c r="G175" s="222" t="s">
        <v>1241</v>
      </c>
      <c r="H175" s="221" t="s">
        <v>163</v>
      </c>
      <c r="I175" s="221" t="s">
        <v>1242</v>
      </c>
      <c r="J175" s="221" t="s">
        <v>1243</v>
      </c>
      <c r="K175" s="221" t="s">
        <v>1244</v>
      </c>
      <c r="L175" s="221">
        <v>-74.812613888888905</v>
      </c>
      <c r="M175" s="221">
        <v>10.9484166666667</v>
      </c>
      <c r="N175" s="223" t="s">
        <v>228</v>
      </c>
      <c r="O175" s="230" t="s">
        <v>127</v>
      </c>
      <c r="P175" s="224">
        <f t="shared" si="37"/>
        <v>435426205.71560043</v>
      </c>
      <c r="Q175" s="225">
        <v>1</v>
      </c>
      <c r="R175" s="225">
        <v>1</v>
      </c>
      <c r="S175" s="225">
        <f t="shared" si="40"/>
        <v>0</v>
      </c>
      <c r="T175" s="225" t="str" cm="1">
        <f t="array" ref="T175">+_xlfn.IFS($P175&lt;=10000000000,IF(S175&gt;-0.05,"Verde",IF(S175&lt;=-0.1,"Rojo","Amarillo")),$P175&gt;10000000000,IF(S175&gt;-0.03,"Verde",IF(S175&lt;=-0.07,"Rojo","Amarillo")))</f>
        <v>Verde</v>
      </c>
      <c r="U175" s="226">
        <v>45372</v>
      </c>
      <c r="V175" s="226">
        <v>45393</v>
      </c>
      <c r="W175" s="226">
        <v>45404</v>
      </c>
      <c r="X175" s="226">
        <v>45657</v>
      </c>
      <c r="Y175" s="272">
        <v>45650</v>
      </c>
      <c r="Z175" s="225" t="str">
        <f t="shared" ca="1" si="33"/>
        <v>Terminado</v>
      </c>
      <c r="AA175" s="225" t="str">
        <f t="shared" ca="1" si="34"/>
        <v>-</v>
      </c>
      <c r="AB175" s="273" t="s">
        <v>364</v>
      </c>
      <c r="AC175" s="272"/>
      <c r="AD175" s="227"/>
      <c r="AE175" s="221" t="s">
        <v>1190</v>
      </c>
      <c r="AF175" s="223" t="s">
        <v>1229</v>
      </c>
      <c r="AG175" s="223" t="s">
        <v>1230</v>
      </c>
      <c r="AH175" s="223" t="s">
        <v>1231</v>
      </c>
      <c r="AI175" s="221"/>
      <c r="AJ175" s="223" t="s">
        <v>336</v>
      </c>
      <c r="AK175" s="223" t="s">
        <v>25</v>
      </c>
      <c r="AL175" s="230" t="s">
        <v>1073</v>
      </c>
      <c r="AM175" s="231">
        <v>414691624.4931215</v>
      </c>
      <c r="AN175" s="231">
        <v>0</v>
      </c>
      <c r="AO175" s="231">
        <f t="shared" si="41"/>
        <v>414691624.4931215</v>
      </c>
      <c r="AP175" s="231">
        <v>0</v>
      </c>
      <c r="AQ175" s="231">
        <v>0</v>
      </c>
      <c r="AR175" s="231">
        <v>20734581.222478945</v>
      </c>
      <c r="AS175" s="231">
        <v>0</v>
      </c>
      <c r="AT175" s="231">
        <f t="shared" si="38"/>
        <v>20734581.222478945</v>
      </c>
      <c r="AU175" s="231">
        <v>0</v>
      </c>
      <c r="AV175" s="231">
        <v>0</v>
      </c>
      <c r="AW175" s="232">
        <v>3275</v>
      </c>
      <c r="AX175" s="232"/>
      <c r="AY175" s="232"/>
      <c r="AZ175" s="232"/>
      <c r="BA175" s="221" t="s">
        <v>1129</v>
      </c>
      <c r="BB175" s="221" t="s">
        <v>1245</v>
      </c>
      <c r="BC175" s="233" t="s">
        <v>128</v>
      </c>
      <c r="BF175" s="51"/>
    </row>
    <row r="176" spans="1:58" ht="13.5" customHeight="1">
      <c r="A176" s="220">
        <f t="shared" si="39"/>
        <v>175</v>
      </c>
      <c r="B176" s="221" t="s">
        <v>976</v>
      </c>
      <c r="C176" s="221" t="s">
        <v>25</v>
      </c>
      <c r="D176" s="221" t="s">
        <v>118</v>
      </c>
      <c r="E176" s="221" t="s">
        <v>596</v>
      </c>
      <c r="F176" s="221" t="s">
        <v>1063</v>
      </c>
      <c r="G176" s="222" t="s">
        <v>1246</v>
      </c>
      <c r="H176" s="221" t="s">
        <v>582</v>
      </c>
      <c r="I176" s="221" t="s">
        <v>1154</v>
      </c>
      <c r="J176" s="221" t="s">
        <v>1247</v>
      </c>
      <c r="K176" s="221" t="s">
        <v>1248</v>
      </c>
      <c r="L176" s="221">
        <v>-74.786755555555601</v>
      </c>
      <c r="M176" s="221">
        <v>10.9489888888889</v>
      </c>
      <c r="N176" s="223" t="s">
        <v>228</v>
      </c>
      <c r="O176" s="230" t="s">
        <v>229</v>
      </c>
      <c r="P176" s="224">
        <f t="shared" si="37"/>
        <v>2074588106.7408748</v>
      </c>
      <c r="Q176" s="225">
        <v>1</v>
      </c>
      <c r="R176" s="225">
        <v>1</v>
      </c>
      <c r="S176" s="225">
        <f t="shared" si="40"/>
        <v>0</v>
      </c>
      <c r="T176" s="225" t="str" cm="1">
        <f t="array" ref="T176">+_xlfn.IFS($P176&lt;=10000000000,IF(S176&gt;-0.05,"Verde",IF(S176&lt;=-0.1,"Rojo","Amarillo")),$P176&gt;10000000000,IF(S176&gt;-0.03,"Verde",IF(S176&lt;=-0.07,"Rojo","Amarillo")))</f>
        <v>Verde</v>
      </c>
      <c r="U176" s="226">
        <v>45372</v>
      </c>
      <c r="V176" s="226">
        <v>45393</v>
      </c>
      <c r="W176" s="226">
        <v>45404</v>
      </c>
      <c r="X176" s="226">
        <v>45657</v>
      </c>
      <c r="Y176" s="272">
        <v>45657</v>
      </c>
      <c r="Z176" s="225" t="str">
        <f t="shared" ca="1" si="33"/>
        <v>En_Ejecución</v>
      </c>
      <c r="AA176" s="225" t="str">
        <f t="shared" ca="1" si="34"/>
        <v>-</v>
      </c>
      <c r="AB176" s="273" t="s">
        <v>364</v>
      </c>
      <c r="AC176" s="272"/>
      <c r="AD176" s="227"/>
      <c r="AE176" s="221" t="s">
        <v>1190</v>
      </c>
      <c r="AF176" s="223" t="s">
        <v>1229</v>
      </c>
      <c r="AG176" s="223" t="s">
        <v>1230</v>
      </c>
      <c r="AH176" s="223" t="s">
        <v>1231</v>
      </c>
      <c r="AI176" s="221"/>
      <c r="AJ176" s="223" t="s">
        <v>336</v>
      </c>
      <c r="AK176" s="223" t="s">
        <v>25</v>
      </c>
      <c r="AL176" s="230" t="s">
        <v>1073</v>
      </c>
      <c r="AM176" s="231">
        <v>1975798196.9059501</v>
      </c>
      <c r="AN176" s="231">
        <v>0</v>
      </c>
      <c r="AO176" s="231">
        <f t="shared" si="41"/>
        <v>1975798196.9059501</v>
      </c>
      <c r="AP176" s="231">
        <v>0</v>
      </c>
      <c r="AQ176" s="231">
        <v>0</v>
      </c>
      <c r="AR176" s="231">
        <v>98789909.834924802</v>
      </c>
      <c r="AS176" s="231">
        <v>0</v>
      </c>
      <c r="AT176" s="231">
        <f t="shared" si="38"/>
        <v>98789909.834924802</v>
      </c>
      <c r="AU176" s="231">
        <v>0</v>
      </c>
      <c r="AV176" s="231">
        <v>0</v>
      </c>
      <c r="AW176" s="232">
        <v>26240</v>
      </c>
      <c r="AX176" s="232"/>
      <c r="AY176" s="232"/>
      <c r="AZ176" s="232"/>
      <c r="BA176" s="221" t="s">
        <v>1129</v>
      </c>
      <c r="BB176" s="221" t="s">
        <v>1249</v>
      </c>
      <c r="BC176" s="233" t="s">
        <v>128</v>
      </c>
      <c r="BF176" s="51"/>
    </row>
    <row r="177" spans="1:58" ht="13.5" customHeight="1">
      <c r="A177" s="220">
        <f t="shared" si="39"/>
        <v>176</v>
      </c>
      <c r="B177" s="221" t="s">
        <v>976</v>
      </c>
      <c r="C177" s="221" t="s">
        <v>25</v>
      </c>
      <c r="D177" s="221" t="s">
        <v>118</v>
      </c>
      <c r="E177" s="221" t="s">
        <v>596</v>
      </c>
      <c r="F177" s="221" t="s">
        <v>1063</v>
      </c>
      <c r="G177" s="222" t="s">
        <v>1250</v>
      </c>
      <c r="H177" s="221" t="s">
        <v>582</v>
      </c>
      <c r="I177" s="221" t="s">
        <v>1251</v>
      </c>
      <c r="J177" s="221" t="s">
        <v>1252</v>
      </c>
      <c r="K177" s="221" t="s">
        <v>1253</v>
      </c>
      <c r="L177" s="221">
        <v>-74.773952777777794</v>
      </c>
      <c r="M177" s="221">
        <v>10.9576166666667</v>
      </c>
      <c r="N177" s="223" t="s">
        <v>228</v>
      </c>
      <c r="O177" s="230" t="s">
        <v>229</v>
      </c>
      <c r="P177" s="224">
        <f t="shared" si="37"/>
        <v>954147635.44082379</v>
      </c>
      <c r="Q177" s="225">
        <v>0</v>
      </c>
      <c r="R177" s="225">
        <v>0</v>
      </c>
      <c r="S177" s="225">
        <f t="shared" si="40"/>
        <v>0</v>
      </c>
      <c r="T177" s="225" t="str" cm="1">
        <f t="array" ref="T177">+_xlfn.IFS($P177&lt;=10000000000,IF(S177&gt;-0.05,"Verde",IF(S177&lt;=-0.1,"Rojo","Amarillo")),$P177&gt;10000000000,IF(S177&gt;-0.03,"Verde",IF(S177&lt;=-0.07,"Rojo","Amarillo")))</f>
        <v>Verde</v>
      </c>
      <c r="U177" s="226">
        <v>45372</v>
      </c>
      <c r="V177" s="226">
        <v>45388</v>
      </c>
      <c r="W177" s="226"/>
      <c r="X177" s="226">
        <v>45657</v>
      </c>
      <c r="Y177" s="272">
        <v>45869</v>
      </c>
      <c r="Z177" s="225" t="str">
        <f t="shared" ca="1" si="33"/>
        <v>En_Ejecución</v>
      </c>
      <c r="AA177" s="225" t="str">
        <f t="shared" ca="1" si="34"/>
        <v>-</v>
      </c>
      <c r="AB177" s="273" t="s">
        <v>364</v>
      </c>
      <c r="AC177" s="272"/>
      <c r="AD177" s="227"/>
      <c r="AE177" s="221" t="s">
        <v>1254</v>
      </c>
      <c r="AF177" s="223" t="s">
        <v>1255</v>
      </c>
      <c r="AG177" s="223" t="s">
        <v>1256</v>
      </c>
      <c r="AH177" s="223" t="s">
        <v>1257</v>
      </c>
      <c r="AI177" s="221"/>
      <c r="AJ177" s="223" t="s">
        <v>336</v>
      </c>
      <c r="AK177" s="223" t="s">
        <v>25</v>
      </c>
      <c r="AL177" s="230" t="s">
        <v>1073</v>
      </c>
      <c r="AM177" s="231">
        <v>908712033.75770903</v>
      </c>
      <c r="AN177" s="231">
        <v>0</v>
      </c>
      <c r="AO177" s="231">
        <f t="shared" si="41"/>
        <v>908712033.75770903</v>
      </c>
      <c r="AP177" s="231">
        <v>0</v>
      </c>
      <c r="AQ177" s="231">
        <v>0</v>
      </c>
      <c r="AR177" s="231">
        <v>45435601.683114715</v>
      </c>
      <c r="AS177" s="231">
        <v>0</v>
      </c>
      <c r="AT177" s="231">
        <f t="shared" si="38"/>
        <v>45435601.683114715</v>
      </c>
      <c r="AU177" s="231">
        <v>0</v>
      </c>
      <c r="AV177" s="231">
        <v>0</v>
      </c>
      <c r="AW177" s="232">
        <v>6100</v>
      </c>
      <c r="AX177" s="232"/>
      <c r="AY177" s="232"/>
      <c r="AZ177" s="232"/>
      <c r="BA177" s="221" t="s">
        <v>1129</v>
      </c>
      <c r="BB177" s="221" t="s">
        <v>1186</v>
      </c>
      <c r="BC177" s="233" t="s">
        <v>128</v>
      </c>
      <c r="BF177" s="51"/>
    </row>
    <row r="178" spans="1:58" ht="13.5" customHeight="1">
      <c r="A178" s="220">
        <f t="shared" si="39"/>
        <v>177</v>
      </c>
      <c r="B178" s="221" t="s">
        <v>976</v>
      </c>
      <c r="C178" s="221" t="s">
        <v>25</v>
      </c>
      <c r="D178" s="221" t="s">
        <v>118</v>
      </c>
      <c r="E178" s="221" t="s">
        <v>596</v>
      </c>
      <c r="F178" s="221" t="s">
        <v>1063</v>
      </c>
      <c r="G178" s="222" t="s">
        <v>1258</v>
      </c>
      <c r="H178" s="221" t="s">
        <v>163</v>
      </c>
      <c r="I178" s="221" t="s">
        <v>1177</v>
      </c>
      <c r="J178" s="221" t="s">
        <v>1259</v>
      </c>
      <c r="K178" s="221" t="s">
        <v>1260</v>
      </c>
      <c r="L178" s="221">
        <v>-74.820888888888902</v>
      </c>
      <c r="M178" s="221">
        <v>10.9284</v>
      </c>
      <c r="N178" s="223" t="s">
        <v>228</v>
      </c>
      <c r="O178" s="230" t="s">
        <v>229</v>
      </c>
      <c r="P178" s="224">
        <f t="shared" si="37"/>
        <v>1003954131.6572834</v>
      </c>
      <c r="Q178" s="225">
        <v>9.9299999999999999E-2</v>
      </c>
      <c r="R178" s="225">
        <v>6.93E-2</v>
      </c>
      <c r="S178" s="225">
        <f t="shared" si="40"/>
        <v>-0.03</v>
      </c>
      <c r="T178" s="225" t="str" cm="1">
        <f t="array" ref="T178">+_xlfn.IFS($P178&lt;=10000000000,IF(S178&gt;-0.05,"Verde",IF(S178&lt;=-0.1,"Rojo","Amarillo")),$P178&gt;10000000000,IF(S178&gt;-0.03,"Verde",IF(S178&lt;=-0.07,"Rojo","Amarillo")))</f>
        <v>Verde</v>
      </c>
      <c r="U178" s="226">
        <v>45372</v>
      </c>
      <c r="V178" s="226">
        <v>45388</v>
      </c>
      <c r="W178" s="226"/>
      <c r="X178" s="226">
        <v>45657</v>
      </c>
      <c r="Y178" s="272">
        <v>45869</v>
      </c>
      <c r="Z178" s="225" t="str">
        <f t="shared" ca="1" si="33"/>
        <v>En_Ejecución</v>
      </c>
      <c r="AA178" s="225" t="str">
        <f t="shared" ca="1" si="34"/>
        <v>-</v>
      </c>
      <c r="AB178" s="273" t="s">
        <v>364</v>
      </c>
      <c r="AC178" s="272"/>
      <c r="AD178" s="227"/>
      <c r="AE178" s="221" t="s">
        <v>1254</v>
      </c>
      <c r="AF178" s="223" t="s">
        <v>1255</v>
      </c>
      <c r="AG178" s="223" t="s">
        <v>1256</v>
      </c>
      <c r="AH178" s="223" t="s">
        <v>1257</v>
      </c>
      <c r="AI178" s="221"/>
      <c r="AJ178" s="223" t="s">
        <v>336</v>
      </c>
      <c r="AK178" s="223" t="s">
        <v>25</v>
      </c>
      <c r="AL178" s="230" t="s">
        <v>1073</v>
      </c>
      <c r="AM178" s="231">
        <v>956146792.05933642</v>
      </c>
      <c r="AN178" s="231">
        <v>0</v>
      </c>
      <c r="AO178" s="231">
        <f t="shared" si="41"/>
        <v>956146792.05933642</v>
      </c>
      <c r="AP178" s="231">
        <v>0</v>
      </c>
      <c r="AQ178" s="231">
        <v>0</v>
      </c>
      <c r="AR178" s="231">
        <v>47807339.597947054</v>
      </c>
      <c r="AS178" s="231">
        <v>0</v>
      </c>
      <c r="AT178" s="231">
        <f t="shared" si="38"/>
        <v>47807339.597947054</v>
      </c>
      <c r="AU178" s="231">
        <v>0</v>
      </c>
      <c r="AV178" s="231">
        <v>0</v>
      </c>
      <c r="AW178" s="232">
        <v>8075</v>
      </c>
      <c r="AX178" s="232"/>
      <c r="AY178" s="232"/>
      <c r="AZ178" s="232"/>
      <c r="BA178" s="221" t="s">
        <v>1129</v>
      </c>
      <c r="BB178" s="221" t="s">
        <v>1186</v>
      </c>
      <c r="BC178" s="233" t="s">
        <v>128</v>
      </c>
      <c r="BF178" s="51"/>
    </row>
    <row r="179" spans="1:58" ht="13.5" customHeight="1">
      <c r="A179" s="220">
        <f t="shared" si="39"/>
        <v>178</v>
      </c>
      <c r="B179" s="221" t="s">
        <v>976</v>
      </c>
      <c r="C179" s="221" t="s">
        <v>25</v>
      </c>
      <c r="D179" s="221" t="s">
        <v>118</v>
      </c>
      <c r="E179" s="221" t="s">
        <v>596</v>
      </c>
      <c r="F179" s="221" t="s">
        <v>1063</v>
      </c>
      <c r="G179" s="222" t="s">
        <v>1261</v>
      </c>
      <c r="H179" s="221" t="s">
        <v>154</v>
      </c>
      <c r="I179" s="221" t="s">
        <v>1262</v>
      </c>
      <c r="J179" s="221" t="s">
        <v>1263</v>
      </c>
      <c r="K179" s="221" t="s">
        <v>1264</v>
      </c>
      <c r="L179" s="221"/>
      <c r="M179" s="221"/>
      <c r="N179" s="223" t="s">
        <v>228</v>
      </c>
      <c r="O179" s="230" t="s">
        <v>127</v>
      </c>
      <c r="P179" s="224">
        <f t="shared" si="37"/>
        <v>793364145.06419134</v>
      </c>
      <c r="Q179" s="225">
        <v>1</v>
      </c>
      <c r="R179" s="225">
        <v>1</v>
      </c>
      <c r="S179" s="225">
        <f t="shared" si="40"/>
        <v>0</v>
      </c>
      <c r="T179" s="225" t="str" cm="1">
        <f t="array" ref="T179">+_xlfn.IFS($P179&lt;=10000000000,IF(S179&gt;-0.05,"Verde",IF(S179&lt;=-0.1,"Rojo","Amarillo")),$P179&gt;10000000000,IF(S179&gt;-0.03,"Verde",IF(S179&lt;=-0.07,"Rojo","Amarillo")))</f>
        <v>Verde</v>
      </c>
      <c r="U179" s="226">
        <v>45372</v>
      </c>
      <c r="V179" s="226">
        <v>45388</v>
      </c>
      <c r="W179" s="226">
        <v>45404</v>
      </c>
      <c r="X179" s="226">
        <v>45657</v>
      </c>
      <c r="Y179" s="272">
        <v>45869</v>
      </c>
      <c r="Z179" s="225" t="str">
        <f t="shared" ca="1" si="33"/>
        <v>Terminado</v>
      </c>
      <c r="AA179" s="225" t="str">
        <f t="shared" ca="1" si="34"/>
        <v>-</v>
      </c>
      <c r="AB179" s="273" t="s">
        <v>364</v>
      </c>
      <c r="AC179" s="272"/>
      <c r="AD179" s="227"/>
      <c r="AE179" s="221" t="s">
        <v>1254</v>
      </c>
      <c r="AF179" s="223" t="s">
        <v>1255</v>
      </c>
      <c r="AG179" s="223" t="s">
        <v>1256</v>
      </c>
      <c r="AH179" s="223" t="s">
        <v>1257</v>
      </c>
      <c r="AI179" s="221"/>
      <c r="AJ179" s="223" t="s">
        <v>336</v>
      </c>
      <c r="AK179" s="223" t="s">
        <v>25</v>
      </c>
      <c r="AL179" s="230" t="s">
        <v>1073</v>
      </c>
      <c r="AM179" s="231">
        <v>755584900.06491256</v>
      </c>
      <c r="AN179" s="231">
        <v>0</v>
      </c>
      <c r="AO179" s="231">
        <f t="shared" si="41"/>
        <v>755584900.06491256</v>
      </c>
      <c r="AP179" s="231">
        <v>0</v>
      </c>
      <c r="AQ179" s="231">
        <v>0</v>
      </c>
      <c r="AR179" s="231">
        <v>37779244.999278806</v>
      </c>
      <c r="AS179" s="231">
        <v>0</v>
      </c>
      <c r="AT179" s="231">
        <f t="shared" si="38"/>
        <v>37779244.999278806</v>
      </c>
      <c r="AU179" s="231">
        <v>0</v>
      </c>
      <c r="AV179" s="231">
        <v>0</v>
      </c>
      <c r="AW179" s="232">
        <v>9250</v>
      </c>
      <c r="AX179" s="232"/>
      <c r="AY179" s="232"/>
      <c r="AZ179" s="232"/>
      <c r="BA179" s="221" t="s">
        <v>1129</v>
      </c>
      <c r="BB179" s="221" t="s">
        <v>1265</v>
      </c>
      <c r="BC179" s="233" t="s">
        <v>128</v>
      </c>
      <c r="BF179" s="51"/>
    </row>
    <row r="180" spans="1:58" ht="13.5" customHeight="1">
      <c r="A180" s="220">
        <f t="shared" si="39"/>
        <v>179</v>
      </c>
      <c r="B180" s="221" t="s">
        <v>976</v>
      </c>
      <c r="C180" s="221" t="s">
        <v>25</v>
      </c>
      <c r="D180" s="221" t="s">
        <v>118</v>
      </c>
      <c r="E180" s="221" t="s">
        <v>596</v>
      </c>
      <c r="F180" s="221" t="s">
        <v>1063</v>
      </c>
      <c r="G180" s="222" t="s">
        <v>1266</v>
      </c>
      <c r="H180" s="221" t="s">
        <v>163</v>
      </c>
      <c r="I180" s="221" t="s">
        <v>1177</v>
      </c>
      <c r="J180" s="221" t="s">
        <v>1267</v>
      </c>
      <c r="K180" s="221" t="s">
        <v>1268</v>
      </c>
      <c r="L180" s="221">
        <v>-74.819430555555599</v>
      </c>
      <c r="M180" s="221">
        <v>10.924605555555599</v>
      </c>
      <c r="N180" s="223" t="s">
        <v>228</v>
      </c>
      <c r="O180" s="230" t="s">
        <v>229</v>
      </c>
      <c r="P180" s="224">
        <f t="shared" si="37"/>
        <v>885698702.8129307</v>
      </c>
      <c r="Q180" s="225">
        <v>0.02</v>
      </c>
      <c r="R180" s="225">
        <v>0.02</v>
      </c>
      <c r="S180" s="225">
        <f t="shared" si="40"/>
        <v>0</v>
      </c>
      <c r="T180" s="225" t="str" cm="1">
        <f t="array" ref="T180">+_xlfn.IFS($P180&lt;=10000000000,IF(S180&gt;-0.05,"Verde",IF(S180&lt;=-0.1,"Rojo","Amarillo")),$P180&gt;10000000000,IF(S180&gt;-0.03,"Verde",IF(S180&lt;=-0.07,"Rojo","Amarillo")))</f>
        <v>Verde</v>
      </c>
      <c r="U180" s="226">
        <v>45372</v>
      </c>
      <c r="V180" s="226">
        <v>45388</v>
      </c>
      <c r="W180" s="226">
        <v>45404</v>
      </c>
      <c r="X180" s="226">
        <v>45657</v>
      </c>
      <c r="Y180" s="272">
        <v>45869</v>
      </c>
      <c r="Z180" s="225" t="str">
        <f t="shared" ca="1" si="33"/>
        <v>En_Ejecución</v>
      </c>
      <c r="AA180" s="225" t="str">
        <f t="shared" ca="1" si="34"/>
        <v>-</v>
      </c>
      <c r="AB180" s="273" t="s">
        <v>364</v>
      </c>
      <c r="AC180" s="272"/>
      <c r="AD180" s="227"/>
      <c r="AE180" s="221" t="s">
        <v>1254</v>
      </c>
      <c r="AF180" s="223" t="s">
        <v>1255</v>
      </c>
      <c r="AG180" s="223" t="s">
        <v>1256</v>
      </c>
      <c r="AH180" s="223" t="s">
        <v>1257</v>
      </c>
      <c r="AI180" s="221"/>
      <c r="AJ180" s="223" t="s">
        <v>336</v>
      </c>
      <c r="AK180" s="223" t="s">
        <v>25</v>
      </c>
      <c r="AL180" s="230" t="s">
        <v>1073</v>
      </c>
      <c r="AM180" s="231">
        <v>843522574.11177063</v>
      </c>
      <c r="AN180" s="231">
        <v>0</v>
      </c>
      <c r="AO180" s="231">
        <f t="shared" si="41"/>
        <v>843522574.11177063</v>
      </c>
      <c r="AP180" s="231">
        <v>0</v>
      </c>
      <c r="AQ180" s="231">
        <v>0</v>
      </c>
      <c r="AR180" s="231">
        <v>42176128.701160043</v>
      </c>
      <c r="AS180" s="231">
        <v>0</v>
      </c>
      <c r="AT180" s="231">
        <f t="shared" si="38"/>
        <v>42176128.701160043</v>
      </c>
      <c r="AU180" s="231">
        <v>0</v>
      </c>
      <c r="AV180" s="231">
        <v>0</v>
      </c>
      <c r="AW180" s="232">
        <v>11340</v>
      </c>
      <c r="AX180" s="232"/>
      <c r="AY180" s="232"/>
      <c r="AZ180" s="232"/>
      <c r="BA180" s="221" t="s">
        <v>1129</v>
      </c>
      <c r="BB180" s="221" t="s">
        <v>1186</v>
      </c>
      <c r="BC180" s="233" t="s">
        <v>128</v>
      </c>
      <c r="BF180" s="51"/>
    </row>
    <row r="181" spans="1:58" ht="13.5" customHeight="1">
      <c r="A181" s="220">
        <f t="shared" si="39"/>
        <v>180</v>
      </c>
      <c r="B181" s="221" t="s">
        <v>976</v>
      </c>
      <c r="C181" s="221" t="s">
        <v>25</v>
      </c>
      <c r="D181" s="221" t="s">
        <v>118</v>
      </c>
      <c r="E181" s="221" t="s">
        <v>596</v>
      </c>
      <c r="F181" s="221" t="s">
        <v>1063</v>
      </c>
      <c r="G181" s="222" t="s">
        <v>1269</v>
      </c>
      <c r="H181" s="221" t="s">
        <v>582</v>
      </c>
      <c r="I181" s="221" t="s">
        <v>1213</v>
      </c>
      <c r="J181" s="221" t="s">
        <v>1214</v>
      </c>
      <c r="K181" s="221" t="s">
        <v>1270</v>
      </c>
      <c r="L181" s="221"/>
      <c r="M181" s="221"/>
      <c r="N181" s="223" t="s">
        <v>228</v>
      </c>
      <c r="O181" s="230" t="s">
        <v>229</v>
      </c>
      <c r="P181" s="224">
        <f t="shared" si="37"/>
        <v>2092110241.6097786</v>
      </c>
      <c r="Q181" s="225">
        <v>1</v>
      </c>
      <c r="R181" s="225">
        <v>1</v>
      </c>
      <c r="S181" s="225">
        <f t="shared" si="40"/>
        <v>0</v>
      </c>
      <c r="T181" s="225" t="str" cm="1">
        <f t="array" ref="T181">+_xlfn.IFS($P181&lt;=10000000000,IF(S181&gt;-0.05,"Verde",IF(S181&lt;=-0.1,"Rojo","Amarillo")),$P181&gt;10000000000,IF(S181&gt;-0.03,"Verde",IF(S181&lt;=-0.07,"Rojo","Amarillo")))</f>
        <v>Verde</v>
      </c>
      <c r="U181" s="226">
        <v>45372</v>
      </c>
      <c r="V181" s="226">
        <v>45388</v>
      </c>
      <c r="W181" s="226">
        <v>45404</v>
      </c>
      <c r="X181" s="226">
        <v>45657</v>
      </c>
      <c r="Y181" s="272">
        <v>45869</v>
      </c>
      <c r="Z181" s="225" t="str">
        <f t="shared" ca="1" si="33"/>
        <v>En_Ejecución</v>
      </c>
      <c r="AA181" s="225" t="str">
        <f t="shared" ca="1" si="34"/>
        <v>-</v>
      </c>
      <c r="AB181" s="273" t="s">
        <v>364</v>
      </c>
      <c r="AC181" s="272"/>
      <c r="AD181" s="227"/>
      <c r="AE181" s="221" t="s">
        <v>1254</v>
      </c>
      <c r="AF181" s="223" t="s">
        <v>1255</v>
      </c>
      <c r="AG181" s="223" t="s">
        <v>1256</v>
      </c>
      <c r="AH181" s="223" t="s">
        <v>1257</v>
      </c>
      <c r="AI181" s="221"/>
      <c r="AJ181" s="223" t="s">
        <v>336</v>
      </c>
      <c r="AK181" s="223" t="s">
        <v>25</v>
      </c>
      <c r="AL181" s="230" t="s">
        <v>1073</v>
      </c>
      <c r="AM181" s="231">
        <v>1992485944.4002278</v>
      </c>
      <c r="AN181" s="231">
        <v>0</v>
      </c>
      <c r="AO181" s="231">
        <f t="shared" si="41"/>
        <v>1992485944.4002278</v>
      </c>
      <c r="AP181" s="231">
        <v>332647297</v>
      </c>
      <c r="AQ181" s="231">
        <v>0</v>
      </c>
      <c r="AR181" s="231">
        <v>99624297.209550843</v>
      </c>
      <c r="AS181" s="231">
        <v>0</v>
      </c>
      <c r="AT181" s="231">
        <f t="shared" si="38"/>
        <v>99624297.209550843</v>
      </c>
      <c r="AU181" s="231">
        <v>0</v>
      </c>
      <c r="AV181" s="231">
        <v>0</v>
      </c>
      <c r="AW181" s="232">
        <v>16815</v>
      </c>
      <c r="AX181" s="232"/>
      <c r="AY181" s="232"/>
      <c r="AZ181" s="232"/>
      <c r="BA181" s="221" t="s">
        <v>1129</v>
      </c>
      <c r="BB181" s="221" t="s">
        <v>1271</v>
      </c>
      <c r="BC181" s="233" t="s">
        <v>128</v>
      </c>
      <c r="BF181" s="51"/>
    </row>
    <row r="182" spans="1:58" ht="13.5" customHeight="1">
      <c r="A182" s="220">
        <f t="shared" si="39"/>
        <v>181</v>
      </c>
      <c r="B182" s="221" t="s">
        <v>976</v>
      </c>
      <c r="C182" s="221" t="s">
        <v>25</v>
      </c>
      <c r="D182" s="221" t="s">
        <v>118</v>
      </c>
      <c r="E182" s="221" t="s">
        <v>596</v>
      </c>
      <c r="F182" s="221" t="s">
        <v>1063</v>
      </c>
      <c r="G182" s="222" t="s">
        <v>1272</v>
      </c>
      <c r="H182" s="221">
        <v>1</v>
      </c>
      <c r="I182" s="221">
        <v>0.995</v>
      </c>
      <c r="J182" s="221">
        <v>-5.0000000000000044E-3</v>
      </c>
      <c r="K182" s="221"/>
      <c r="L182" s="221">
        <v>45372</v>
      </c>
      <c r="M182" s="221"/>
      <c r="N182" s="223"/>
      <c r="O182" s="230"/>
      <c r="P182" s="224"/>
      <c r="Q182" s="225">
        <v>1</v>
      </c>
      <c r="R182" s="225">
        <v>0.16289999999999999</v>
      </c>
      <c r="S182" s="225">
        <f t="shared" si="40"/>
        <v>-0.83709999999999996</v>
      </c>
      <c r="T182" s="225" t="str" cm="1">
        <f t="array" ref="T182">+_xlfn.IFS($P182&lt;=10000000000,IF(S182&gt;-0.05,"Verde",IF(S182&lt;=-0.1,"Rojo","Amarillo")),$P182&gt;10000000000,IF(S182&gt;-0.03,"Verde",IF(S182&lt;=-0.07,"Rojo","Amarillo")))</f>
        <v>Rojo</v>
      </c>
      <c r="U182" s="226"/>
      <c r="V182" s="226"/>
      <c r="W182" s="226"/>
      <c r="X182" s="226"/>
      <c r="Y182" s="272"/>
      <c r="Z182" s="225"/>
      <c r="AA182" s="225"/>
      <c r="AB182" s="273"/>
      <c r="AC182" s="272"/>
      <c r="AD182" s="227"/>
      <c r="AE182" s="221"/>
      <c r="AF182" s="223"/>
      <c r="AG182" s="223"/>
      <c r="AH182" s="223"/>
      <c r="AI182" s="221"/>
      <c r="AJ182" s="223"/>
      <c r="AK182" s="223"/>
      <c r="AL182" s="230"/>
      <c r="AM182" s="231"/>
      <c r="AN182" s="231"/>
      <c r="AO182" s="231"/>
      <c r="AP182" s="231"/>
      <c r="AQ182" s="231"/>
      <c r="AR182" s="231"/>
      <c r="AS182" s="231"/>
      <c r="AT182" s="231"/>
      <c r="AU182" s="231"/>
      <c r="AV182" s="231"/>
      <c r="AW182" s="232"/>
      <c r="AX182" s="232"/>
      <c r="AY182" s="232"/>
      <c r="AZ182" s="232"/>
      <c r="BA182" s="221"/>
      <c r="BB182" s="221"/>
      <c r="BC182" s="233"/>
      <c r="BF182" s="51"/>
    </row>
    <row r="183" spans="1:58" ht="13.5" customHeight="1">
      <c r="A183" s="220">
        <f t="shared" si="39"/>
        <v>182</v>
      </c>
      <c r="B183" s="221" t="s">
        <v>976</v>
      </c>
      <c r="C183" s="221" t="s">
        <v>25</v>
      </c>
      <c r="D183" s="221" t="s">
        <v>118</v>
      </c>
      <c r="E183" s="221" t="s">
        <v>596</v>
      </c>
      <c r="F183" s="221" t="s">
        <v>1063</v>
      </c>
      <c r="G183" s="222" t="s">
        <v>1273</v>
      </c>
      <c r="H183" s="221" t="s">
        <v>582</v>
      </c>
      <c r="I183" s="221" t="s">
        <v>1218</v>
      </c>
      <c r="J183" s="221" t="s">
        <v>1274</v>
      </c>
      <c r="K183" s="221" t="s">
        <v>1275</v>
      </c>
      <c r="L183" s="221"/>
      <c r="M183" s="221"/>
      <c r="N183" s="223" t="s">
        <v>228</v>
      </c>
      <c r="O183" s="230" t="s">
        <v>127</v>
      </c>
      <c r="P183" s="224">
        <f>AO183+AT183</f>
        <v>1640605123.3422449</v>
      </c>
      <c r="Q183" s="225">
        <v>1</v>
      </c>
      <c r="R183" s="225">
        <v>1</v>
      </c>
      <c r="S183" s="225">
        <f t="shared" si="40"/>
        <v>0</v>
      </c>
      <c r="T183" s="225" t="str" cm="1">
        <f t="array" ref="T183">+_xlfn.IFS($P183&lt;=10000000000,IF(S183&gt;-0.05,"Verde",IF(S183&lt;=-0.1,"Rojo","Amarillo")),$P183&gt;10000000000,IF(S183&gt;-0.03,"Verde",IF(S183&lt;=-0.07,"Rojo","Amarillo")))</f>
        <v>Verde</v>
      </c>
      <c r="U183" s="226">
        <v>45372</v>
      </c>
      <c r="V183" s="226">
        <v>45388</v>
      </c>
      <c r="W183" s="226">
        <v>45404</v>
      </c>
      <c r="X183" s="226">
        <v>45657</v>
      </c>
      <c r="Y183" s="272">
        <v>45869</v>
      </c>
      <c r="Z183" s="225" t="str">
        <f ca="1">+IF(AND(O183="En_Ejecución",OR(T183="Rojo",T183="Amarillo")),IF(($Y183-(TODAY())&lt;15),"Rojo",IF(($Y183-TODAY())&gt;=45,"Verde","Amarillo")),O183)</f>
        <v>Terminado</v>
      </c>
      <c r="AA183" s="225" t="str">
        <f ca="1">+IF(AND(Z183="Amarillo",T183="Rojo"),"En_Seguimiento",IF(AND(Z183="Rojo",T183="Amarillo"),"En_Seguimiento",IF(AND(Z183="Rojo",T183="Rojo"),"En_Seguimiento",IF(AND(Z183="Suspendido",T183="Amarillo"),"En_Seguimiento",IF(AND(Z183="Suspendido",T183="Rojo"),"En_Seguimiento","-")))))</f>
        <v>-</v>
      </c>
      <c r="AB183" s="273" t="s">
        <v>364</v>
      </c>
      <c r="AC183" s="272"/>
      <c r="AD183" s="227"/>
      <c r="AE183" s="221" t="s">
        <v>1254</v>
      </c>
      <c r="AF183" s="223" t="s">
        <v>1255</v>
      </c>
      <c r="AG183" s="223" t="s">
        <v>1256</v>
      </c>
      <c r="AH183" s="223" t="s">
        <v>1257</v>
      </c>
      <c r="AI183" s="221"/>
      <c r="AJ183" s="223" t="s">
        <v>336</v>
      </c>
      <c r="AK183" s="223" t="s">
        <v>25</v>
      </c>
      <c r="AL183" s="230" t="s">
        <v>1073</v>
      </c>
      <c r="AM183" s="231">
        <v>1562481069.8575695</v>
      </c>
      <c r="AN183" s="231">
        <v>0</v>
      </c>
      <c r="AO183" s="231">
        <f>AM183+AN183</f>
        <v>1562481069.8575695</v>
      </c>
      <c r="AP183" s="231">
        <v>0</v>
      </c>
      <c r="AQ183" s="231">
        <v>0</v>
      </c>
      <c r="AR183" s="231">
        <v>78124053.484675452</v>
      </c>
      <c r="AS183" s="231">
        <v>0</v>
      </c>
      <c r="AT183" s="231">
        <f>AR183+AS183</f>
        <v>78124053.484675452</v>
      </c>
      <c r="AU183" s="231">
        <v>0</v>
      </c>
      <c r="AV183" s="231">
        <v>0</v>
      </c>
      <c r="AW183" s="232">
        <v>12500</v>
      </c>
      <c r="AX183" s="232"/>
      <c r="AY183" s="232"/>
      <c r="AZ183" s="232"/>
      <c r="BA183" s="221" t="s">
        <v>1129</v>
      </c>
      <c r="BB183" s="221" t="s">
        <v>1276</v>
      </c>
      <c r="BC183" s="233" t="s">
        <v>128</v>
      </c>
      <c r="BF183" s="51"/>
    </row>
    <row r="184" spans="1:58" ht="13.5" customHeight="1">
      <c r="A184" s="220">
        <f t="shared" si="39"/>
        <v>183</v>
      </c>
      <c r="B184" s="221" t="s">
        <v>976</v>
      </c>
      <c r="C184" s="221" t="s">
        <v>25</v>
      </c>
      <c r="D184" s="221" t="s">
        <v>118</v>
      </c>
      <c r="E184" s="221" t="s">
        <v>596</v>
      </c>
      <c r="F184" s="221" t="s">
        <v>1063</v>
      </c>
      <c r="G184" s="222" t="s">
        <v>1277</v>
      </c>
      <c r="H184" s="221" t="s">
        <v>582</v>
      </c>
      <c r="I184" s="221" t="s">
        <v>1278</v>
      </c>
      <c r="J184" s="221" t="s">
        <v>1279</v>
      </c>
      <c r="K184" s="221" t="s">
        <v>1280</v>
      </c>
      <c r="L184" s="221">
        <v>-74.791780555555505</v>
      </c>
      <c r="M184" s="221">
        <v>10.9504416666667</v>
      </c>
      <c r="N184" s="223" t="s">
        <v>228</v>
      </c>
      <c r="O184" s="230" t="s">
        <v>127</v>
      </c>
      <c r="P184" s="224">
        <f>AO184+AT184</f>
        <v>485739404.40108514</v>
      </c>
      <c r="Q184" s="225">
        <v>1</v>
      </c>
      <c r="R184" s="225">
        <v>1</v>
      </c>
      <c r="S184" s="225">
        <f t="shared" si="40"/>
        <v>0</v>
      </c>
      <c r="T184" s="225" t="str" cm="1">
        <f t="array" ref="T184">+_xlfn.IFS($P184&lt;=10000000000,IF(S184&gt;-0.05,"Verde",IF(S184&lt;=-0.1,"Rojo","Amarillo")),$P184&gt;10000000000,IF(S184&gt;-0.03,"Verde",IF(S184&lt;=-0.07,"Rojo","Amarillo")))</f>
        <v>Verde</v>
      </c>
      <c r="U184" s="226">
        <v>45372</v>
      </c>
      <c r="V184" s="226">
        <v>45388</v>
      </c>
      <c r="W184" s="226">
        <v>45404</v>
      </c>
      <c r="X184" s="226">
        <v>45657</v>
      </c>
      <c r="Y184" s="272">
        <v>45869</v>
      </c>
      <c r="Z184" s="225" t="str">
        <f ca="1">+IF(AND(O184="En_Ejecución",OR(T184="Rojo",T184="Amarillo")),IF(($Y184-(TODAY())&lt;15),"Rojo",IF(($Y184-TODAY())&gt;=45,"Verde","Amarillo")),O184)</f>
        <v>Terminado</v>
      </c>
      <c r="AA184" s="225" t="str">
        <f ca="1">+IF(AND(Z184="Amarillo",T184="Rojo"),"En_Seguimiento",IF(AND(Z184="Rojo",T184="Amarillo"),"En_Seguimiento",IF(AND(Z184="Rojo",T184="Rojo"),"En_Seguimiento",IF(AND(Z184="Suspendido",T184="Amarillo"),"En_Seguimiento",IF(AND(Z184="Suspendido",T184="Rojo"),"En_Seguimiento","-")))))</f>
        <v>-</v>
      </c>
      <c r="AB184" s="273" t="s">
        <v>364</v>
      </c>
      <c r="AC184" s="272"/>
      <c r="AD184" s="227"/>
      <c r="AE184" s="221" t="s">
        <v>1254</v>
      </c>
      <c r="AF184" s="223" t="s">
        <v>1255</v>
      </c>
      <c r="AG184" s="223" t="s">
        <v>1256</v>
      </c>
      <c r="AH184" s="223" t="s">
        <v>1257</v>
      </c>
      <c r="AI184" s="221"/>
      <c r="AJ184" s="223" t="s">
        <v>336</v>
      </c>
      <c r="AK184" s="223" t="s">
        <v>25</v>
      </c>
      <c r="AL184" s="230" t="s">
        <v>1073</v>
      </c>
      <c r="AM184" s="231">
        <v>462608956.5747751</v>
      </c>
      <c r="AN184" s="231">
        <v>0</v>
      </c>
      <c r="AO184" s="231">
        <f>AM184+AN184</f>
        <v>462608956.5747751</v>
      </c>
      <c r="AP184" s="231">
        <v>0</v>
      </c>
      <c r="AQ184" s="231">
        <v>0</v>
      </c>
      <c r="AR184" s="231">
        <v>23130447.826310057</v>
      </c>
      <c r="AS184" s="231">
        <v>0</v>
      </c>
      <c r="AT184" s="231">
        <f>AR184+AS184</f>
        <v>23130447.826310057</v>
      </c>
      <c r="AU184" s="231">
        <v>0</v>
      </c>
      <c r="AV184" s="231">
        <v>0</v>
      </c>
      <c r="AW184" s="232">
        <v>2560</v>
      </c>
      <c r="AX184" s="232"/>
      <c r="AY184" s="232"/>
      <c r="AZ184" s="232"/>
      <c r="BA184" s="221" t="s">
        <v>1129</v>
      </c>
      <c r="BB184" s="221" t="s">
        <v>1281</v>
      </c>
      <c r="BC184" s="233" t="s">
        <v>128</v>
      </c>
      <c r="BF184" s="51"/>
    </row>
    <row r="185" spans="1:58" ht="13.5" customHeight="1">
      <c r="A185" s="220">
        <f t="shared" si="39"/>
        <v>184</v>
      </c>
      <c r="B185" s="221" t="s">
        <v>976</v>
      </c>
      <c r="C185" s="221" t="s">
        <v>25</v>
      </c>
      <c r="D185" s="221" t="s">
        <v>118</v>
      </c>
      <c r="E185" s="221" t="s">
        <v>596</v>
      </c>
      <c r="F185" s="221" t="s">
        <v>1063</v>
      </c>
      <c r="G185" s="222" t="s">
        <v>1282</v>
      </c>
      <c r="H185" s="221" t="s">
        <v>1283</v>
      </c>
      <c r="I185" s="221" t="s">
        <v>1284</v>
      </c>
      <c r="J185" s="221" t="s">
        <v>1285</v>
      </c>
      <c r="K185" s="221" t="s">
        <v>1286</v>
      </c>
      <c r="L185" s="221">
        <v>-74.777582019999997</v>
      </c>
      <c r="M185" s="221">
        <v>10.942471810000001</v>
      </c>
      <c r="N185" s="223" t="s">
        <v>1287</v>
      </c>
      <c r="O185" s="230" t="s">
        <v>1288</v>
      </c>
      <c r="P185" s="224">
        <v>23155756672.009998</v>
      </c>
      <c r="Q185" s="225">
        <v>0</v>
      </c>
      <c r="R185" s="225">
        <v>0</v>
      </c>
      <c r="S185" s="225">
        <f t="shared" si="40"/>
        <v>0</v>
      </c>
      <c r="T185" s="225" t="str" cm="1">
        <f t="array" ref="T185">+_xlfn.IFS($P185&lt;=10000000000,IF(S185&gt;-0.05,"Verde",IF(S185&lt;=-0.1,"Rojo","Amarillo")),$P185&gt;10000000000,IF(S185&gt;-0.03,"Verde",IF(S185&lt;=-0.07,"Rojo","Amarillo")))</f>
        <v>Verde</v>
      </c>
      <c r="U185" s="226"/>
      <c r="V185" s="226"/>
      <c r="W185" s="226"/>
      <c r="X185" s="226"/>
      <c r="Y185" s="272"/>
      <c r="Z185" s="225"/>
      <c r="AA185" s="225"/>
      <c r="AB185" s="273"/>
      <c r="AC185" s="272"/>
      <c r="AD185" s="227"/>
      <c r="AE185" s="221" t="s">
        <v>1289</v>
      </c>
      <c r="AF185" s="223" t="s">
        <v>1290</v>
      </c>
      <c r="AG185" s="223"/>
      <c r="AH185" s="223"/>
      <c r="AI185" s="221"/>
      <c r="AJ185" s="223"/>
      <c r="AK185" s="223"/>
      <c r="AL185" s="230"/>
      <c r="AM185" s="231"/>
      <c r="AN185" s="231"/>
      <c r="AO185" s="231"/>
      <c r="AP185" s="231"/>
      <c r="AQ185" s="231"/>
      <c r="AR185" s="231"/>
      <c r="AS185" s="231"/>
      <c r="AT185" s="231"/>
      <c r="AU185" s="231"/>
      <c r="AV185" s="231"/>
      <c r="AW185" s="232"/>
      <c r="AX185" s="232"/>
      <c r="AY185" s="232"/>
      <c r="AZ185" s="232"/>
      <c r="BA185" s="221"/>
      <c r="BB185" s="221"/>
      <c r="BC185" s="233"/>
      <c r="BF185" s="51"/>
    </row>
    <row r="186" spans="1:58" ht="13.5" customHeight="1">
      <c r="A186" s="220">
        <f t="shared" si="39"/>
        <v>185</v>
      </c>
      <c r="B186" s="221" t="s">
        <v>976</v>
      </c>
      <c r="C186" s="221" t="s">
        <v>25</v>
      </c>
      <c r="D186" s="221" t="s">
        <v>118</v>
      </c>
      <c r="E186" s="221" t="s">
        <v>596</v>
      </c>
      <c r="F186" s="221" t="s">
        <v>1063</v>
      </c>
      <c r="G186" s="222" t="s">
        <v>1291</v>
      </c>
      <c r="H186" s="221" t="s">
        <v>1283</v>
      </c>
      <c r="I186" s="221" t="s">
        <v>1292</v>
      </c>
      <c r="J186" s="221" t="s">
        <v>1293</v>
      </c>
      <c r="K186" s="221" t="s">
        <v>1294</v>
      </c>
      <c r="L186" s="221">
        <v>-74.791136300000005</v>
      </c>
      <c r="M186" s="221">
        <v>10.937730480000001</v>
      </c>
      <c r="N186" s="223" t="s">
        <v>1287</v>
      </c>
      <c r="O186" s="230" t="s">
        <v>1288</v>
      </c>
      <c r="P186" s="224">
        <v>611022668</v>
      </c>
      <c r="Q186" s="225">
        <v>0</v>
      </c>
      <c r="R186" s="225">
        <v>0</v>
      </c>
      <c r="S186" s="225">
        <f t="shared" si="40"/>
        <v>0</v>
      </c>
      <c r="T186" s="225" t="str" cm="1">
        <f t="array" ref="T186">+_xlfn.IFS($P186&lt;=10000000000,IF(S186&gt;-0.05,"Verde",IF(S186&lt;=-0.1,"Rojo","Amarillo")),$P186&gt;10000000000,IF(S186&gt;-0.03,"Verde",IF(S186&lt;=-0.07,"Rojo","Amarillo")))</f>
        <v>Verde</v>
      </c>
      <c r="U186" s="226"/>
      <c r="V186" s="226"/>
      <c r="W186" s="226"/>
      <c r="X186" s="226"/>
      <c r="Y186" s="272"/>
      <c r="Z186" s="225"/>
      <c r="AA186" s="225"/>
      <c r="AB186" s="273"/>
      <c r="AC186" s="272"/>
      <c r="AD186" s="227"/>
      <c r="AE186" s="221" t="s">
        <v>1289</v>
      </c>
      <c r="AF186" s="223" t="s">
        <v>1290</v>
      </c>
      <c r="AG186" s="223"/>
      <c r="AH186" s="223"/>
      <c r="AI186" s="221"/>
      <c r="AJ186" s="223"/>
      <c r="AK186" s="223"/>
      <c r="AL186" s="230"/>
      <c r="AM186" s="231"/>
      <c r="AN186" s="231"/>
      <c r="AO186" s="231"/>
      <c r="AP186" s="231"/>
      <c r="AQ186" s="231"/>
      <c r="AR186" s="231"/>
      <c r="AS186" s="231"/>
      <c r="AT186" s="231"/>
      <c r="AU186" s="231"/>
      <c r="AV186" s="231"/>
      <c r="AW186" s="232"/>
      <c r="AX186" s="232"/>
      <c r="AY186" s="232"/>
      <c r="AZ186" s="232"/>
      <c r="BA186" s="221"/>
      <c r="BB186" s="221"/>
      <c r="BC186" s="233"/>
      <c r="BF186" s="51"/>
    </row>
    <row r="187" spans="1:58" ht="13.5" customHeight="1">
      <c r="A187" s="220">
        <f t="shared" si="39"/>
        <v>186</v>
      </c>
      <c r="B187" s="221" t="s">
        <v>976</v>
      </c>
      <c r="C187" s="221" t="s">
        <v>25</v>
      </c>
      <c r="D187" s="221" t="s">
        <v>118</v>
      </c>
      <c r="E187" s="221" t="s">
        <v>596</v>
      </c>
      <c r="F187" s="221" t="s">
        <v>1063</v>
      </c>
      <c r="G187" s="222" t="s">
        <v>1295</v>
      </c>
      <c r="H187" s="221" t="s">
        <v>1296</v>
      </c>
      <c r="I187" s="221" t="s">
        <v>1297</v>
      </c>
      <c r="J187" s="221" t="s">
        <v>1298</v>
      </c>
      <c r="K187" s="221" t="s">
        <v>1299</v>
      </c>
      <c r="L187" s="221">
        <v>-74.833600849999996</v>
      </c>
      <c r="M187" s="221">
        <v>10.976460550000001</v>
      </c>
      <c r="N187" s="223" t="s">
        <v>1287</v>
      </c>
      <c r="O187" s="230" t="s">
        <v>1288</v>
      </c>
      <c r="P187" s="224">
        <v>1417318108</v>
      </c>
      <c r="Q187" s="225">
        <v>0</v>
      </c>
      <c r="R187" s="225">
        <v>0</v>
      </c>
      <c r="S187" s="225">
        <f t="shared" si="40"/>
        <v>0</v>
      </c>
      <c r="T187" s="225" t="str" cm="1">
        <f t="array" ref="T187">+_xlfn.IFS($P187&lt;=10000000000,IF(S187&gt;-0.05,"Verde",IF(S187&lt;=-0.1,"Rojo","Amarillo")),$P187&gt;10000000000,IF(S187&gt;-0.03,"Verde",IF(S187&lt;=-0.07,"Rojo","Amarillo")))</f>
        <v>Verde</v>
      </c>
      <c r="U187" s="226"/>
      <c r="V187" s="226"/>
      <c r="W187" s="226"/>
      <c r="X187" s="226"/>
      <c r="Y187" s="272"/>
      <c r="Z187" s="225"/>
      <c r="AA187" s="225"/>
      <c r="AB187" s="273"/>
      <c r="AC187" s="272"/>
      <c r="AD187" s="227"/>
      <c r="AE187" s="221" t="s">
        <v>1289</v>
      </c>
      <c r="AF187" s="223" t="s">
        <v>1290</v>
      </c>
      <c r="AG187" s="223"/>
      <c r="AH187" s="223"/>
      <c r="AI187" s="221"/>
      <c r="AJ187" s="223"/>
      <c r="AK187" s="223"/>
      <c r="AL187" s="230"/>
      <c r="AM187" s="231"/>
      <c r="AN187" s="231"/>
      <c r="AO187" s="231"/>
      <c r="AP187" s="231"/>
      <c r="AQ187" s="231"/>
      <c r="AR187" s="231"/>
      <c r="AS187" s="231"/>
      <c r="AT187" s="231"/>
      <c r="AU187" s="231"/>
      <c r="AV187" s="231"/>
      <c r="AW187" s="232"/>
      <c r="AX187" s="232"/>
      <c r="AY187" s="232"/>
      <c r="AZ187" s="232"/>
      <c r="BA187" s="221"/>
      <c r="BB187" s="221"/>
      <c r="BC187" s="233"/>
      <c r="BF187" s="51"/>
    </row>
    <row r="188" spans="1:58" ht="13.5" customHeight="1">
      <c r="A188" s="220">
        <f t="shared" si="39"/>
        <v>187</v>
      </c>
      <c r="B188" s="221" t="s">
        <v>976</v>
      </c>
      <c r="C188" s="221" t="s">
        <v>25</v>
      </c>
      <c r="D188" s="221" t="s">
        <v>118</v>
      </c>
      <c r="E188" s="221" t="s">
        <v>596</v>
      </c>
      <c r="F188" s="221" t="s">
        <v>1063</v>
      </c>
      <c r="G188" s="222" t="s">
        <v>1300</v>
      </c>
      <c r="H188" s="221" t="s">
        <v>1296</v>
      </c>
      <c r="I188" s="221" t="s">
        <v>1301</v>
      </c>
      <c r="J188" s="221" t="s">
        <v>1302</v>
      </c>
      <c r="K188" s="221" t="s">
        <v>1303</v>
      </c>
      <c r="L188" s="221">
        <v>-74.818706340000006</v>
      </c>
      <c r="M188" s="221">
        <v>10.968109930000001</v>
      </c>
      <c r="N188" s="223" t="s">
        <v>1287</v>
      </c>
      <c r="O188" s="230" t="s">
        <v>1288</v>
      </c>
      <c r="P188" s="224">
        <v>1488964357</v>
      </c>
      <c r="Q188" s="225">
        <v>0</v>
      </c>
      <c r="R188" s="225">
        <v>0</v>
      </c>
      <c r="S188" s="225">
        <f t="shared" si="40"/>
        <v>0</v>
      </c>
      <c r="T188" s="225" t="str" cm="1">
        <f t="array" ref="T188">+_xlfn.IFS($P188&lt;=10000000000,IF(S188&gt;-0.05,"Verde",IF(S188&lt;=-0.1,"Rojo","Amarillo")),$P188&gt;10000000000,IF(S188&gt;-0.03,"Verde",IF(S188&lt;=-0.07,"Rojo","Amarillo")))</f>
        <v>Verde</v>
      </c>
      <c r="U188" s="226"/>
      <c r="V188" s="226"/>
      <c r="W188" s="226"/>
      <c r="X188" s="226"/>
      <c r="Y188" s="272"/>
      <c r="Z188" s="225"/>
      <c r="AA188" s="225"/>
      <c r="AB188" s="273"/>
      <c r="AC188" s="272"/>
      <c r="AD188" s="227"/>
      <c r="AE188" s="221" t="s">
        <v>1289</v>
      </c>
      <c r="AF188" s="223" t="s">
        <v>1290</v>
      </c>
      <c r="AG188" s="223"/>
      <c r="AH188" s="223"/>
      <c r="AI188" s="221"/>
      <c r="AJ188" s="223"/>
      <c r="AK188" s="223"/>
      <c r="AL188" s="230"/>
      <c r="AM188" s="231"/>
      <c r="AN188" s="231"/>
      <c r="AO188" s="231"/>
      <c r="AP188" s="231"/>
      <c r="AQ188" s="231"/>
      <c r="AR188" s="231"/>
      <c r="AS188" s="231"/>
      <c r="AT188" s="231"/>
      <c r="AU188" s="231"/>
      <c r="AV188" s="231"/>
      <c r="AW188" s="232"/>
      <c r="AX188" s="232"/>
      <c r="AY188" s="232"/>
      <c r="AZ188" s="232"/>
      <c r="BA188" s="221"/>
      <c r="BB188" s="221"/>
      <c r="BC188" s="233"/>
      <c r="BF188" s="51"/>
    </row>
    <row r="189" spans="1:58" ht="13.5" customHeight="1">
      <c r="A189" s="220">
        <f t="shared" si="39"/>
        <v>188</v>
      </c>
      <c r="B189" s="221" t="s">
        <v>976</v>
      </c>
      <c r="C189" s="221" t="s">
        <v>25</v>
      </c>
      <c r="D189" s="221" t="s">
        <v>118</v>
      </c>
      <c r="E189" s="221" t="s">
        <v>596</v>
      </c>
      <c r="F189" s="221" t="s">
        <v>1063</v>
      </c>
      <c r="G189" s="222" t="s">
        <v>1304</v>
      </c>
      <c r="H189" s="221" t="s">
        <v>1283</v>
      </c>
      <c r="I189" s="221" t="s">
        <v>1284</v>
      </c>
      <c r="J189" s="221" t="s">
        <v>1305</v>
      </c>
      <c r="K189" s="221" t="s">
        <v>1306</v>
      </c>
      <c r="L189" s="221">
        <v>-74.777483399999994</v>
      </c>
      <c r="M189" s="221">
        <v>10.944601479999999</v>
      </c>
      <c r="N189" s="223" t="s">
        <v>1287</v>
      </c>
      <c r="O189" s="230" t="s">
        <v>1288</v>
      </c>
      <c r="P189" s="224">
        <v>1327804191</v>
      </c>
      <c r="Q189" s="225">
        <v>0</v>
      </c>
      <c r="R189" s="225">
        <v>0</v>
      </c>
      <c r="S189" s="225">
        <f t="shared" si="40"/>
        <v>0</v>
      </c>
      <c r="T189" s="225" t="str" cm="1">
        <f t="array" ref="T189">+_xlfn.IFS($P189&lt;=10000000000,IF(S189&gt;-0.05,"Verde",IF(S189&lt;=-0.1,"Rojo","Amarillo")),$P189&gt;10000000000,IF(S189&gt;-0.03,"Verde",IF(S189&lt;=-0.07,"Rojo","Amarillo")))</f>
        <v>Verde</v>
      </c>
      <c r="U189" s="226"/>
      <c r="V189" s="226"/>
      <c r="W189" s="226"/>
      <c r="X189" s="226"/>
      <c r="Y189" s="272"/>
      <c r="Z189" s="225"/>
      <c r="AA189" s="225"/>
      <c r="AB189" s="273"/>
      <c r="AC189" s="272"/>
      <c r="AD189" s="227"/>
      <c r="AE189" s="221" t="s">
        <v>1289</v>
      </c>
      <c r="AF189" s="223" t="s">
        <v>1290</v>
      </c>
      <c r="AG189" s="223"/>
      <c r="AH189" s="223"/>
      <c r="AI189" s="221"/>
      <c r="AJ189" s="223"/>
      <c r="AK189" s="223"/>
      <c r="AL189" s="230"/>
      <c r="AM189" s="231"/>
      <c r="AN189" s="231"/>
      <c r="AO189" s="231"/>
      <c r="AP189" s="231"/>
      <c r="AQ189" s="231"/>
      <c r="AR189" s="231"/>
      <c r="AS189" s="231"/>
      <c r="AT189" s="231"/>
      <c r="AU189" s="231"/>
      <c r="AV189" s="231"/>
      <c r="AW189" s="232"/>
      <c r="AX189" s="232"/>
      <c r="AY189" s="232"/>
      <c r="AZ189" s="232"/>
      <c r="BA189" s="221"/>
      <c r="BB189" s="221"/>
      <c r="BC189" s="233"/>
      <c r="BF189" s="51"/>
    </row>
    <row r="190" spans="1:58" ht="13.5" customHeight="1">
      <c r="A190" s="220">
        <f t="shared" si="39"/>
        <v>189</v>
      </c>
      <c r="B190" s="221" t="s">
        <v>976</v>
      </c>
      <c r="C190" s="221" t="s">
        <v>25</v>
      </c>
      <c r="D190" s="221" t="s">
        <v>118</v>
      </c>
      <c r="E190" s="221" t="s">
        <v>596</v>
      </c>
      <c r="F190" s="221" t="s">
        <v>1063</v>
      </c>
      <c r="G190" s="222" t="s">
        <v>1307</v>
      </c>
      <c r="H190" s="221" t="s">
        <v>1283</v>
      </c>
      <c r="I190" s="221" t="s">
        <v>1284</v>
      </c>
      <c r="J190" s="221" t="s">
        <v>1308</v>
      </c>
      <c r="K190" s="221" t="s">
        <v>1309</v>
      </c>
      <c r="L190" s="221">
        <v>-74.778232189999997</v>
      </c>
      <c r="M190" s="221">
        <v>10.942779740000001</v>
      </c>
      <c r="N190" s="223" t="s">
        <v>1287</v>
      </c>
      <c r="O190" s="230" t="s">
        <v>1288</v>
      </c>
      <c r="P190" s="224">
        <v>3864276974</v>
      </c>
      <c r="Q190" s="225">
        <v>0</v>
      </c>
      <c r="R190" s="225">
        <v>0</v>
      </c>
      <c r="S190" s="225">
        <f t="shared" si="40"/>
        <v>0</v>
      </c>
      <c r="T190" s="225" t="str" cm="1">
        <f t="array" ref="T190">+_xlfn.IFS($P190&lt;=10000000000,IF(S190&gt;-0.05,"Verde",IF(S190&lt;=-0.1,"Rojo","Amarillo")),$P190&gt;10000000000,IF(S190&gt;-0.03,"Verde",IF(S190&lt;=-0.07,"Rojo","Amarillo")))</f>
        <v>Verde</v>
      </c>
      <c r="U190" s="226"/>
      <c r="V190" s="226"/>
      <c r="W190" s="226"/>
      <c r="X190" s="226"/>
      <c r="Y190" s="272"/>
      <c r="Z190" s="225"/>
      <c r="AA190" s="225"/>
      <c r="AB190" s="273"/>
      <c r="AC190" s="272"/>
      <c r="AD190" s="227"/>
      <c r="AE190" s="221" t="s">
        <v>1289</v>
      </c>
      <c r="AF190" s="223" t="s">
        <v>1290</v>
      </c>
      <c r="AG190" s="223"/>
      <c r="AH190" s="223"/>
      <c r="AI190" s="221"/>
      <c r="AJ190" s="223"/>
      <c r="AK190" s="223"/>
      <c r="AL190" s="230"/>
      <c r="AM190" s="231"/>
      <c r="AN190" s="231"/>
      <c r="AO190" s="231"/>
      <c r="AP190" s="231"/>
      <c r="AQ190" s="231"/>
      <c r="AR190" s="231"/>
      <c r="AS190" s="231"/>
      <c r="AT190" s="231"/>
      <c r="AU190" s="231"/>
      <c r="AV190" s="231"/>
      <c r="AW190" s="232"/>
      <c r="AX190" s="232"/>
      <c r="AY190" s="232"/>
      <c r="AZ190" s="232"/>
      <c r="BA190" s="221"/>
      <c r="BB190" s="221"/>
      <c r="BC190" s="233"/>
      <c r="BF190" s="51"/>
    </row>
    <row r="191" spans="1:58" ht="13.5" customHeight="1">
      <c r="A191" s="220">
        <f t="shared" si="39"/>
        <v>190</v>
      </c>
      <c r="B191" s="221" t="s">
        <v>976</v>
      </c>
      <c r="C191" s="221" t="s">
        <v>25</v>
      </c>
      <c r="D191" s="221" t="s">
        <v>118</v>
      </c>
      <c r="E191" s="221" t="s">
        <v>596</v>
      </c>
      <c r="F191" s="221" t="s">
        <v>1063</v>
      </c>
      <c r="G191" s="222" t="s">
        <v>1310</v>
      </c>
      <c r="H191" s="221" t="s">
        <v>1311</v>
      </c>
      <c r="I191" s="221" t="s">
        <v>1312</v>
      </c>
      <c r="J191" s="221" t="s">
        <v>1313</v>
      </c>
      <c r="K191" s="221" t="s">
        <v>1314</v>
      </c>
      <c r="L191" s="221">
        <v>-74.829016999999993</v>
      </c>
      <c r="M191" s="221">
        <v>10.939278</v>
      </c>
      <c r="N191" s="223" t="s">
        <v>1287</v>
      </c>
      <c r="O191" s="230" t="s">
        <v>1288</v>
      </c>
      <c r="P191" s="224">
        <v>3722132625</v>
      </c>
      <c r="Q191" s="225">
        <v>0</v>
      </c>
      <c r="R191" s="225">
        <v>0</v>
      </c>
      <c r="S191" s="225">
        <f t="shared" si="40"/>
        <v>0</v>
      </c>
      <c r="T191" s="225" t="str" cm="1">
        <f t="array" ref="T191">+_xlfn.IFS($P191&lt;=10000000000,IF(S191&gt;-0.05,"Verde",IF(S191&lt;=-0.1,"Rojo","Amarillo")),$P191&gt;10000000000,IF(S191&gt;-0.03,"Verde",IF(S191&lt;=-0.07,"Rojo","Amarillo")))</f>
        <v>Verde</v>
      </c>
      <c r="U191" s="226"/>
      <c r="V191" s="226"/>
      <c r="W191" s="226"/>
      <c r="X191" s="226"/>
      <c r="Y191" s="272"/>
      <c r="Z191" s="225"/>
      <c r="AA191" s="225"/>
      <c r="AB191" s="273"/>
      <c r="AC191" s="272"/>
      <c r="AD191" s="227"/>
      <c r="AE191" s="221" t="s">
        <v>1315</v>
      </c>
      <c r="AF191" s="223" t="s">
        <v>1290</v>
      </c>
      <c r="AG191" s="223"/>
      <c r="AH191" s="223"/>
      <c r="AI191" s="221"/>
      <c r="AJ191" s="223"/>
      <c r="AK191" s="223"/>
      <c r="AL191" s="230"/>
      <c r="AM191" s="231"/>
      <c r="AN191" s="231"/>
      <c r="AO191" s="231"/>
      <c r="AP191" s="231"/>
      <c r="AQ191" s="231"/>
      <c r="AR191" s="231"/>
      <c r="AS191" s="231"/>
      <c r="AT191" s="231"/>
      <c r="AU191" s="231"/>
      <c r="AV191" s="231"/>
      <c r="AW191" s="232"/>
      <c r="AX191" s="232"/>
      <c r="AY191" s="232"/>
      <c r="AZ191" s="232"/>
      <c r="BA191" s="221"/>
      <c r="BB191" s="221"/>
      <c r="BC191" s="233"/>
      <c r="BF191" s="51"/>
    </row>
    <row r="192" spans="1:58" ht="13.5" customHeight="1">
      <c r="A192" s="220">
        <f t="shared" si="39"/>
        <v>191</v>
      </c>
      <c r="B192" s="221" t="s">
        <v>976</v>
      </c>
      <c r="C192" s="221" t="s">
        <v>25</v>
      </c>
      <c r="D192" s="221" t="s">
        <v>118</v>
      </c>
      <c r="E192" s="221" t="s">
        <v>596</v>
      </c>
      <c r="F192" s="221" t="s">
        <v>1063</v>
      </c>
      <c r="G192" s="222" t="s">
        <v>1316</v>
      </c>
      <c r="H192" s="221" t="s">
        <v>1311</v>
      </c>
      <c r="I192" s="221" t="s">
        <v>317</v>
      </c>
      <c r="J192" s="221" t="s">
        <v>1317</v>
      </c>
      <c r="K192" s="221" t="s">
        <v>1318</v>
      </c>
      <c r="L192" s="221">
        <v>-74.804063200000002</v>
      </c>
      <c r="M192" s="221">
        <v>10.93186287</v>
      </c>
      <c r="N192" s="223" t="s">
        <v>1287</v>
      </c>
      <c r="O192" s="230" t="s">
        <v>1288</v>
      </c>
      <c r="P192" s="224">
        <v>1544737522</v>
      </c>
      <c r="Q192" s="225">
        <v>0</v>
      </c>
      <c r="R192" s="225">
        <v>0</v>
      </c>
      <c r="S192" s="225">
        <f t="shared" si="40"/>
        <v>0</v>
      </c>
      <c r="T192" s="225" t="str" cm="1">
        <f t="array" ref="T192">+_xlfn.IFS($P192&lt;=10000000000,IF(S192&gt;-0.05,"Verde",IF(S192&lt;=-0.1,"Rojo","Amarillo")),$P192&gt;10000000000,IF(S192&gt;-0.03,"Verde",IF(S192&lt;=-0.07,"Rojo","Amarillo")))</f>
        <v>Verde</v>
      </c>
      <c r="U192" s="226"/>
      <c r="V192" s="226"/>
      <c r="W192" s="226"/>
      <c r="X192" s="226"/>
      <c r="Y192" s="272"/>
      <c r="Z192" s="225"/>
      <c r="AA192" s="225"/>
      <c r="AB192" s="273"/>
      <c r="AC192" s="272"/>
      <c r="AD192" s="227"/>
      <c r="AE192" s="221" t="s">
        <v>1315</v>
      </c>
      <c r="AF192" s="223" t="s">
        <v>1290</v>
      </c>
      <c r="AG192" s="223"/>
      <c r="AH192" s="223"/>
      <c r="AI192" s="221"/>
      <c r="AJ192" s="223"/>
      <c r="AK192" s="223"/>
      <c r="AL192" s="230"/>
      <c r="AM192" s="231"/>
      <c r="AN192" s="231"/>
      <c r="AO192" s="231"/>
      <c r="AP192" s="231"/>
      <c r="AQ192" s="231"/>
      <c r="AR192" s="231"/>
      <c r="AS192" s="231"/>
      <c r="AT192" s="231"/>
      <c r="AU192" s="231"/>
      <c r="AV192" s="231"/>
      <c r="AW192" s="232"/>
      <c r="AX192" s="232"/>
      <c r="AY192" s="232"/>
      <c r="AZ192" s="232"/>
      <c r="BA192" s="221"/>
      <c r="BB192" s="221"/>
      <c r="BC192" s="233"/>
      <c r="BF192" s="51"/>
    </row>
    <row r="193" spans="1:58" ht="13.5" customHeight="1">
      <c r="A193" s="220">
        <f t="shared" si="39"/>
        <v>192</v>
      </c>
      <c r="B193" s="221" t="s">
        <v>976</v>
      </c>
      <c r="C193" s="221" t="s">
        <v>25</v>
      </c>
      <c r="D193" s="221" t="s">
        <v>118</v>
      </c>
      <c r="E193" s="221" t="s">
        <v>596</v>
      </c>
      <c r="F193" s="221" t="s">
        <v>1063</v>
      </c>
      <c r="G193" s="222" t="s">
        <v>1319</v>
      </c>
      <c r="H193" s="221" t="s">
        <v>1311</v>
      </c>
      <c r="I193" s="221" t="s">
        <v>1320</v>
      </c>
      <c r="J193" s="221" t="s">
        <v>1321</v>
      </c>
      <c r="K193" s="221" t="s">
        <v>1322</v>
      </c>
      <c r="L193" s="221">
        <v>-74.805533999999994</v>
      </c>
      <c r="M193" s="221">
        <v>10.923495000000001</v>
      </c>
      <c r="N193" s="223" t="s">
        <v>1287</v>
      </c>
      <c r="O193" s="230" t="s">
        <v>1288</v>
      </c>
      <c r="P193" s="224">
        <v>1113802385</v>
      </c>
      <c r="Q193" s="225">
        <v>0</v>
      </c>
      <c r="R193" s="225">
        <v>0</v>
      </c>
      <c r="S193" s="225">
        <f t="shared" si="40"/>
        <v>0</v>
      </c>
      <c r="T193" s="225" t="str" cm="1">
        <f t="array" ref="T193">+_xlfn.IFS($P193&lt;=10000000000,IF(S193&gt;-0.05,"Verde",IF(S193&lt;=-0.1,"Rojo","Amarillo")),$P193&gt;10000000000,IF(S193&gt;-0.03,"Verde",IF(S193&lt;=-0.07,"Rojo","Amarillo")))</f>
        <v>Verde</v>
      </c>
      <c r="U193" s="226"/>
      <c r="V193" s="226"/>
      <c r="W193" s="226"/>
      <c r="X193" s="226"/>
      <c r="Y193" s="272"/>
      <c r="Z193" s="225"/>
      <c r="AA193" s="225"/>
      <c r="AB193" s="273"/>
      <c r="AC193" s="272"/>
      <c r="AD193" s="227"/>
      <c r="AE193" s="221" t="s">
        <v>1315</v>
      </c>
      <c r="AF193" s="223" t="s">
        <v>1290</v>
      </c>
      <c r="AG193" s="223"/>
      <c r="AH193" s="223"/>
      <c r="AI193" s="221"/>
      <c r="AJ193" s="223"/>
      <c r="AK193" s="223"/>
      <c r="AL193" s="230"/>
      <c r="AM193" s="231"/>
      <c r="AN193" s="231"/>
      <c r="AO193" s="231"/>
      <c r="AP193" s="231"/>
      <c r="AQ193" s="231"/>
      <c r="AR193" s="231"/>
      <c r="AS193" s="231"/>
      <c r="AT193" s="231"/>
      <c r="AU193" s="231"/>
      <c r="AV193" s="231"/>
      <c r="AW193" s="232"/>
      <c r="AX193" s="232"/>
      <c r="AY193" s="232"/>
      <c r="AZ193" s="232"/>
      <c r="BA193" s="221"/>
      <c r="BB193" s="221"/>
      <c r="BC193" s="233"/>
      <c r="BF193" s="51"/>
    </row>
    <row r="194" spans="1:58" ht="13.5" customHeight="1">
      <c r="A194" s="220">
        <f t="shared" si="39"/>
        <v>193</v>
      </c>
      <c r="B194" s="221" t="s">
        <v>976</v>
      </c>
      <c r="C194" s="221" t="s">
        <v>25</v>
      </c>
      <c r="D194" s="221" t="s">
        <v>118</v>
      </c>
      <c r="E194" s="221" t="s">
        <v>596</v>
      </c>
      <c r="F194" s="221" t="s">
        <v>1063</v>
      </c>
      <c r="G194" s="222" t="s">
        <v>1323</v>
      </c>
      <c r="H194" s="221" t="s">
        <v>1296</v>
      </c>
      <c r="I194" s="221" t="s">
        <v>1324</v>
      </c>
      <c r="J194" s="221" t="s">
        <v>1325</v>
      </c>
      <c r="K194" s="221" t="s">
        <v>1326</v>
      </c>
      <c r="L194" s="221">
        <v>-74.807135000000002</v>
      </c>
      <c r="M194" s="221">
        <v>10.960248999999999</v>
      </c>
      <c r="N194" s="223" t="s">
        <v>1287</v>
      </c>
      <c r="O194" s="230" t="s">
        <v>1288</v>
      </c>
      <c r="P194" s="224">
        <v>2547969983</v>
      </c>
      <c r="Q194" s="225">
        <v>0</v>
      </c>
      <c r="R194" s="225">
        <v>0</v>
      </c>
      <c r="S194" s="225">
        <f t="shared" si="40"/>
        <v>0</v>
      </c>
      <c r="T194" s="225" t="str" cm="1">
        <f t="array" ref="T194">+_xlfn.IFS($P194&lt;=10000000000,IF(S194&gt;-0.05,"Verde",IF(S194&lt;=-0.1,"Rojo","Amarillo")),$P194&gt;10000000000,IF(S194&gt;-0.03,"Verde",IF(S194&lt;=-0.07,"Rojo","Amarillo")))</f>
        <v>Verde</v>
      </c>
      <c r="U194" s="226"/>
      <c r="V194" s="226"/>
      <c r="W194" s="226"/>
      <c r="X194" s="226"/>
      <c r="Y194" s="272"/>
      <c r="Z194" s="225"/>
      <c r="AA194" s="225"/>
      <c r="AB194" s="273"/>
      <c r="AC194" s="272"/>
      <c r="AD194" s="227"/>
      <c r="AE194" s="221" t="s">
        <v>1315</v>
      </c>
      <c r="AF194" s="223" t="s">
        <v>1290</v>
      </c>
      <c r="AG194" s="223"/>
      <c r="AH194" s="223"/>
      <c r="AI194" s="221"/>
      <c r="AJ194" s="223"/>
      <c r="AK194" s="223"/>
      <c r="AL194" s="230"/>
      <c r="AM194" s="231"/>
      <c r="AN194" s="231"/>
      <c r="AO194" s="231"/>
      <c r="AP194" s="231"/>
      <c r="AQ194" s="231"/>
      <c r="AR194" s="231"/>
      <c r="AS194" s="231"/>
      <c r="AT194" s="231"/>
      <c r="AU194" s="231"/>
      <c r="AV194" s="231"/>
      <c r="AW194" s="232"/>
      <c r="AX194" s="232"/>
      <c r="AY194" s="232"/>
      <c r="AZ194" s="232"/>
      <c r="BA194" s="221"/>
      <c r="BB194" s="221"/>
      <c r="BC194" s="233"/>
      <c r="BF194" s="51"/>
    </row>
    <row r="195" spans="1:58" ht="13.5" customHeight="1">
      <c r="A195" s="220">
        <f t="shared" si="39"/>
        <v>194</v>
      </c>
      <c r="B195" s="221" t="s">
        <v>976</v>
      </c>
      <c r="C195" s="221" t="s">
        <v>25</v>
      </c>
      <c r="D195" s="221" t="s">
        <v>118</v>
      </c>
      <c r="E195" s="221" t="s">
        <v>596</v>
      </c>
      <c r="F195" s="221" t="s">
        <v>1063</v>
      </c>
      <c r="G195" s="222" t="s">
        <v>1327</v>
      </c>
      <c r="H195" s="221" t="s">
        <v>1283</v>
      </c>
      <c r="I195" s="221" t="s">
        <v>1251</v>
      </c>
      <c r="J195" s="221"/>
      <c r="K195" s="221" t="s">
        <v>1328</v>
      </c>
      <c r="L195" s="221">
        <v>-7477212500</v>
      </c>
      <c r="M195" s="221" t="s">
        <v>1329</v>
      </c>
      <c r="N195" s="223" t="s">
        <v>1287</v>
      </c>
      <c r="O195" s="230" t="s">
        <v>1288</v>
      </c>
      <c r="P195" s="224">
        <v>499850000</v>
      </c>
      <c r="Q195" s="225">
        <v>0</v>
      </c>
      <c r="R195" s="225">
        <v>0</v>
      </c>
      <c r="S195" s="225">
        <f t="shared" si="40"/>
        <v>0</v>
      </c>
      <c r="T195" s="225" t="str" cm="1">
        <f t="array" ref="T195">+_xlfn.IFS($P195&lt;=10000000000,IF(S195&gt;-0.05,"Verde",IF(S195&lt;=-0.1,"Rojo","Amarillo")),$P195&gt;10000000000,IF(S195&gt;-0.03,"Verde",IF(S195&lt;=-0.07,"Rojo","Amarillo")))</f>
        <v>Verde</v>
      </c>
      <c r="U195" s="226"/>
      <c r="V195" s="226"/>
      <c r="W195" s="226"/>
      <c r="X195" s="226"/>
      <c r="Y195" s="272"/>
      <c r="Z195" s="225"/>
      <c r="AA195" s="225"/>
      <c r="AB195" s="273"/>
      <c r="AC195" s="272"/>
      <c r="AD195" s="227"/>
      <c r="AE195" s="221" t="s">
        <v>1315</v>
      </c>
      <c r="AF195" s="223" t="s">
        <v>1290</v>
      </c>
      <c r="AG195" s="223"/>
      <c r="AH195" s="223"/>
      <c r="AI195" s="221"/>
      <c r="AJ195" s="223"/>
      <c r="AK195" s="223"/>
      <c r="AL195" s="230"/>
      <c r="AM195" s="231"/>
      <c r="AN195" s="231"/>
      <c r="AO195" s="231"/>
      <c r="AP195" s="231"/>
      <c r="AQ195" s="231"/>
      <c r="AR195" s="231"/>
      <c r="AS195" s="231"/>
      <c r="AT195" s="231"/>
      <c r="AU195" s="231"/>
      <c r="AV195" s="231"/>
      <c r="AW195" s="232"/>
      <c r="AX195" s="232"/>
      <c r="AY195" s="232"/>
      <c r="AZ195" s="232"/>
      <c r="BA195" s="221"/>
      <c r="BB195" s="221"/>
      <c r="BC195" s="233"/>
      <c r="BF195" s="51"/>
    </row>
    <row r="196" spans="1:58" ht="13.5" customHeight="1">
      <c r="A196" s="220">
        <f t="shared" si="39"/>
        <v>195</v>
      </c>
      <c r="B196" s="221" t="s">
        <v>976</v>
      </c>
      <c r="C196" s="221" t="s">
        <v>25</v>
      </c>
      <c r="D196" s="221" t="s">
        <v>118</v>
      </c>
      <c r="E196" s="221" t="s">
        <v>596</v>
      </c>
      <c r="F196" s="221" t="s">
        <v>1063</v>
      </c>
      <c r="G196" s="222" t="s">
        <v>1330</v>
      </c>
      <c r="H196" s="221" t="s">
        <v>1311</v>
      </c>
      <c r="I196" s="221" t="s">
        <v>317</v>
      </c>
      <c r="J196" s="221" t="s">
        <v>1331</v>
      </c>
      <c r="K196" s="221" t="s">
        <v>1332</v>
      </c>
      <c r="L196" s="221">
        <v>-74.801964999999996</v>
      </c>
      <c r="M196" s="221">
        <v>10.932651</v>
      </c>
      <c r="N196" s="223" t="s">
        <v>1287</v>
      </c>
      <c r="O196" s="230" t="s">
        <v>1288</v>
      </c>
      <c r="P196" s="224">
        <v>1409337701</v>
      </c>
      <c r="Q196" s="225">
        <v>0</v>
      </c>
      <c r="R196" s="225">
        <v>0</v>
      </c>
      <c r="S196" s="225">
        <f t="shared" si="40"/>
        <v>0</v>
      </c>
      <c r="T196" s="225" t="str" cm="1">
        <f t="array" ref="T196">+_xlfn.IFS($P196&lt;=10000000000,IF(S196&gt;-0.05,"Verde",IF(S196&lt;=-0.1,"Rojo","Amarillo")),$P196&gt;10000000000,IF(S196&gt;-0.03,"Verde",IF(S196&lt;=-0.07,"Rojo","Amarillo")))</f>
        <v>Verde</v>
      </c>
      <c r="U196" s="226"/>
      <c r="V196" s="226"/>
      <c r="W196" s="226"/>
      <c r="X196" s="226"/>
      <c r="Y196" s="272"/>
      <c r="Z196" s="225"/>
      <c r="AA196" s="225"/>
      <c r="AB196" s="273"/>
      <c r="AC196" s="272"/>
      <c r="AD196" s="227"/>
      <c r="AE196" s="221" t="s">
        <v>1315</v>
      </c>
      <c r="AF196" s="223" t="s">
        <v>1290</v>
      </c>
      <c r="AG196" s="223"/>
      <c r="AH196" s="223"/>
      <c r="AI196" s="221"/>
      <c r="AJ196" s="223"/>
      <c r="AK196" s="223"/>
      <c r="AL196" s="230"/>
      <c r="AM196" s="231"/>
      <c r="AN196" s="231"/>
      <c r="AO196" s="231"/>
      <c r="AP196" s="231"/>
      <c r="AQ196" s="231"/>
      <c r="AR196" s="231"/>
      <c r="AS196" s="231"/>
      <c r="AT196" s="231"/>
      <c r="AU196" s="231"/>
      <c r="AV196" s="231"/>
      <c r="AW196" s="232"/>
      <c r="AX196" s="232"/>
      <c r="AY196" s="232"/>
      <c r="AZ196" s="232"/>
      <c r="BA196" s="221"/>
      <c r="BB196" s="221"/>
      <c r="BC196" s="233"/>
      <c r="BF196" s="51"/>
    </row>
    <row r="197" spans="1:58" ht="13.5" customHeight="1">
      <c r="A197" s="220">
        <f t="shared" si="39"/>
        <v>196</v>
      </c>
      <c r="B197" s="221" t="s">
        <v>976</v>
      </c>
      <c r="C197" s="221" t="s">
        <v>25</v>
      </c>
      <c r="D197" s="221" t="s">
        <v>118</v>
      </c>
      <c r="E197" s="221" t="s">
        <v>596</v>
      </c>
      <c r="F197" s="221" t="s">
        <v>1063</v>
      </c>
      <c r="G197" s="222" t="s">
        <v>1333</v>
      </c>
      <c r="H197" s="221" t="s">
        <v>1296</v>
      </c>
      <c r="I197" s="221" t="s">
        <v>1334</v>
      </c>
      <c r="J197" s="221" t="s">
        <v>1335</v>
      </c>
      <c r="K197" s="221" t="s">
        <v>1336</v>
      </c>
      <c r="L197" s="221">
        <v>-74.818121000000005</v>
      </c>
      <c r="M197" s="221">
        <v>10.979362999999999</v>
      </c>
      <c r="N197" s="223" t="s">
        <v>1287</v>
      </c>
      <c r="O197" s="230" t="s">
        <v>1288</v>
      </c>
      <c r="P197" s="224">
        <v>1712100000</v>
      </c>
      <c r="Q197" s="225">
        <v>0</v>
      </c>
      <c r="R197" s="225">
        <v>0</v>
      </c>
      <c r="S197" s="225">
        <f t="shared" si="40"/>
        <v>0</v>
      </c>
      <c r="T197" s="225" t="str" cm="1">
        <f t="array" ref="T197">+_xlfn.IFS($P197&lt;=10000000000,IF(S197&gt;-0.05,"Verde",IF(S197&lt;=-0.1,"Rojo","Amarillo")),$P197&gt;10000000000,IF(S197&gt;-0.03,"Verde",IF(S197&lt;=-0.07,"Rojo","Amarillo")))</f>
        <v>Verde</v>
      </c>
      <c r="U197" s="226"/>
      <c r="V197" s="226"/>
      <c r="W197" s="226"/>
      <c r="X197" s="226"/>
      <c r="Y197" s="272"/>
      <c r="Z197" s="225"/>
      <c r="AA197" s="225"/>
      <c r="AB197" s="273"/>
      <c r="AC197" s="272"/>
      <c r="AD197" s="227"/>
      <c r="AE197" s="221" t="s">
        <v>1315</v>
      </c>
      <c r="AF197" s="223" t="s">
        <v>1290</v>
      </c>
      <c r="AG197" s="223"/>
      <c r="AH197" s="223"/>
      <c r="AI197" s="221"/>
      <c r="AJ197" s="223"/>
      <c r="AK197" s="223"/>
      <c r="AL197" s="230"/>
      <c r="AM197" s="231"/>
      <c r="AN197" s="231"/>
      <c r="AO197" s="231"/>
      <c r="AP197" s="231"/>
      <c r="AQ197" s="231"/>
      <c r="AR197" s="231"/>
      <c r="AS197" s="231"/>
      <c r="AT197" s="231"/>
      <c r="AU197" s="231"/>
      <c r="AV197" s="231"/>
      <c r="AW197" s="232"/>
      <c r="AX197" s="232"/>
      <c r="AY197" s="232"/>
      <c r="AZ197" s="232"/>
      <c r="BA197" s="221"/>
      <c r="BB197" s="221"/>
      <c r="BC197" s="233"/>
      <c r="BF197" s="51"/>
    </row>
    <row r="198" spans="1:58" ht="13.5" customHeight="1">
      <c r="A198" s="220">
        <f t="shared" si="39"/>
        <v>197</v>
      </c>
      <c r="B198" s="221" t="s">
        <v>976</v>
      </c>
      <c r="C198" s="221" t="s">
        <v>25</v>
      </c>
      <c r="D198" s="221" t="s">
        <v>118</v>
      </c>
      <c r="E198" s="221" t="s">
        <v>596</v>
      </c>
      <c r="F198" s="221" t="s">
        <v>1063</v>
      </c>
      <c r="G198" s="222" t="s">
        <v>1337</v>
      </c>
      <c r="H198" s="221" t="s">
        <v>1311</v>
      </c>
      <c r="I198" s="221" t="s">
        <v>369</v>
      </c>
      <c r="J198" s="221" t="s">
        <v>1338</v>
      </c>
      <c r="K198" s="221" t="s">
        <v>1339</v>
      </c>
      <c r="L198" s="221">
        <v>-74.819485</v>
      </c>
      <c r="M198" s="221">
        <v>10.931673</v>
      </c>
      <c r="N198" s="223" t="s">
        <v>1287</v>
      </c>
      <c r="O198" s="230" t="s">
        <v>1288</v>
      </c>
      <c r="P198" s="224">
        <v>6000000000</v>
      </c>
      <c r="Q198" s="225">
        <v>0</v>
      </c>
      <c r="R198" s="225">
        <v>0</v>
      </c>
      <c r="S198" s="225">
        <f t="shared" si="40"/>
        <v>0</v>
      </c>
      <c r="T198" s="225" t="str" cm="1">
        <f t="array" ref="T198">+_xlfn.IFS($P198&lt;=10000000000,IF(S198&gt;-0.05,"Verde",IF(S198&lt;=-0.1,"Rojo","Amarillo")),$P198&gt;10000000000,IF(S198&gt;-0.03,"Verde",IF(S198&lt;=-0.07,"Rojo","Amarillo")))</f>
        <v>Verde</v>
      </c>
      <c r="U198" s="226"/>
      <c r="V198" s="226"/>
      <c r="W198" s="226"/>
      <c r="X198" s="226"/>
      <c r="Y198" s="272"/>
      <c r="Z198" s="225"/>
      <c r="AA198" s="225"/>
      <c r="AB198" s="273"/>
      <c r="AC198" s="272"/>
      <c r="AD198" s="227"/>
      <c r="AE198" s="221" t="s">
        <v>1315</v>
      </c>
      <c r="AF198" s="223" t="s">
        <v>1290</v>
      </c>
      <c r="AG198" s="223"/>
      <c r="AH198" s="223"/>
      <c r="AI198" s="221"/>
      <c r="AJ198" s="223"/>
      <c r="AK198" s="223"/>
      <c r="AL198" s="230"/>
      <c r="AM198" s="231"/>
      <c r="AN198" s="231"/>
      <c r="AO198" s="231"/>
      <c r="AP198" s="231"/>
      <c r="AQ198" s="231"/>
      <c r="AR198" s="231"/>
      <c r="AS198" s="231"/>
      <c r="AT198" s="231"/>
      <c r="AU198" s="231"/>
      <c r="AV198" s="231"/>
      <c r="AW198" s="232"/>
      <c r="AX198" s="232"/>
      <c r="AY198" s="232"/>
      <c r="AZ198" s="232"/>
      <c r="BA198" s="221"/>
      <c r="BB198" s="221"/>
      <c r="BC198" s="233"/>
      <c r="BF198" s="51"/>
    </row>
    <row r="199" spans="1:58" ht="13.5" customHeight="1">
      <c r="A199" s="220">
        <f t="shared" si="39"/>
        <v>198</v>
      </c>
      <c r="B199" s="221" t="s">
        <v>976</v>
      </c>
      <c r="C199" s="221" t="s">
        <v>25</v>
      </c>
      <c r="D199" s="221" t="s">
        <v>118</v>
      </c>
      <c r="E199" s="221" t="s">
        <v>596</v>
      </c>
      <c r="F199" s="221" t="s">
        <v>1063</v>
      </c>
      <c r="G199" s="222" t="s">
        <v>1340</v>
      </c>
      <c r="H199" s="221" t="s">
        <v>1311</v>
      </c>
      <c r="I199" s="221" t="s">
        <v>1159</v>
      </c>
      <c r="J199" s="221" t="s">
        <v>1341</v>
      </c>
      <c r="K199" s="221" t="s">
        <v>1342</v>
      </c>
      <c r="L199" s="221">
        <v>-74.814399510000001</v>
      </c>
      <c r="M199" s="221">
        <v>10.93944905</v>
      </c>
      <c r="N199" s="223" t="s">
        <v>1287</v>
      </c>
      <c r="O199" s="230" t="s">
        <v>1288</v>
      </c>
      <c r="P199" s="224">
        <v>750000000</v>
      </c>
      <c r="Q199" s="225">
        <v>0</v>
      </c>
      <c r="R199" s="225">
        <v>0</v>
      </c>
      <c r="S199" s="225">
        <f t="shared" si="40"/>
        <v>0</v>
      </c>
      <c r="T199" s="225" t="str" cm="1">
        <f t="array" ref="T199">+_xlfn.IFS($P199&lt;=10000000000,IF(S199&gt;-0.05,"Verde",IF(S199&lt;=-0.1,"Rojo","Amarillo")),$P199&gt;10000000000,IF(S199&gt;-0.03,"Verde",IF(S199&lt;=-0.07,"Rojo","Amarillo")))</f>
        <v>Verde</v>
      </c>
      <c r="U199" s="226"/>
      <c r="V199" s="226"/>
      <c r="W199" s="226"/>
      <c r="X199" s="226"/>
      <c r="Y199" s="272"/>
      <c r="Z199" s="225"/>
      <c r="AA199" s="225"/>
      <c r="AB199" s="273"/>
      <c r="AC199" s="272"/>
      <c r="AD199" s="227"/>
      <c r="AE199" s="221" t="s">
        <v>1315</v>
      </c>
      <c r="AF199" s="223" t="s">
        <v>1290</v>
      </c>
      <c r="AG199" s="223"/>
      <c r="AH199" s="223"/>
      <c r="AI199" s="221"/>
      <c r="AJ199" s="223"/>
      <c r="AK199" s="223"/>
      <c r="AL199" s="230"/>
      <c r="AM199" s="231"/>
      <c r="AN199" s="231"/>
      <c r="AO199" s="231"/>
      <c r="AP199" s="231"/>
      <c r="AQ199" s="231"/>
      <c r="AR199" s="231"/>
      <c r="AS199" s="231"/>
      <c r="AT199" s="231"/>
      <c r="AU199" s="231"/>
      <c r="AV199" s="231"/>
      <c r="AW199" s="232"/>
      <c r="AX199" s="232"/>
      <c r="AY199" s="232"/>
      <c r="AZ199" s="232"/>
      <c r="BA199" s="221"/>
      <c r="BB199" s="221"/>
      <c r="BC199" s="233"/>
      <c r="BF199" s="51"/>
    </row>
    <row r="200" spans="1:58" ht="13.5" customHeight="1">
      <c r="A200" s="220">
        <f t="shared" si="39"/>
        <v>199</v>
      </c>
      <c r="B200" s="221" t="s">
        <v>976</v>
      </c>
      <c r="C200" s="221" t="s">
        <v>25</v>
      </c>
      <c r="D200" s="221" t="s">
        <v>118</v>
      </c>
      <c r="E200" s="221" t="s">
        <v>596</v>
      </c>
      <c r="F200" s="221" t="s">
        <v>1063</v>
      </c>
      <c r="G200" s="222" t="s">
        <v>1343</v>
      </c>
      <c r="H200" s="221" t="s">
        <v>1283</v>
      </c>
      <c r="I200" s="221" t="s">
        <v>1344</v>
      </c>
      <c r="J200" s="221" t="s">
        <v>1345</v>
      </c>
      <c r="K200" s="221" t="s">
        <v>1346</v>
      </c>
      <c r="L200" s="221">
        <v>-74.787644110000002</v>
      </c>
      <c r="M200" s="221">
        <v>10.94754859</v>
      </c>
      <c r="N200" s="223" t="s">
        <v>1287</v>
      </c>
      <c r="O200" s="230" t="s">
        <v>1288</v>
      </c>
      <c r="P200" s="224">
        <v>1059500000</v>
      </c>
      <c r="Q200" s="225">
        <v>0</v>
      </c>
      <c r="R200" s="225">
        <v>0</v>
      </c>
      <c r="S200" s="225">
        <f t="shared" si="40"/>
        <v>0</v>
      </c>
      <c r="T200" s="225" t="str" cm="1">
        <f t="array" ref="T200">+_xlfn.IFS($P200&lt;=10000000000,IF(S200&gt;-0.05,"Verde",IF(S200&lt;=-0.1,"Rojo","Amarillo")),$P200&gt;10000000000,IF(S200&gt;-0.03,"Verde",IF(S200&lt;=-0.07,"Rojo","Amarillo")))</f>
        <v>Verde</v>
      </c>
      <c r="U200" s="226"/>
      <c r="V200" s="226"/>
      <c r="W200" s="226"/>
      <c r="X200" s="226"/>
      <c r="Y200" s="272"/>
      <c r="Z200" s="225"/>
      <c r="AA200" s="225"/>
      <c r="AB200" s="273"/>
      <c r="AC200" s="272"/>
      <c r="AD200" s="227"/>
      <c r="AE200" s="221" t="s">
        <v>1315</v>
      </c>
      <c r="AF200" s="223" t="s">
        <v>1290</v>
      </c>
      <c r="AG200" s="223"/>
      <c r="AH200" s="223"/>
      <c r="AI200" s="221"/>
      <c r="AJ200" s="223"/>
      <c r="AK200" s="223"/>
      <c r="AL200" s="230"/>
      <c r="AM200" s="231"/>
      <c r="AN200" s="231"/>
      <c r="AO200" s="231"/>
      <c r="AP200" s="231"/>
      <c r="AQ200" s="231"/>
      <c r="AR200" s="231"/>
      <c r="AS200" s="231"/>
      <c r="AT200" s="231"/>
      <c r="AU200" s="231"/>
      <c r="AV200" s="231"/>
      <c r="AW200" s="232"/>
      <c r="AX200" s="232"/>
      <c r="AY200" s="232"/>
      <c r="AZ200" s="232"/>
      <c r="BA200" s="221"/>
      <c r="BB200" s="221"/>
      <c r="BC200" s="233"/>
      <c r="BF200" s="51"/>
    </row>
    <row r="201" spans="1:58" ht="13.5" customHeight="1">
      <c r="A201" s="220">
        <f t="shared" si="39"/>
        <v>200</v>
      </c>
      <c r="B201" s="221" t="s">
        <v>976</v>
      </c>
      <c r="C201" s="221" t="s">
        <v>25</v>
      </c>
      <c r="D201" s="221" t="s">
        <v>118</v>
      </c>
      <c r="E201" s="221" t="s">
        <v>596</v>
      </c>
      <c r="F201" s="221" t="s">
        <v>1063</v>
      </c>
      <c r="G201" s="222" t="s">
        <v>1347</v>
      </c>
      <c r="H201" s="221" t="s">
        <v>1283</v>
      </c>
      <c r="I201" s="221" t="s">
        <v>1213</v>
      </c>
      <c r="J201" s="221" t="s">
        <v>1348</v>
      </c>
      <c r="K201" s="221" t="s">
        <v>1349</v>
      </c>
      <c r="L201" s="221">
        <v>-74.783479580000005</v>
      </c>
      <c r="M201" s="221">
        <v>10.96012034</v>
      </c>
      <c r="N201" s="223" t="s">
        <v>228</v>
      </c>
      <c r="O201" s="230" t="s">
        <v>229</v>
      </c>
      <c r="P201" s="224">
        <v>4097439244</v>
      </c>
      <c r="Q201" s="225">
        <v>0.32700000000000001</v>
      </c>
      <c r="R201" s="225">
        <v>0.2392</v>
      </c>
      <c r="S201" s="225">
        <f t="shared" si="40"/>
        <v>-8.7800000000000017E-2</v>
      </c>
      <c r="T201" s="225" t="str" cm="1">
        <f t="array" ref="T201">+_xlfn.IFS($P201&lt;=10000000000,IF(S201&gt;-0.05,"Verde",IF(S201&lt;=-0.1,"Rojo","Amarillo")),$P201&gt;10000000000,IF(S201&gt;-0.03,"Verde",IF(S201&lt;=-0.07,"Rojo","Amarillo")))</f>
        <v>Amarillo</v>
      </c>
      <c r="U201" s="226"/>
      <c r="V201" s="226"/>
      <c r="W201" s="226">
        <v>45792</v>
      </c>
      <c r="X201" s="226">
        <v>46341</v>
      </c>
      <c r="Y201" s="272"/>
      <c r="Z201" s="225"/>
      <c r="AA201" s="225"/>
      <c r="AB201" s="273"/>
      <c r="AC201" s="272"/>
      <c r="AD201" s="227"/>
      <c r="AE201" s="221" t="s">
        <v>1350</v>
      </c>
      <c r="AF201" s="223" t="s">
        <v>1351</v>
      </c>
      <c r="AG201" s="223"/>
      <c r="AH201" s="223"/>
      <c r="AI201" s="221"/>
      <c r="AJ201" s="223"/>
      <c r="AK201" s="223"/>
      <c r="AL201" s="230"/>
      <c r="AM201" s="231"/>
      <c r="AN201" s="231"/>
      <c r="AO201" s="231"/>
      <c r="AP201" s="231"/>
      <c r="AQ201" s="231"/>
      <c r="AR201" s="231"/>
      <c r="AS201" s="231"/>
      <c r="AT201" s="231"/>
      <c r="AU201" s="231"/>
      <c r="AV201" s="231"/>
      <c r="AW201" s="232"/>
      <c r="AX201" s="232"/>
      <c r="AY201" s="232"/>
      <c r="AZ201" s="232"/>
      <c r="BA201" s="221"/>
      <c r="BB201" s="221" t="s">
        <v>1352</v>
      </c>
      <c r="BC201" s="233"/>
      <c r="BF201" s="51"/>
    </row>
    <row r="202" spans="1:58" ht="13.5" customHeight="1">
      <c r="A202" s="220">
        <f t="shared" si="39"/>
        <v>201</v>
      </c>
      <c r="B202" s="221" t="s">
        <v>976</v>
      </c>
      <c r="C202" s="221" t="s">
        <v>25</v>
      </c>
      <c r="D202" s="221" t="s">
        <v>118</v>
      </c>
      <c r="E202" s="221" t="s">
        <v>596</v>
      </c>
      <c r="F202" s="221" t="s">
        <v>1063</v>
      </c>
      <c r="G202" s="222" t="s">
        <v>1353</v>
      </c>
      <c r="H202" s="221" t="s">
        <v>1311</v>
      </c>
      <c r="I202" s="221" t="s">
        <v>317</v>
      </c>
      <c r="J202" s="221" t="s">
        <v>1354</v>
      </c>
      <c r="K202" s="221" t="s">
        <v>1355</v>
      </c>
      <c r="L202" s="221">
        <v>-74.800831979999998</v>
      </c>
      <c r="M202" s="221">
        <v>10.924610810000001</v>
      </c>
      <c r="N202" s="223" t="s">
        <v>228</v>
      </c>
      <c r="O202" s="230"/>
      <c r="P202" s="224">
        <v>4440000000</v>
      </c>
      <c r="Q202" s="225">
        <v>0</v>
      </c>
      <c r="R202" s="225">
        <v>0</v>
      </c>
      <c r="S202" s="225">
        <f t="shared" si="40"/>
        <v>0</v>
      </c>
      <c r="T202" s="225" t="str" cm="1">
        <f t="array" ref="T202">+_xlfn.IFS($P202&lt;=10000000000,IF(S202&gt;-0.05,"Verde",IF(S202&lt;=-0.1,"Rojo","Amarillo")),$P202&gt;10000000000,IF(S202&gt;-0.03,"Verde",IF(S202&lt;=-0.07,"Rojo","Amarillo")))</f>
        <v>Verde</v>
      </c>
      <c r="U202" s="226"/>
      <c r="V202" s="226"/>
      <c r="W202" s="226">
        <v>45792</v>
      </c>
      <c r="X202" s="226">
        <v>46341</v>
      </c>
      <c r="Y202" s="272"/>
      <c r="Z202" s="225"/>
      <c r="AA202" s="225"/>
      <c r="AB202" s="273"/>
      <c r="AC202" s="272"/>
      <c r="AD202" s="227"/>
      <c r="AE202" s="221" t="s">
        <v>1350</v>
      </c>
      <c r="AF202" s="223" t="s">
        <v>1351</v>
      </c>
      <c r="AG202" s="223"/>
      <c r="AH202" s="223"/>
      <c r="AI202" s="221"/>
      <c r="AJ202" s="223"/>
      <c r="AK202" s="223"/>
      <c r="AL202" s="230"/>
      <c r="AM202" s="231"/>
      <c r="AN202" s="231"/>
      <c r="AO202" s="231"/>
      <c r="AP202" s="231"/>
      <c r="AQ202" s="231"/>
      <c r="AR202" s="231"/>
      <c r="AS202" s="231"/>
      <c r="AT202" s="231"/>
      <c r="AU202" s="231"/>
      <c r="AV202" s="231"/>
      <c r="AW202" s="232"/>
      <c r="AX202" s="232"/>
      <c r="AY202" s="232"/>
      <c r="AZ202" s="232"/>
      <c r="BA202" s="221"/>
      <c r="BB202" s="221"/>
      <c r="BC202" s="233"/>
      <c r="BF202" s="51"/>
    </row>
    <row r="203" spans="1:58" ht="13.5" customHeight="1">
      <c r="A203" s="220">
        <f t="shared" si="39"/>
        <v>202</v>
      </c>
      <c r="B203" s="221" t="s">
        <v>976</v>
      </c>
      <c r="C203" s="221" t="s">
        <v>25</v>
      </c>
      <c r="D203" s="221" t="s">
        <v>118</v>
      </c>
      <c r="E203" s="221" t="s">
        <v>596</v>
      </c>
      <c r="F203" s="221" t="s">
        <v>1063</v>
      </c>
      <c r="G203" s="222" t="s">
        <v>1356</v>
      </c>
      <c r="H203" s="221" t="s">
        <v>1357</v>
      </c>
      <c r="I203" s="221" t="s">
        <v>1358</v>
      </c>
      <c r="J203" s="221" t="s">
        <v>1359</v>
      </c>
      <c r="K203" s="221" t="s">
        <v>1360</v>
      </c>
      <c r="L203" s="221">
        <v>-74.86960947</v>
      </c>
      <c r="M203" s="221">
        <v>11.023210349999999</v>
      </c>
      <c r="N203" s="223" t="s">
        <v>228</v>
      </c>
      <c r="O203" s="230" t="s">
        <v>229</v>
      </c>
      <c r="P203" s="224">
        <v>1548300000</v>
      </c>
      <c r="Q203" s="225">
        <v>0.56479999999999997</v>
      </c>
      <c r="R203" s="225">
        <v>0.19309999999999999</v>
      </c>
      <c r="S203" s="225">
        <f t="shared" si="40"/>
        <v>-0.37169999999999997</v>
      </c>
      <c r="T203" s="225" t="str" cm="1">
        <f t="array" ref="T203">+_xlfn.IFS($P203&lt;=10000000000,IF(S203&gt;-0.05,"Verde",IF(S203&lt;=-0.1,"Rojo","Amarillo")),$P203&gt;10000000000,IF(S203&gt;-0.03,"Verde",IF(S203&lt;=-0.07,"Rojo","Amarillo")))</f>
        <v>Rojo</v>
      </c>
      <c r="U203" s="226"/>
      <c r="V203" s="226"/>
      <c r="W203" s="226">
        <v>45792</v>
      </c>
      <c r="X203" s="226">
        <v>46341</v>
      </c>
      <c r="Y203" s="272"/>
      <c r="Z203" s="225"/>
      <c r="AA203" s="225"/>
      <c r="AB203" s="273"/>
      <c r="AC203" s="272"/>
      <c r="AD203" s="227"/>
      <c r="AE203" s="221" t="s">
        <v>1350</v>
      </c>
      <c r="AF203" s="223" t="s">
        <v>1351</v>
      </c>
      <c r="AG203" s="223"/>
      <c r="AH203" s="223"/>
      <c r="AI203" s="221"/>
      <c r="AJ203" s="223"/>
      <c r="AK203" s="223"/>
      <c r="AL203" s="230"/>
      <c r="AM203" s="231"/>
      <c r="AN203" s="231"/>
      <c r="AO203" s="231"/>
      <c r="AP203" s="231"/>
      <c r="AQ203" s="231"/>
      <c r="AR203" s="231"/>
      <c r="AS203" s="231"/>
      <c r="AT203" s="231"/>
      <c r="AU203" s="231"/>
      <c r="AV203" s="231"/>
      <c r="AW203" s="232"/>
      <c r="AX203" s="232"/>
      <c r="AY203" s="232"/>
      <c r="AZ203" s="232"/>
      <c r="BA203" s="221"/>
      <c r="BB203" s="221" t="s">
        <v>1361</v>
      </c>
      <c r="BC203" s="233"/>
      <c r="BF203" s="51"/>
    </row>
    <row r="204" spans="1:58" ht="13.5" customHeight="1">
      <c r="A204" s="220">
        <f t="shared" si="39"/>
        <v>203</v>
      </c>
      <c r="B204" s="221" t="s">
        <v>976</v>
      </c>
      <c r="C204" s="221" t="s">
        <v>25</v>
      </c>
      <c r="D204" s="221" t="s">
        <v>118</v>
      </c>
      <c r="E204" s="221" t="s">
        <v>596</v>
      </c>
      <c r="F204" s="221" t="s">
        <v>1063</v>
      </c>
      <c r="G204" s="222" t="s">
        <v>1362</v>
      </c>
      <c r="H204" s="221" t="s">
        <v>1283</v>
      </c>
      <c r="I204" s="221" t="s">
        <v>317</v>
      </c>
      <c r="J204" s="221" t="s">
        <v>1363</v>
      </c>
      <c r="K204" s="221" t="s">
        <v>1364</v>
      </c>
      <c r="L204" s="221">
        <v>-74.796747600000003</v>
      </c>
      <c r="M204" s="221">
        <v>10.93104217</v>
      </c>
      <c r="N204" s="223" t="s">
        <v>228</v>
      </c>
      <c r="O204" s="230" t="s">
        <v>229</v>
      </c>
      <c r="P204" s="224">
        <v>828750000</v>
      </c>
      <c r="Q204" s="225">
        <v>1</v>
      </c>
      <c r="R204" s="225">
        <v>1</v>
      </c>
      <c r="S204" s="225">
        <f t="shared" si="40"/>
        <v>0</v>
      </c>
      <c r="T204" s="225" t="str" cm="1">
        <f t="array" ref="T204">+_xlfn.IFS($P204&lt;=10000000000,IF(S204&gt;-0.05,"Verde",IF(S204&lt;=-0.1,"Rojo","Amarillo")),$P204&gt;10000000000,IF(S204&gt;-0.03,"Verde",IF(S204&lt;=-0.07,"Rojo","Amarillo")))</f>
        <v>Verde</v>
      </c>
      <c r="U204" s="226"/>
      <c r="V204" s="226"/>
      <c r="W204" s="226">
        <v>45792</v>
      </c>
      <c r="X204" s="226">
        <v>46341</v>
      </c>
      <c r="Y204" s="272"/>
      <c r="Z204" s="225"/>
      <c r="AA204" s="225"/>
      <c r="AB204" s="273"/>
      <c r="AC204" s="272"/>
      <c r="AD204" s="227"/>
      <c r="AE204" s="221" t="s">
        <v>1350</v>
      </c>
      <c r="AF204" s="223" t="s">
        <v>1351</v>
      </c>
      <c r="AG204" s="223"/>
      <c r="AH204" s="223"/>
      <c r="AI204" s="221"/>
      <c r="AJ204" s="223"/>
      <c r="AK204" s="223"/>
      <c r="AL204" s="230"/>
      <c r="AM204" s="231"/>
      <c r="AN204" s="231"/>
      <c r="AO204" s="231"/>
      <c r="AP204" s="231"/>
      <c r="AQ204" s="231"/>
      <c r="AR204" s="231"/>
      <c r="AS204" s="231"/>
      <c r="AT204" s="231"/>
      <c r="AU204" s="231"/>
      <c r="AV204" s="231"/>
      <c r="AW204" s="232"/>
      <c r="AX204" s="232"/>
      <c r="AY204" s="232"/>
      <c r="AZ204" s="232"/>
      <c r="BA204" s="221"/>
      <c r="BB204" s="221" t="s">
        <v>1365</v>
      </c>
      <c r="BC204" s="233"/>
      <c r="BF204" s="51"/>
    </row>
    <row r="205" spans="1:58" ht="13.5" customHeight="1">
      <c r="A205" s="220">
        <f t="shared" si="39"/>
        <v>204</v>
      </c>
      <c r="B205" s="221" t="s">
        <v>976</v>
      </c>
      <c r="C205" s="221" t="s">
        <v>25</v>
      </c>
      <c r="D205" s="221" t="s">
        <v>118</v>
      </c>
      <c r="E205" s="221" t="s">
        <v>596</v>
      </c>
      <c r="F205" s="221" t="s">
        <v>1063</v>
      </c>
      <c r="G205" s="222" t="s">
        <v>1366</v>
      </c>
      <c r="H205" s="221" t="s">
        <v>1311</v>
      </c>
      <c r="I205" s="221" t="s">
        <v>1367</v>
      </c>
      <c r="J205" s="221" t="s">
        <v>1368</v>
      </c>
      <c r="K205" s="221" t="s">
        <v>1369</v>
      </c>
      <c r="L205" s="221">
        <v>-74.801980940000007</v>
      </c>
      <c r="M205" s="221">
        <v>10.95656316</v>
      </c>
      <c r="N205" s="223" t="s">
        <v>228</v>
      </c>
      <c r="O205" s="230"/>
      <c r="P205" s="224">
        <v>3929690168</v>
      </c>
      <c r="Q205" s="225">
        <v>0</v>
      </c>
      <c r="R205" s="225">
        <v>0</v>
      </c>
      <c r="S205" s="225">
        <f t="shared" si="40"/>
        <v>0</v>
      </c>
      <c r="T205" s="225" t="str" cm="1">
        <f t="array" ref="T205">+_xlfn.IFS($P205&lt;=10000000000,IF(S205&gt;-0.05,"Verde",IF(S205&lt;=-0.1,"Rojo","Amarillo")),$P205&gt;10000000000,IF(S205&gt;-0.03,"Verde",IF(S205&lt;=-0.07,"Rojo","Amarillo")))</f>
        <v>Verde</v>
      </c>
      <c r="U205" s="226"/>
      <c r="V205" s="226"/>
      <c r="W205" s="226">
        <v>45792</v>
      </c>
      <c r="X205" s="226">
        <v>46341</v>
      </c>
      <c r="Y205" s="272"/>
      <c r="Z205" s="225"/>
      <c r="AA205" s="225"/>
      <c r="AB205" s="273"/>
      <c r="AC205" s="272"/>
      <c r="AD205" s="227"/>
      <c r="AE205" s="221" t="s">
        <v>1350</v>
      </c>
      <c r="AF205" s="223" t="s">
        <v>1351</v>
      </c>
      <c r="AG205" s="223"/>
      <c r="AH205" s="223"/>
      <c r="AI205" s="221"/>
      <c r="AJ205" s="223"/>
      <c r="AK205" s="223"/>
      <c r="AL205" s="230"/>
      <c r="AM205" s="231"/>
      <c r="AN205" s="231"/>
      <c r="AO205" s="231"/>
      <c r="AP205" s="231"/>
      <c r="AQ205" s="231"/>
      <c r="AR205" s="231"/>
      <c r="AS205" s="231"/>
      <c r="AT205" s="231"/>
      <c r="AU205" s="231"/>
      <c r="AV205" s="231"/>
      <c r="AW205" s="232"/>
      <c r="AX205" s="232"/>
      <c r="AY205" s="232"/>
      <c r="AZ205" s="232"/>
      <c r="BA205" s="221"/>
      <c r="BB205" s="221"/>
      <c r="BC205" s="233"/>
      <c r="BF205" s="51"/>
    </row>
    <row r="206" spans="1:58" ht="13.5" customHeight="1">
      <c r="A206" s="220">
        <f t="shared" si="39"/>
        <v>205</v>
      </c>
      <c r="B206" s="221" t="s">
        <v>976</v>
      </c>
      <c r="C206" s="221" t="s">
        <v>25</v>
      </c>
      <c r="D206" s="221" t="s">
        <v>118</v>
      </c>
      <c r="E206" s="221" t="s">
        <v>596</v>
      </c>
      <c r="F206" s="221" t="s">
        <v>1063</v>
      </c>
      <c r="G206" s="222" t="s">
        <v>1370</v>
      </c>
      <c r="H206" s="221" t="s">
        <v>1296</v>
      </c>
      <c r="I206" s="221" t="s">
        <v>1208</v>
      </c>
      <c r="J206" s="221" t="s">
        <v>1371</v>
      </c>
      <c r="K206" s="221" t="s">
        <v>1372</v>
      </c>
      <c r="L206" s="221">
        <v>-74.894529860000006</v>
      </c>
      <c r="M206" s="221">
        <v>10.955699429999999</v>
      </c>
      <c r="N206" s="223" t="s">
        <v>228</v>
      </c>
      <c r="O206" s="230" t="s">
        <v>229</v>
      </c>
      <c r="P206" s="224">
        <v>3047836354</v>
      </c>
      <c r="Q206" s="225">
        <v>0.49440000000000001</v>
      </c>
      <c r="R206" s="225">
        <v>0.36559999999999998</v>
      </c>
      <c r="S206" s="225">
        <f t="shared" si="40"/>
        <v>-0.12880000000000003</v>
      </c>
      <c r="T206" s="225" t="str" cm="1">
        <f t="array" ref="T206">+_xlfn.IFS($P206&lt;=10000000000,IF(S206&gt;-0.05,"Verde",IF(S206&lt;=-0.1,"Rojo","Amarillo")),$P206&gt;10000000000,IF(S206&gt;-0.03,"Verde",IF(S206&lt;=-0.07,"Rojo","Amarillo")))</f>
        <v>Rojo</v>
      </c>
      <c r="U206" s="226"/>
      <c r="V206" s="226"/>
      <c r="W206" s="226">
        <v>45792</v>
      </c>
      <c r="X206" s="226">
        <v>46341</v>
      </c>
      <c r="Y206" s="272"/>
      <c r="Z206" s="225"/>
      <c r="AA206" s="225"/>
      <c r="AB206" s="273"/>
      <c r="AC206" s="272"/>
      <c r="AD206" s="227"/>
      <c r="AE206" s="221" t="s">
        <v>1350</v>
      </c>
      <c r="AF206" s="223" t="s">
        <v>1351</v>
      </c>
      <c r="AG206" s="223"/>
      <c r="AH206" s="223"/>
      <c r="AI206" s="221"/>
      <c r="AJ206" s="223"/>
      <c r="AK206" s="223"/>
      <c r="AL206" s="230"/>
      <c r="AM206" s="231"/>
      <c r="AN206" s="231"/>
      <c r="AO206" s="231"/>
      <c r="AP206" s="231"/>
      <c r="AQ206" s="231"/>
      <c r="AR206" s="231"/>
      <c r="AS206" s="231"/>
      <c r="AT206" s="231"/>
      <c r="AU206" s="231"/>
      <c r="AV206" s="231"/>
      <c r="AW206" s="232"/>
      <c r="AX206" s="232"/>
      <c r="AY206" s="232"/>
      <c r="AZ206" s="232"/>
      <c r="BA206" s="221"/>
      <c r="BB206" s="221" t="s">
        <v>1373</v>
      </c>
      <c r="BC206" s="233"/>
      <c r="BF206" s="51"/>
    </row>
    <row r="207" spans="1:58" ht="13.5" customHeight="1">
      <c r="A207" s="220">
        <f t="shared" si="39"/>
        <v>206</v>
      </c>
      <c r="B207" s="221" t="s">
        <v>976</v>
      </c>
      <c r="C207" s="221" t="s">
        <v>25</v>
      </c>
      <c r="D207" s="221" t="s">
        <v>118</v>
      </c>
      <c r="E207" s="221" t="s">
        <v>596</v>
      </c>
      <c r="F207" s="221" t="s">
        <v>1063</v>
      </c>
      <c r="G207" s="222" t="s">
        <v>1374</v>
      </c>
      <c r="H207" s="221" t="s">
        <v>1311</v>
      </c>
      <c r="I207" s="221" t="s">
        <v>317</v>
      </c>
      <c r="J207" s="221" t="s">
        <v>1375</v>
      </c>
      <c r="K207" s="221" t="s">
        <v>1376</v>
      </c>
      <c r="L207" s="221">
        <v>-74.803003000000004</v>
      </c>
      <c r="M207" s="221">
        <v>10.931181</v>
      </c>
      <c r="N207" s="223" t="s">
        <v>228</v>
      </c>
      <c r="O207" s="230"/>
      <c r="P207" s="224">
        <v>1802840108</v>
      </c>
      <c r="Q207" s="225">
        <v>7.9100000000000004E-2</v>
      </c>
      <c r="R207" s="225">
        <v>7.9100000000000004E-2</v>
      </c>
      <c r="S207" s="225">
        <f t="shared" si="40"/>
        <v>0</v>
      </c>
      <c r="T207" s="225" t="str" cm="1">
        <f t="array" ref="T207">+_xlfn.IFS($P207&lt;=10000000000,IF(S207&gt;-0.05,"Verde",IF(S207&lt;=-0.1,"Rojo","Amarillo")),$P207&gt;10000000000,IF(S207&gt;-0.03,"Verde",IF(S207&lt;=-0.07,"Rojo","Amarillo")))</f>
        <v>Verde</v>
      </c>
      <c r="U207" s="226"/>
      <c r="V207" s="226"/>
      <c r="W207" s="226">
        <v>45792</v>
      </c>
      <c r="X207" s="226">
        <v>46341</v>
      </c>
      <c r="Y207" s="272"/>
      <c r="Z207" s="225"/>
      <c r="AA207" s="225"/>
      <c r="AB207" s="273"/>
      <c r="AC207" s="272"/>
      <c r="AD207" s="227"/>
      <c r="AE207" s="221" t="s">
        <v>1350</v>
      </c>
      <c r="AF207" s="223" t="s">
        <v>1351</v>
      </c>
      <c r="AG207" s="223"/>
      <c r="AH207" s="223"/>
      <c r="AI207" s="221"/>
      <c r="AJ207" s="223"/>
      <c r="AK207" s="223"/>
      <c r="AL207" s="230"/>
      <c r="AM207" s="231"/>
      <c r="AN207" s="231"/>
      <c r="AO207" s="231"/>
      <c r="AP207" s="231"/>
      <c r="AQ207" s="231"/>
      <c r="AR207" s="231"/>
      <c r="AS207" s="231"/>
      <c r="AT207" s="231"/>
      <c r="AU207" s="231"/>
      <c r="AV207" s="231"/>
      <c r="AW207" s="232"/>
      <c r="AX207" s="232"/>
      <c r="AY207" s="232"/>
      <c r="AZ207" s="232"/>
      <c r="BA207" s="221"/>
      <c r="BB207" s="221" t="s">
        <v>1377</v>
      </c>
      <c r="BC207" s="233"/>
      <c r="BF207" s="51"/>
    </row>
    <row r="208" spans="1:58" ht="13.5" customHeight="1">
      <c r="A208" s="220">
        <f t="shared" si="39"/>
        <v>207</v>
      </c>
      <c r="B208" s="221" t="s">
        <v>976</v>
      </c>
      <c r="C208" s="221" t="s">
        <v>25</v>
      </c>
      <c r="D208" s="221" t="s">
        <v>118</v>
      </c>
      <c r="E208" s="221" t="s">
        <v>596</v>
      </c>
      <c r="F208" s="221" t="s">
        <v>1063</v>
      </c>
      <c r="G208" s="222" t="s">
        <v>1378</v>
      </c>
      <c r="H208" s="221" t="s">
        <v>1379</v>
      </c>
      <c r="I208" s="221" t="s">
        <v>1380</v>
      </c>
      <c r="J208" s="221" t="s">
        <v>1381</v>
      </c>
      <c r="K208" s="221" t="s">
        <v>1382</v>
      </c>
      <c r="L208" s="221">
        <v>-74.832169339999993</v>
      </c>
      <c r="M208" s="221">
        <v>10.98726525</v>
      </c>
      <c r="N208" s="223" t="s">
        <v>228</v>
      </c>
      <c r="O208" s="230"/>
      <c r="P208" s="224">
        <v>701748293</v>
      </c>
      <c r="Q208" s="225">
        <v>0</v>
      </c>
      <c r="R208" s="225">
        <v>0</v>
      </c>
      <c r="S208" s="225">
        <f t="shared" si="40"/>
        <v>0</v>
      </c>
      <c r="T208" s="225" t="str" cm="1">
        <f t="array" ref="T208">+_xlfn.IFS($P208&lt;=10000000000,IF(S208&gt;-0.05,"Verde",IF(S208&lt;=-0.1,"Rojo","Amarillo")),$P208&gt;10000000000,IF(S208&gt;-0.03,"Verde",IF(S208&lt;=-0.07,"Rojo","Amarillo")))</f>
        <v>Verde</v>
      </c>
      <c r="U208" s="226"/>
      <c r="V208" s="226"/>
      <c r="W208" s="226">
        <v>45792</v>
      </c>
      <c r="X208" s="226">
        <v>46341</v>
      </c>
      <c r="Y208" s="272"/>
      <c r="Z208" s="225"/>
      <c r="AA208" s="225"/>
      <c r="AB208" s="273"/>
      <c r="AC208" s="272"/>
      <c r="AD208" s="227"/>
      <c r="AE208" s="221" t="s">
        <v>1350</v>
      </c>
      <c r="AF208" s="223" t="s">
        <v>1351</v>
      </c>
      <c r="AG208" s="223"/>
      <c r="AH208" s="223"/>
      <c r="AI208" s="221"/>
      <c r="AJ208" s="223"/>
      <c r="AK208" s="223"/>
      <c r="AL208" s="230"/>
      <c r="AM208" s="231"/>
      <c r="AN208" s="231"/>
      <c r="AO208" s="231"/>
      <c r="AP208" s="231"/>
      <c r="AQ208" s="231"/>
      <c r="AR208" s="231"/>
      <c r="AS208" s="231"/>
      <c r="AT208" s="231"/>
      <c r="AU208" s="231"/>
      <c r="AV208" s="231"/>
      <c r="AW208" s="232"/>
      <c r="AX208" s="232"/>
      <c r="AY208" s="232"/>
      <c r="AZ208" s="232"/>
      <c r="BA208" s="221"/>
      <c r="BB208" s="221"/>
      <c r="BC208" s="233"/>
      <c r="BF208" s="51"/>
    </row>
    <row r="209" spans="1:58" ht="13.5" customHeight="1">
      <c r="A209" s="220">
        <f t="shared" si="39"/>
        <v>208</v>
      </c>
      <c r="B209" s="221" t="s">
        <v>976</v>
      </c>
      <c r="C209" s="221" t="s">
        <v>25</v>
      </c>
      <c r="D209" s="221" t="s">
        <v>118</v>
      </c>
      <c r="E209" s="221" t="s">
        <v>596</v>
      </c>
      <c r="F209" s="221" t="s">
        <v>1063</v>
      </c>
      <c r="G209" s="222" t="s">
        <v>1383</v>
      </c>
      <c r="H209" s="221" t="s">
        <v>1296</v>
      </c>
      <c r="I209" s="221" t="s">
        <v>1149</v>
      </c>
      <c r="J209" s="221" t="s">
        <v>1384</v>
      </c>
      <c r="K209" s="221" t="s">
        <v>1385</v>
      </c>
      <c r="L209" s="221">
        <v>-74.857380000000006</v>
      </c>
      <c r="M209" s="221">
        <v>10.960361000000001</v>
      </c>
      <c r="N209" s="223" t="s">
        <v>228</v>
      </c>
      <c r="O209" s="230"/>
      <c r="P209" s="224">
        <v>846726973</v>
      </c>
      <c r="Q209" s="225">
        <v>0</v>
      </c>
      <c r="R209" s="225">
        <v>0</v>
      </c>
      <c r="S209" s="225">
        <f t="shared" si="40"/>
        <v>0</v>
      </c>
      <c r="T209" s="225" t="str" cm="1">
        <f t="array" ref="T209">+_xlfn.IFS($P209&lt;=10000000000,IF(S209&gt;-0.05,"Verde",IF(S209&lt;=-0.1,"Rojo","Amarillo")),$P209&gt;10000000000,IF(S209&gt;-0.03,"Verde",IF(S209&lt;=-0.07,"Rojo","Amarillo")))</f>
        <v>Verde</v>
      </c>
      <c r="U209" s="226"/>
      <c r="V209" s="226"/>
      <c r="W209" s="226">
        <v>45792</v>
      </c>
      <c r="X209" s="226">
        <v>46341</v>
      </c>
      <c r="Y209" s="272"/>
      <c r="Z209" s="225"/>
      <c r="AA209" s="225"/>
      <c r="AB209" s="273"/>
      <c r="AC209" s="272"/>
      <c r="AD209" s="227"/>
      <c r="AE209" s="221" t="s">
        <v>1350</v>
      </c>
      <c r="AF209" s="223" t="s">
        <v>1351</v>
      </c>
      <c r="AG209" s="223"/>
      <c r="AH209" s="223"/>
      <c r="AI209" s="221"/>
      <c r="AJ209" s="223"/>
      <c r="AK209" s="223"/>
      <c r="AL209" s="230"/>
      <c r="AM209" s="231"/>
      <c r="AN209" s="231"/>
      <c r="AO209" s="231"/>
      <c r="AP209" s="231"/>
      <c r="AQ209" s="231"/>
      <c r="AR209" s="231"/>
      <c r="AS209" s="231"/>
      <c r="AT209" s="231"/>
      <c r="AU209" s="231"/>
      <c r="AV209" s="231"/>
      <c r="AW209" s="232"/>
      <c r="AX209" s="232"/>
      <c r="AY209" s="232"/>
      <c r="AZ209" s="232"/>
      <c r="BA209" s="221"/>
      <c r="BB209" s="221"/>
      <c r="BC209" s="233"/>
      <c r="BF209" s="51"/>
    </row>
    <row r="210" spans="1:58" ht="13.5" customHeight="1">
      <c r="A210" s="220">
        <f t="shared" si="39"/>
        <v>209</v>
      </c>
      <c r="B210" s="221" t="s">
        <v>976</v>
      </c>
      <c r="C210" s="221" t="s">
        <v>25</v>
      </c>
      <c r="D210" s="221" t="s">
        <v>118</v>
      </c>
      <c r="E210" s="221" t="s">
        <v>596</v>
      </c>
      <c r="F210" s="221" t="s">
        <v>1063</v>
      </c>
      <c r="G210" s="222" t="s">
        <v>1386</v>
      </c>
      <c r="H210" s="221" t="s">
        <v>1296</v>
      </c>
      <c r="I210" s="221" t="s">
        <v>1172</v>
      </c>
      <c r="J210" s="221" t="s">
        <v>1173</v>
      </c>
      <c r="K210" s="221" t="s">
        <v>1387</v>
      </c>
      <c r="L210" s="221">
        <v>-74.832410240000002</v>
      </c>
      <c r="M210" s="221">
        <v>10.950625260000001</v>
      </c>
      <c r="N210" s="223" t="s">
        <v>228</v>
      </c>
      <c r="O210" s="230"/>
      <c r="P210" s="224">
        <v>786713929</v>
      </c>
      <c r="Q210" s="225">
        <v>0</v>
      </c>
      <c r="R210" s="225">
        <v>0</v>
      </c>
      <c r="S210" s="225">
        <f t="shared" si="40"/>
        <v>0</v>
      </c>
      <c r="T210" s="225" t="str" cm="1">
        <f t="array" ref="T210">+_xlfn.IFS($P210&lt;=10000000000,IF(S210&gt;-0.05,"Verde",IF(S210&lt;=-0.1,"Rojo","Amarillo")),$P210&gt;10000000000,IF(S210&gt;-0.03,"Verde",IF(S210&lt;=-0.07,"Rojo","Amarillo")))</f>
        <v>Verde</v>
      </c>
      <c r="U210" s="226"/>
      <c r="V210" s="226"/>
      <c r="W210" s="226">
        <v>45792</v>
      </c>
      <c r="X210" s="226">
        <v>46341</v>
      </c>
      <c r="Y210" s="272"/>
      <c r="Z210" s="225"/>
      <c r="AA210" s="225"/>
      <c r="AB210" s="273"/>
      <c r="AC210" s="272"/>
      <c r="AD210" s="227"/>
      <c r="AE210" s="221" t="s">
        <v>1350</v>
      </c>
      <c r="AF210" s="223" t="s">
        <v>1351</v>
      </c>
      <c r="AG210" s="223"/>
      <c r="AH210" s="223"/>
      <c r="AI210" s="221"/>
      <c r="AJ210" s="223"/>
      <c r="AK210" s="223"/>
      <c r="AL210" s="230"/>
      <c r="AM210" s="231"/>
      <c r="AN210" s="231"/>
      <c r="AO210" s="231"/>
      <c r="AP210" s="231"/>
      <c r="AQ210" s="231"/>
      <c r="AR210" s="231"/>
      <c r="AS210" s="231"/>
      <c r="AT210" s="231"/>
      <c r="AU210" s="231"/>
      <c r="AV210" s="231"/>
      <c r="AW210" s="232"/>
      <c r="AX210" s="232"/>
      <c r="AY210" s="232"/>
      <c r="AZ210" s="232"/>
      <c r="BA210" s="221"/>
      <c r="BB210" s="221"/>
      <c r="BC210" s="233"/>
      <c r="BF210" s="51"/>
    </row>
    <row r="211" spans="1:58" ht="13.5" customHeight="1">
      <c r="A211" s="220">
        <f t="shared" si="39"/>
        <v>210</v>
      </c>
      <c r="B211" s="221" t="s">
        <v>976</v>
      </c>
      <c r="C211" s="221" t="s">
        <v>25</v>
      </c>
      <c r="D211" s="221" t="s">
        <v>118</v>
      </c>
      <c r="E211" s="221" t="s">
        <v>596</v>
      </c>
      <c r="F211" s="221" t="s">
        <v>1063</v>
      </c>
      <c r="G211" s="222" t="s">
        <v>1388</v>
      </c>
      <c r="H211" s="221" t="s">
        <v>1296</v>
      </c>
      <c r="I211" s="221" t="s">
        <v>1301</v>
      </c>
      <c r="J211" s="221" t="s">
        <v>1389</v>
      </c>
      <c r="K211" s="221" t="s">
        <v>1390</v>
      </c>
      <c r="L211" s="221">
        <v>-74.821917999999997</v>
      </c>
      <c r="M211" s="221">
        <v>10.969025999999999</v>
      </c>
      <c r="N211" s="223" t="s">
        <v>228</v>
      </c>
      <c r="O211" s="230"/>
      <c r="P211" s="224">
        <v>963075575</v>
      </c>
      <c r="Q211" s="225">
        <v>0.01</v>
      </c>
      <c r="R211" s="225">
        <v>0.01</v>
      </c>
      <c r="S211" s="225">
        <f t="shared" si="40"/>
        <v>0</v>
      </c>
      <c r="T211" s="225" t="str" cm="1">
        <f t="array" ref="T211">+_xlfn.IFS($P211&lt;=10000000000,IF(S211&gt;-0.05,"Verde",IF(S211&lt;=-0.1,"Rojo","Amarillo")),$P211&gt;10000000000,IF(S211&gt;-0.03,"Verde",IF(S211&lt;=-0.07,"Rojo","Amarillo")))</f>
        <v>Verde</v>
      </c>
      <c r="U211" s="226"/>
      <c r="V211" s="226"/>
      <c r="W211" s="226">
        <v>45792</v>
      </c>
      <c r="X211" s="226">
        <v>46341</v>
      </c>
      <c r="Y211" s="272"/>
      <c r="Z211" s="225"/>
      <c r="AA211" s="225"/>
      <c r="AB211" s="273"/>
      <c r="AC211" s="272"/>
      <c r="AD211" s="227"/>
      <c r="AE211" s="221" t="s">
        <v>1350</v>
      </c>
      <c r="AF211" s="223" t="s">
        <v>1351</v>
      </c>
      <c r="AG211" s="223"/>
      <c r="AH211" s="223"/>
      <c r="AI211" s="221"/>
      <c r="AJ211" s="223"/>
      <c r="AK211" s="223"/>
      <c r="AL211" s="230"/>
      <c r="AM211" s="231"/>
      <c r="AN211" s="231"/>
      <c r="AO211" s="231"/>
      <c r="AP211" s="231"/>
      <c r="AQ211" s="231"/>
      <c r="AR211" s="231"/>
      <c r="AS211" s="231"/>
      <c r="AT211" s="231"/>
      <c r="AU211" s="231"/>
      <c r="AV211" s="231"/>
      <c r="AW211" s="232"/>
      <c r="AX211" s="232"/>
      <c r="AY211" s="232"/>
      <c r="AZ211" s="232"/>
      <c r="BA211" s="221"/>
      <c r="BB211" s="221" t="s">
        <v>1391</v>
      </c>
      <c r="BC211" s="233"/>
      <c r="BF211" s="51"/>
    </row>
    <row r="212" spans="1:58" ht="13.5" customHeight="1">
      <c r="A212" s="220">
        <f t="shared" si="39"/>
        <v>211</v>
      </c>
      <c r="B212" s="221" t="s">
        <v>976</v>
      </c>
      <c r="C212" s="221" t="s">
        <v>25</v>
      </c>
      <c r="D212" s="221" t="s">
        <v>118</v>
      </c>
      <c r="E212" s="221" t="s">
        <v>596</v>
      </c>
      <c r="F212" s="221" t="s">
        <v>1063</v>
      </c>
      <c r="G212" s="222" t="s">
        <v>1392</v>
      </c>
      <c r="H212" s="221" t="s">
        <v>1357</v>
      </c>
      <c r="I212" s="221" t="s">
        <v>1393</v>
      </c>
      <c r="J212" s="221" t="s">
        <v>1394</v>
      </c>
      <c r="K212" s="221" t="s">
        <v>1395</v>
      </c>
      <c r="L212" s="221">
        <v>-74.827002570000005</v>
      </c>
      <c r="M212" s="221">
        <v>11.0412195</v>
      </c>
      <c r="N212" s="223" t="s">
        <v>228</v>
      </c>
      <c r="O212" s="230"/>
      <c r="P212" s="224">
        <v>443017664.19999999</v>
      </c>
      <c r="Q212" s="225">
        <v>0</v>
      </c>
      <c r="R212" s="225">
        <v>0</v>
      </c>
      <c r="S212" s="225">
        <f t="shared" si="40"/>
        <v>0</v>
      </c>
      <c r="T212" s="225" t="str" cm="1">
        <f t="array" ref="T212">+_xlfn.IFS($P212&lt;=10000000000,IF(S212&gt;-0.05,"Verde",IF(S212&lt;=-0.1,"Rojo","Amarillo")),$P212&gt;10000000000,IF(S212&gt;-0.03,"Verde",IF(S212&lt;=-0.07,"Rojo","Amarillo")))</f>
        <v>Verde</v>
      </c>
      <c r="U212" s="226"/>
      <c r="V212" s="226"/>
      <c r="W212" s="226">
        <v>45792</v>
      </c>
      <c r="X212" s="226">
        <v>46341</v>
      </c>
      <c r="Y212" s="272"/>
      <c r="Z212" s="225"/>
      <c r="AA212" s="225"/>
      <c r="AB212" s="273"/>
      <c r="AC212" s="272"/>
      <c r="AD212" s="227"/>
      <c r="AE212" s="221" t="s">
        <v>1350</v>
      </c>
      <c r="AF212" s="223" t="s">
        <v>1351</v>
      </c>
      <c r="AG212" s="223"/>
      <c r="AH212" s="223"/>
      <c r="AI212" s="221"/>
      <c r="AJ212" s="223"/>
      <c r="AK212" s="223"/>
      <c r="AL212" s="230"/>
      <c r="AM212" s="231"/>
      <c r="AN212" s="231"/>
      <c r="AO212" s="231"/>
      <c r="AP212" s="231"/>
      <c r="AQ212" s="231"/>
      <c r="AR212" s="231"/>
      <c r="AS212" s="231"/>
      <c r="AT212" s="231"/>
      <c r="AU212" s="231"/>
      <c r="AV212" s="231"/>
      <c r="AW212" s="232"/>
      <c r="AX212" s="232"/>
      <c r="AY212" s="232"/>
      <c r="AZ212" s="232"/>
      <c r="BA212" s="221"/>
      <c r="BB212" s="221"/>
      <c r="BC212" s="233"/>
      <c r="BF212" s="51"/>
    </row>
    <row r="213" spans="1:58" ht="13.5" customHeight="1">
      <c r="A213" s="220">
        <f t="shared" si="39"/>
        <v>212</v>
      </c>
      <c r="B213" s="221" t="s">
        <v>976</v>
      </c>
      <c r="C213" s="221" t="s">
        <v>25</v>
      </c>
      <c r="D213" s="221" t="s">
        <v>118</v>
      </c>
      <c r="E213" s="221" t="s">
        <v>596</v>
      </c>
      <c r="F213" s="221" t="s">
        <v>1063</v>
      </c>
      <c r="G213" s="222" t="s">
        <v>1396</v>
      </c>
      <c r="H213" s="221" t="s">
        <v>1357</v>
      </c>
      <c r="I213" s="221" t="s">
        <v>1358</v>
      </c>
      <c r="J213" s="221" t="s">
        <v>1397</v>
      </c>
      <c r="K213" s="221" t="s">
        <v>1398</v>
      </c>
      <c r="L213" s="221">
        <v>-74.865667999999999</v>
      </c>
      <c r="M213" s="221">
        <v>11.032723000000001</v>
      </c>
      <c r="N213" s="223" t="s">
        <v>1287</v>
      </c>
      <c r="O213" s="230"/>
      <c r="P213" s="224">
        <v>935887108</v>
      </c>
      <c r="Q213" s="225">
        <v>0</v>
      </c>
      <c r="R213" s="225">
        <v>0</v>
      </c>
      <c r="S213" s="225">
        <f t="shared" si="40"/>
        <v>0</v>
      </c>
      <c r="T213" s="225" t="str" cm="1">
        <f t="array" ref="T213">+_xlfn.IFS($P213&lt;=10000000000,IF(S213&gt;-0.05,"Verde",IF(S213&lt;=-0.1,"Rojo","Amarillo")),$P213&gt;10000000000,IF(S213&gt;-0.03,"Verde",IF(S213&lt;=-0.07,"Rojo","Amarillo")))</f>
        <v>Verde</v>
      </c>
      <c r="U213" s="226"/>
      <c r="V213" s="226"/>
      <c r="W213" s="226">
        <v>45792</v>
      </c>
      <c r="X213" s="226">
        <v>46341</v>
      </c>
      <c r="Y213" s="272"/>
      <c r="Z213" s="225"/>
      <c r="AA213" s="225"/>
      <c r="AB213" s="273"/>
      <c r="AC213" s="272"/>
      <c r="AD213" s="227"/>
      <c r="AE213" s="221" t="s">
        <v>1350</v>
      </c>
      <c r="AF213" s="223" t="s">
        <v>1351</v>
      </c>
      <c r="AG213" s="223"/>
      <c r="AH213" s="223"/>
      <c r="AI213" s="221"/>
      <c r="AJ213" s="223"/>
      <c r="AK213" s="223"/>
      <c r="AL213" s="230"/>
      <c r="AM213" s="231"/>
      <c r="AN213" s="231"/>
      <c r="AO213" s="231"/>
      <c r="AP213" s="231"/>
      <c r="AQ213" s="231"/>
      <c r="AR213" s="231"/>
      <c r="AS213" s="231"/>
      <c r="AT213" s="231"/>
      <c r="AU213" s="231"/>
      <c r="AV213" s="231"/>
      <c r="AW213" s="232"/>
      <c r="AX213" s="232"/>
      <c r="AY213" s="232"/>
      <c r="AZ213" s="232"/>
      <c r="BA213" s="221"/>
      <c r="BB213" s="221"/>
      <c r="BC213" s="233"/>
      <c r="BF213" s="51"/>
    </row>
    <row r="214" spans="1:58" ht="13.5" customHeight="1">
      <c r="A214" s="220">
        <f t="shared" si="39"/>
        <v>213</v>
      </c>
      <c r="B214" s="221" t="s">
        <v>976</v>
      </c>
      <c r="C214" s="221" t="s">
        <v>25</v>
      </c>
      <c r="D214" s="221" t="s">
        <v>118</v>
      </c>
      <c r="E214" s="221" t="s">
        <v>596</v>
      </c>
      <c r="F214" s="221" t="s">
        <v>1063</v>
      </c>
      <c r="G214" s="222" t="s">
        <v>1399</v>
      </c>
      <c r="H214" s="221" t="s">
        <v>1311</v>
      </c>
      <c r="I214" s="221" t="s">
        <v>369</v>
      </c>
      <c r="J214" s="221" t="s">
        <v>1400</v>
      </c>
      <c r="K214" s="221" t="s">
        <v>1401</v>
      </c>
      <c r="L214" s="221">
        <v>-74.820177999999999</v>
      </c>
      <c r="M214" s="221">
        <v>10.932888999999999</v>
      </c>
      <c r="N214" s="223" t="s">
        <v>228</v>
      </c>
      <c r="O214" s="230"/>
      <c r="P214" s="224">
        <v>816533052</v>
      </c>
      <c r="Q214" s="225">
        <v>0</v>
      </c>
      <c r="R214" s="225">
        <v>0</v>
      </c>
      <c r="S214" s="225">
        <f t="shared" si="40"/>
        <v>0</v>
      </c>
      <c r="T214" s="225" t="str" cm="1">
        <f t="array" ref="T214">+_xlfn.IFS($P214&lt;=10000000000,IF(S214&gt;-0.05,"Verde",IF(S214&lt;=-0.1,"Rojo","Amarillo")),$P214&gt;10000000000,IF(S214&gt;-0.03,"Verde",IF(S214&lt;=-0.07,"Rojo","Amarillo")))</f>
        <v>Verde</v>
      </c>
      <c r="U214" s="226"/>
      <c r="V214" s="226"/>
      <c r="W214" s="226">
        <v>45792</v>
      </c>
      <c r="X214" s="226">
        <v>46341</v>
      </c>
      <c r="Y214" s="272"/>
      <c r="Z214" s="225"/>
      <c r="AA214" s="225"/>
      <c r="AB214" s="273"/>
      <c r="AC214" s="272"/>
      <c r="AD214" s="227"/>
      <c r="AE214" s="221" t="s">
        <v>1350</v>
      </c>
      <c r="AF214" s="223" t="s">
        <v>1351</v>
      </c>
      <c r="AG214" s="223"/>
      <c r="AH214" s="223"/>
      <c r="AI214" s="221"/>
      <c r="AJ214" s="223"/>
      <c r="AK214" s="223"/>
      <c r="AL214" s="230"/>
      <c r="AM214" s="231"/>
      <c r="AN214" s="231"/>
      <c r="AO214" s="231"/>
      <c r="AP214" s="231"/>
      <c r="AQ214" s="231"/>
      <c r="AR214" s="231"/>
      <c r="AS214" s="231"/>
      <c r="AT214" s="231"/>
      <c r="AU214" s="231"/>
      <c r="AV214" s="231"/>
      <c r="AW214" s="232"/>
      <c r="AX214" s="232"/>
      <c r="AY214" s="232"/>
      <c r="AZ214" s="232"/>
      <c r="BA214" s="221"/>
      <c r="BB214" s="221"/>
      <c r="BC214" s="233"/>
      <c r="BF214" s="51"/>
    </row>
    <row r="215" spans="1:58" ht="13.5" customHeight="1">
      <c r="A215" s="220">
        <f t="shared" si="39"/>
        <v>214</v>
      </c>
      <c r="B215" s="221" t="s">
        <v>976</v>
      </c>
      <c r="C215" s="221" t="s">
        <v>25</v>
      </c>
      <c r="D215" s="221" t="s">
        <v>118</v>
      </c>
      <c r="E215" s="221" t="s">
        <v>596</v>
      </c>
      <c r="F215" s="221" t="s">
        <v>1063</v>
      </c>
      <c r="G215" s="222" t="s">
        <v>1402</v>
      </c>
      <c r="H215" s="221" t="s">
        <v>1296</v>
      </c>
      <c r="I215" s="221" t="s">
        <v>1172</v>
      </c>
      <c r="J215" s="221" t="s">
        <v>1403</v>
      </c>
      <c r="K215" s="221" t="s">
        <v>1404</v>
      </c>
      <c r="L215" s="221">
        <v>-74.828057119999997</v>
      </c>
      <c r="M215" s="221">
        <v>10.94478829</v>
      </c>
      <c r="N215" s="223" t="s">
        <v>228</v>
      </c>
      <c r="O215" s="230"/>
      <c r="P215" s="224">
        <v>330248740</v>
      </c>
      <c r="Q215" s="225">
        <v>0</v>
      </c>
      <c r="R215" s="225">
        <v>0</v>
      </c>
      <c r="S215" s="225">
        <f t="shared" si="40"/>
        <v>0</v>
      </c>
      <c r="T215" s="225" t="str" cm="1">
        <f t="array" ref="T215">+_xlfn.IFS($P215&lt;=10000000000,IF(S215&gt;-0.05,"Verde",IF(S215&lt;=-0.1,"Rojo","Amarillo")),$P215&gt;10000000000,IF(S215&gt;-0.03,"Verde",IF(S215&lt;=-0.07,"Rojo","Amarillo")))</f>
        <v>Verde</v>
      </c>
      <c r="U215" s="226"/>
      <c r="V215" s="226"/>
      <c r="W215" s="226">
        <v>45792</v>
      </c>
      <c r="X215" s="226">
        <v>46341</v>
      </c>
      <c r="Y215" s="272"/>
      <c r="Z215" s="225"/>
      <c r="AA215" s="225"/>
      <c r="AB215" s="273"/>
      <c r="AC215" s="272"/>
      <c r="AD215" s="227"/>
      <c r="AE215" s="221" t="s">
        <v>1350</v>
      </c>
      <c r="AF215" s="223" t="s">
        <v>1351</v>
      </c>
      <c r="AG215" s="223"/>
      <c r="AH215" s="223"/>
      <c r="AI215" s="221"/>
      <c r="AJ215" s="223"/>
      <c r="AK215" s="223"/>
      <c r="AL215" s="230"/>
      <c r="AM215" s="231"/>
      <c r="AN215" s="231"/>
      <c r="AO215" s="231"/>
      <c r="AP215" s="231"/>
      <c r="AQ215" s="231"/>
      <c r="AR215" s="231"/>
      <c r="AS215" s="231"/>
      <c r="AT215" s="231"/>
      <c r="AU215" s="231"/>
      <c r="AV215" s="231"/>
      <c r="AW215" s="232"/>
      <c r="AX215" s="232"/>
      <c r="AY215" s="232"/>
      <c r="AZ215" s="232"/>
      <c r="BA215" s="221"/>
      <c r="BB215" s="221"/>
      <c r="BC215" s="233"/>
      <c r="BF215" s="51"/>
    </row>
    <row r="216" spans="1:58" ht="13.5" customHeight="1">
      <c r="A216" s="220">
        <f t="shared" si="39"/>
        <v>215</v>
      </c>
      <c r="B216" s="221" t="s">
        <v>976</v>
      </c>
      <c r="C216" s="221" t="s">
        <v>25</v>
      </c>
      <c r="D216" s="221" t="s">
        <v>118</v>
      </c>
      <c r="E216" s="221" t="s">
        <v>596</v>
      </c>
      <c r="F216" s="221" t="s">
        <v>1063</v>
      </c>
      <c r="G216" s="222" t="s">
        <v>1405</v>
      </c>
      <c r="H216" s="221" t="s">
        <v>1379</v>
      </c>
      <c r="I216" s="221" t="s">
        <v>1406</v>
      </c>
      <c r="J216" s="221" t="s">
        <v>1407</v>
      </c>
      <c r="K216" s="221" t="s">
        <v>1408</v>
      </c>
      <c r="L216" s="221">
        <v>-74.834841999999995</v>
      </c>
      <c r="M216" s="221">
        <v>10.998260999999999</v>
      </c>
      <c r="N216" s="223" t="s">
        <v>228</v>
      </c>
      <c r="O216" s="230" t="s">
        <v>229</v>
      </c>
      <c r="P216" s="224">
        <v>608142967</v>
      </c>
      <c r="Q216" s="225">
        <v>0.56399999999999995</v>
      </c>
      <c r="R216" s="225">
        <v>0.16980000000000001</v>
      </c>
      <c r="S216" s="225">
        <f t="shared" si="40"/>
        <v>-0.39419999999999994</v>
      </c>
      <c r="T216" s="225" t="str" cm="1">
        <f t="array" ref="T216">+_xlfn.IFS($P216&lt;=10000000000,IF(S216&gt;-0.05,"Verde",IF(S216&lt;=-0.1,"Rojo","Amarillo")),$P216&gt;10000000000,IF(S216&gt;-0.03,"Verde",IF(S216&lt;=-0.07,"Rojo","Amarillo")))</f>
        <v>Rojo</v>
      </c>
      <c r="U216" s="226"/>
      <c r="V216" s="226"/>
      <c r="W216" s="226">
        <v>45792</v>
      </c>
      <c r="X216" s="226">
        <v>46341</v>
      </c>
      <c r="Y216" s="272"/>
      <c r="Z216" s="225"/>
      <c r="AA216" s="225"/>
      <c r="AB216" s="273"/>
      <c r="AC216" s="272"/>
      <c r="AD216" s="227"/>
      <c r="AE216" s="221" t="s">
        <v>1350</v>
      </c>
      <c r="AF216" s="223" t="s">
        <v>1351</v>
      </c>
      <c r="AG216" s="223"/>
      <c r="AH216" s="223"/>
      <c r="AI216" s="221"/>
      <c r="AJ216" s="223"/>
      <c r="AK216" s="223"/>
      <c r="AL216" s="230"/>
      <c r="AM216" s="231"/>
      <c r="AN216" s="231"/>
      <c r="AO216" s="231"/>
      <c r="AP216" s="231"/>
      <c r="AQ216" s="231"/>
      <c r="AR216" s="231"/>
      <c r="AS216" s="231"/>
      <c r="AT216" s="231"/>
      <c r="AU216" s="231"/>
      <c r="AV216" s="231"/>
      <c r="AW216" s="232"/>
      <c r="AX216" s="232"/>
      <c r="AY216" s="232"/>
      <c r="AZ216" s="232"/>
      <c r="BA216" s="221"/>
      <c r="BB216" s="221" t="s">
        <v>1409</v>
      </c>
      <c r="BC216" s="233"/>
      <c r="BF216" s="51"/>
    </row>
    <row r="217" spans="1:58" ht="13.5" customHeight="1">
      <c r="A217" s="220">
        <f t="shared" si="39"/>
        <v>216</v>
      </c>
      <c r="B217" s="221" t="s">
        <v>976</v>
      </c>
      <c r="C217" s="221" t="s">
        <v>25</v>
      </c>
      <c r="D217" s="221" t="s">
        <v>118</v>
      </c>
      <c r="E217" s="221" t="s">
        <v>596</v>
      </c>
      <c r="F217" s="221" t="s">
        <v>1063</v>
      </c>
      <c r="G217" s="222" t="s">
        <v>1410</v>
      </c>
      <c r="H217" s="221" t="s">
        <v>1379</v>
      </c>
      <c r="I217" s="221" t="s">
        <v>1411</v>
      </c>
      <c r="J217" s="221" t="s">
        <v>1412</v>
      </c>
      <c r="K217" s="221" t="s">
        <v>1413</v>
      </c>
      <c r="L217" s="221">
        <v>-74.778297969999997</v>
      </c>
      <c r="M217" s="221">
        <v>10.989173539999999</v>
      </c>
      <c r="N217" s="223" t="s">
        <v>228</v>
      </c>
      <c r="O217" s="230"/>
      <c r="P217" s="224">
        <v>1768000000</v>
      </c>
      <c r="Q217" s="225">
        <v>0</v>
      </c>
      <c r="R217" s="225">
        <v>0</v>
      </c>
      <c r="S217" s="225">
        <f t="shared" si="40"/>
        <v>0</v>
      </c>
      <c r="T217" s="225" t="str" cm="1">
        <f t="array" ref="T217">+_xlfn.IFS($P217&lt;=10000000000,IF(S217&gt;-0.05,"Verde",IF(S217&lt;=-0.1,"Rojo","Amarillo")),$P217&gt;10000000000,IF(S217&gt;-0.03,"Verde",IF(S217&lt;=-0.07,"Rojo","Amarillo")))</f>
        <v>Verde</v>
      </c>
      <c r="U217" s="226"/>
      <c r="V217" s="226"/>
      <c r="W217" s="226">
        <v>45793</v>
      </c>
      <c r="X217" s="226">
        <v>46342</v>
      </c>
      <c r="Y217" s="272"/>
      <c r="Z217" s="225"/>
      <c r="AA217" s="225"/>
      <c r="AB217" s="273"/>
      <c r="AC217" s="272"/>
      <c r="AD217" s="227"/>
      <c r="AE217" s="221" t="s">
        <v>1414</v>
      </c>
      <c r="AF217" s="223" t="s">
        <v>1351</v>
      </c>
      <c r="AG217" s="223"/>
      <c r="AH217" s="223"/>
      <c r="AI217" s="221"/>
      <c r="AJ217" s="223"/>
      <c r="AK217" s="223"/>
      <c r="AL217" s="230"/>
      <c r="AM217" s="231"/>
      <c r="AN217" s="231"/>
      <c r="AO217" s="231"/>
      <c r="AP217" s="231"/>
      <c r="AQ217" s="231"/>
      <c r="AR217" s="231"/>
      <c r="AS217" s="231"/>
      <c r="AT217" s="231"/>
      <c r="AU217" s="231"/>
      <c r="AV217" s="231"/>
      <c r="AW217" s="232"/>
      <c r="AX217" s="232"/>
      <c r="AY217" s="232"/>
      <c r="AZ217" s="232"/>
      <c r="BA217" s="221"/>
      <c r="BB217" s="221" t="s">
        <v>1415</v>
      </c>
      <c r="BC217" s="233"/>
      <c r="BF217" s="51"/>
    </row>
    <row r="218" spans="1:58" ht="13.5" customHeight="1">
      <c r="A218" s="220">
        <f t="shared" si="39"/>
        <v>217</v>
      </c>
      <c r="B218" s="221" t="s">
        <v>976</v>
      </c>
      <c r="C218" s="221" t="s">
        <v>25</v>
      </c>
      <c r="D218" s="221" t="s">
        <v>118</v>
      </c>
      <c r="E218" s="221" t="s">
        <v>596</v>
      </c>
      <c r="F218" s="221" t="s">
        <v>1063</v>
      </c>
      <c r="G218" s="222" t="s">
        <v>1416</v>
      </c>
      <c r="H218" s="221" t="s">
        <v>1296</v>
      </c>
      <c r="I218" s="221" t="s">
        <v>1140</v>
      </c>
      <c r="J218" s="221" t="s">
        <v>1417</v>
      </c>
      <c r="K218" s="221" t="s">
        <v>1418</v>
      </c>
      <c r="L218" s="221">
        <v>-74.825894000000005</v>
      </c>
      <c r="M218" s="221">
        <v>10.965280999999999</v>
      </c>
      <c r="N218" s="223" t="s">
        <v>228</v>
      </c>
      <c r="O218" s="230" t="s">
        <v>229</v>
      </c>
      <c r="P218" s="224">
        <v>369850000</v>
      </c>
      <c r="Q218" s="225">
        <v>0.84179999999999999</v>
      </c>
      <c r="R218" s="225">
        <v>1</v>
      </c>
      <c r="S218" s="225">
        <f t="shared" si="40"/>
        <v>0.15820000000000001</v>
      </c>
      <c r="T218" s="225" t="str" cm="1">
        <f t="array" ref="T218">+_xlfn.IFS($P218&lt;=10000000000,IF(S218&gt;-0.05,"Verde",IF(S218&lt;=-0.1,"Rojo","Amarillo")),$P218&gt;10000000000,IF(S218&gt;-0.03,"Verde",IF(S218&lt;=-0.07,"Rojo","Amarillo")))</f>
        <v>Verde</v>
      </c>
      <c r="U218" s="226"/>
      <c r="V218" s="226"/>
      <c r="W218" s="226">
        <v>45793</v>
      </c>
      <c r="X218" s="226">
        <v>46342</v>
      </c>
      <c r="Y218" s="272"/>
      <c r="Z218" s="225"/>
      <c r="AA218" s="225"/>
      <c r="AB218" s="273"/>
      <c r="AC218" s="272"/>
      <c r="AD218" s="227"/>
      <c r="AE218" s="221" t="s">
        <v>1414</v>
      </c>
      <c r="AF218" s="223" t="s">
        <v>1351</v>
      </c>
      <c r="AG218" s="223"/>
      <c r="AH218" s="223"/>
      <c r="AI218" s="221"/>
      <c r="AJ218" s="223"/>
      <c r="AK218" s="223"/>
      <c r="AL218" s="230"/>
      <c r="AM218" s="231"/>
      <c r="AN218" s="231"/>
      <c r="AO218" s="231"/>
      <c r="AP218" s="231"/>
      <c r="AQ218" s="231"/>
      <c r="AR218" s="231"/>
      <c r="AS218" s="231"/>
      <c r="AT218" s="231"/>
      <c r="AU218" s="231"/>
      <c r="AV218" s="231"/>
      <c r="AW218" s="232"/>
      <c r="AX218" s="232"/>
      <c r="AY218" s="232"/>
      <c r="AZ218" s="232"/>
      <c r="BA218" s="221"/>
      <c r="BB218" s="221" t="s">
        <v>1419</v>
      </c>
      <c r="BC218" s="233"/>
      <c r="BF218" s="51"/>
    </row>
    <row r="219" spans="1:58" ht="13.5" customHeight="1">
      <c r="A219" s="220">
        <f t="shared" si="39"/>
        <v>218</v>
      </c>
      <c r="B219" s="221" t="s">
        <v>976</v>
      </c>
      <c r="C219" s="221" t="s">
        <v>25</v>
      </c>
      <c r="D219" s="221" t="s">
        <v>118</v>
      </c>
      <c r="E219" s="221" t="s">
        <v>596</v>
      </c>
      <c r="F219" s="221" t="s">
        <v>1063</v>
      </c>
      <c r="G219" s="222" t="s">
        <v>1420</v>
      </c>
      <c r="H219" s="221" t="s">
        <v>1311</v>
      </c>
      <c r="I219" s="221" t="s">
        <v>1177</v>
      </c>
      <c r="J219" s="221" t="s">
        <v>1421</v>
      </c>
      <c r="K219" s="221" t="s">
        <v>1422</v>
      </c>
      <c r="L219" s="221">
        <v>-74.810995419999998</v>
      </c>
      <c r="M219" s="221">
        <v>10.931389129999999</v>
      </c>
      <c r="N219" s="223" t="s">
        <v>228</v>
      </c>
      <c r="O219" s="230" t="s">
        <v>229</v>
      </c>
      <c r="P219" s="224">
        <v>1983963419</v>
      </c>
      <c r="Q219" s="225">
        <v>0.59060000000000001</v>
      </c>
      <c r="R219" s="225">
        <v>0.61240000000000006</v>
      </c>
      <c r="S219" s="225">
        <f t="shared" si="40"/>
        <v>2.1800000000000042E-2</v>
      </c>
      <c r="T219" s="225" t="str" cm="1">
        <f t="array" ref="T219">+_xlfn.IFS($P219&lt;=10000000000,IF(S219&gt;-0.05,"Verde",IF(S219&lt;=-0.1,"Rojo","Amarillo")),$P219&gt;10000000000,IF(S219&gt;-0.03,"Verde",IF(S219&lt;=-0.07,"Rojo","Amarillo")))</f>
        <v>Verde</v>
      </c>
      <c r="U219" s="226"/>
      <c r="V219" s="226"/>
      <c r="W219" s="226">
        <v>45793</v>
      </c>
      <c r="X219" s="226">
        <v>46342</v>
      </c>
      <c r="Y219" s="272"/>
      <c r="Z219" s="225"/>
      <c r="AA219" s="225"/>
      <c r="AB219" s="273"/>
      <c r="AC219" s="272"/>
      <c r="AD219" s="227"/>
      <c r="AE219" s="221" t="s">
        <v>1414</v>
      </c>
      <c r="AF219" s="223" t="s">
        <v>1351</v>
      </c>
      <c r="AG219" s="223"/>
      <c r="AH219" s="223"/>
      <c r="AI219" s="221"/>
      <c r="AJ219" s="223"/>
      <c r="AK219" s="223"/>
      <c r="AL219" s="230"/>
      <c r="AM219" s="231"/>
      <c r="AN219" s="231"/>
      <c r="AO219" s="231"/>
      <c r="AP219" s="231"/>
      <c r="AQ219" s="231"/>
      <c r="AR219" s="231"/>
      <c r="AS219" s="231"/>
      <c r="AT219" s="231"/>
      <c r="AU219" s="231"/>
      <c r="AV219" s="231"/>
      <c r="AW219" s="232"/>
      <c r="AX219" s="232"/>
      <c r="AY219" s="232"/>
      <c r="AZ219" s="232"/>
      <c r="BA219" s="221"/>
      <c r="BB219" s="221" t="s">
        <v>1423</v>
      </c>
      <c r="BC219" s="233"/>
      <c r="BF219" s="51"/>
    </row>
    <row r="220" spans="1:58" ht="13.5" customHeight="1">
      <c r="A220" s="220">
        <f t="shared" si="39"/>
        <v>219</v>
      </c>
      <c r="B220" s="221" t="s">
        <v>976</v>
      </c>
      <c r="C220" s="221" t="s">
        <v>25</v>
      </c>
      <c r="D220" s="221" t="s">
        <v>118</v>
      </c>
      <c r="E220" s="221" t="s">
        <v>596</v>
      </c>
      <c r="F220" s="221" t="s">
        <v>1063</v>
      </c>
      <c r="G220" s="222" t="s">
        <v>1424</v>
      </c>
      <c r="H220" s="221" t="s">
        <v>1379</v>
      </c>
      <c r="I220" s="221" t="s">
        <v>1425</v>
      </c>
      <c r="J220" s="221" t="s">
        <v>1426</v>
      </c>
      <c r="K220" s="221" t="s">
        <v>1427</v>
      </c>
      <c r="L220" s="221">
        <v>-74.782224999999997</v>
      </c>
      <c r="M220" s="221">
        <v>10.989910999999999</v>
      </c>
      <c r="N220" s="223" t="s">
        <v>228</v>
      </c>
      <c r="O220" s="230" t="s">
        <v>229</v>
      </c>
      <c r="P220" s="224">
        <v>1700000000</v>
      </c>
      <c r="Q220" s="225">
        <v>0.43240000000000001</v>
      </c>
      <c r="R220" s="225">
        <v>0.45789999999999997</v>
      </c>
      <c r="S220" s="225">
        <f t="shared" si="40"/>
        <v>2.5499999999999967E-2</v>
      </c>
      <c r="T220" s="225" t="str" cm="1">
        <f t="array" ref="T220">+_xlfn.IFS($P220&lt;=10000000000,IF(S220&gt;-0.05,"Verde",IF(S220&lt;=-0.1,"Rojo","Amarillo")),$P220&gt;10000000000,IF(S220&gt;-0.03,"Verde",IF(S220&lt;=-0.07,"Rojo","Amarillo")))</f>
        <v>Verde</v>
      </c>
      <c r="U220" s="226"/>
      <c r="V220" s="226"/>
      <c r="W220" s="226">
        <v>45793</v>
      </c>
      <c r="X220" s="226">
        <v>46342</v>
      </c>
      <c r="Y220" s="272"/>
      <c r="Z220" s="225"/>
      <c r="AA220" s="225"/>
      <c r="AB220" s="273"/>
      <c r="AC220" s="272"/>
      <c r="AD220" s="227"/>
      <c r="AE220" s="221" t="s">
        <v>1414</v>
      </c>
      <c r="AF220" s="223" t="s">
        <v>1351</v>
      </c>
      <c r="AG220" s="223"/>
      <c r="AH220" s="223"/>
      <c r="AI220" s="221"/>
      <c r="AJ220" s="223"/>
      <c r="AK220" s="223"/>
      <c r="AL220" s="230"/>
      <c r="AM220" s="231"/>
      <c r="AN220" s="231"/>
      <c r="AO220" s="231"/>
      <c r="AP220" s="231"/>
      <c r="AQ220" s="231"/>
      <c r="AR220" s="231"/>
      <c r="AS220" s="231"/>
      <c r="AT220" s="231"/>
      <c r="AU220" s="231"/>
      <c r="AV220" s="231"/>
      <c r="AW220" s="232"/>
      <c r="AX220" s="232"/>
      <c r="AY220" s="232"/>
      <c r="AZ220" s="232"/>
      <c r="BA220" s="221"/>
      <c r="BB220" s="221" t="s">
        <v>1428</v>
      </c>
      <c r="BC220" s="233"/>
      <c r="BF220" s="51"/>
    </row>
    <row r="221" spans="1:58" ht="13.5" customHeight="1">
      <c r="A221" s="220">
        <f t="shared" si="39"/>
        <v>220</v>
      </c>
      <c r="B221" s="221" t="s">
        <v>976</v>
      </c>
      <c r="C221" s="221" t="s">
        <v>25</v>
      </c>
      <c r="D221" s="221" t="s">
        <v>118</v>
      </c>
      <c r="E221" s="221" t="s">
        <v>596</v>
      </c>
      <c r="F221" s="221" t="s">
        <v>1063</v>
      </c>
      <c r="G221" s="222" t="s">
        <v>1429</v>
      </c>
      <c r="H221" s="221" t="s">
        <v>1379</v>
      </c>
      <c r="I221" s="221" t="s">
        <v>1430</v>
      </c>
      <c r="J221" s="221" t="s">
        <v>1431</v>
      </c>
      <c r="K221" s="221" t="s">
        <v>1432</v>
      </c>
      <c r="L221" s="221">
        <v>-74.806730720000004</v>
      </c>
      <c r="M221" s="221">
        <v>10.995112300000001</v>
      </c>
      <c r="N221" s="223" t="s">
        <v>228</v>
      </c>
      <c r="O221" s="230"/>
      <c r="P221" s="224">
        <v>3691152077</v>
      </c>
      <c r="Q221" s="225">
        <v>0</v>
      </c>
      <c r="R221" s="225">
        <v>0</v>
      </c>
      <c r="S221" s="225">
        <f t="shared" si="40"/>
        <v>0</v>
      </c>
      <c r="T221" s="225" t="str" cm="1">
        <f t="array" ref="T221">+_xlfn.IFS($P221&lt;=10000000000,IF(S221&gt;-0.05,"Verde",IF(S221&lt;=-0.1,"Rojo","Amarillo")),$P221&gt;10000000000,IF(S221&gt;-0.03,"Verde",IF(S221&lt;=-0.07,"Rojo","Amarillo")))</f>
        <v>Verde</v>
      </c>
      <c r="U221" s="226"/>
      <c r="V221" s="226"/>
      <c r="W221" s="226">
        <v>45793</v>
      </c>
      <c r="X221" s="226">
        <v>46342</v>
      </c>
      <c r="Y221" s="272"/>
      <c r="Z221" s="225"/>
      <c r="AA221" s="225"/>
      <c r="AB221" s="273"/>
      <c r="AC221" s="272"/>
      <c r="AD221" s="227"/>
      <c r="AE221" s="221" t="s">
        <v>1414</v>
      </c>
      <c r="AF221" s="223" t="s">
        <v>1351</v>
      </c>
      <c r="AG221" s="223"/>
      <c r="AH221" s="223"/>
      <c r="AI221" s="221"/>
      <c r="AJ221" s="223"/>
      <c r="AK221" s="223"/>
      <c r="AL221" s="230"/>
      <c r="AM221" s="231"/>
      <c r="AN221" s="231"/>
      <c r="AO221" s="231"/>
      <c r="AP221" s="231"/>
      <c r="AQ221" s="231"/>
      <c r="AR221" s="231"/>
      <c r="AS221" s="231"/>
      <c r="AT221" s="231"/>
      <c r="AU221" s="231"/>
      <c r="AV221" s="231"/>
      <c r="AW221" s="232"/>
      <c r="AX221" s="232"/>
      <c r="AY221" s="232"/>
      <c r="AZ221" s="232"/>
      <c r="BA221" s="221"/>
      <c r="BB221" s="221"/>
      <c r="BC221" s="233"/>
      <c r="BF221" s="51"/>
    </row>
    <row r="222" spans="1:58" ht="13.5" customHeight="1">
      <c r="A222" s="220">
        <f t="shared" si="39"/>
        <v>221</v>
      </c>
      <c r="B222" s="221" t="s">
        <v>976</v>
      </c>
      <c r="C222" s="221" t="s">
        <v>25</v>
      </c>
      <c r="D222" s="221" t="s">
        <v>118</v>
      </c>
      <c r="E222" s="221" t="s">
        <v>596</v>
      </c>
      <c r="F222" s="221" t="s">
        <v>1063</v>
      </c>
      <c r="G222" s="222" t="s">
        <v>1433</v>
      </c>
      <c r="H222" s="221" t="s">
        <v>1357</v>
      </c>
      <c r="I222" s="221" t="s">
        <v>1434</v>
      </c>
      <c r="J222" s="221" t="s">
        <v>1435</v>
      </c>
      <c r="K222" s="221" t="s">
        <v>1436</v>
      </c>
      <c r="L222" s="221">
        <v>-74.806339230000006</v>
      </c>
      <c r="M222" s="221">
        <v>11.024326159999999</v>
      </c>
      <c r="N222" s="223" t="s">
        <v>228</v>
      </c>
      <c r="O222" s="230"/>
      <c r="P222" s="224">
        <v>967180570</v>
      </c>
      <c r="Q222" s="225">
        <v>0</v>
      </c>
      <c r="R222" s="225">
        <v>0</v>
      </c>
      <c r="S222" s="225">
        <f t="shared" si="40"/>
        <v>0</v>
      </c>
      <c r="T222" s="225" t="str" cm="1">
        <f t="array" ref="T222">+_xlfn.IFS($P222&lt;=10000000000,IF(S222&gt;-0.05,"Verde",IF(S222&lt;=-0.1,"Rojo","Amarillo")),$P222&gt;10000000000,IF(S222&gt;-0.03,"Verde",IF(S222&lt;=-0.07,"Rojo","Amarillo")))</f>
        <v>Verde</v>
      </c>
      <c r="U222" s="226"/>
      <c r="V222" s="226"/>
      <c r="W222" s="226">
        <v>45793</v>
      </c>
      <c r="X222" s="226">
        <v>46342</v>
      </c>
      <c r="Y222" s="272"/>
      <c r="Z222" s="225"/>
      <c r="AA222" s="225"/>
      <c r="AB222" s="273"/>
      <c r="AC222" s="272"/>
      <c r="AD222" s="227"/>
      <c r="AE222" s="221" t="s">
        <v>1414</v>
      </c>
      <c r="AF222" s="223" t="s">
        <v>1351</v>
      </c>
      <c r="AG222" s="223"/>
      <c r="AH222" s="223"/>
      <c r="AI222" s="221"/>
      <c r="AJ222" s="223"/>
      <c r="AK222" s="223"/>
      <c r="AL222" s="230"/>
      <c r="AM222" s="231"/>
      <c r="AN222" s="231"/>
      <c r="AO222" s="231"/>
      <c r="AP222" s="231"/>
      <c r="AQ222" s="231"/>
      <c r="AR222" s="231"/>
      <c r="AS222" s="231"/>
      <c r="AT222" s="231"/>
      <c r="AU222" s="231"/>
      <c r="AV222" s="231"/>
      <c r="AW222" s="232"/>
      <c r="AX222" s="232"/>
      <c r="AY222" s="232"/>
      <c r="AZ222" s="232"/>
      <c r="BA222" s="221"/>
      <c r="BB222" s="221"/>
      <c r="BC222" s="233"/>
      <c r="BF222" s="51"/>
    </row>
    <row r="223" spans="1:58" ht="13.5" customHeight="1">
      <c r="A223" s="220">
        <f t="shared" si="39"/>
        <v>222</v>
      </c>
      <c r="B223" s="221" t="s">
        <v>976</v>
      </c>
      <c r="C223" s="221" t="s">
        <v>25</v>
      </c>
      <c r="D223" s="221" t="s">
        <v>118</v>
      </c>
      <c r="E223" s="221" t="s">
        <v>596</v>
      </c>
      <c r="F223" s="221" t="s">
        <v>1063</v>
      </c>
      <c r="G223" s="222" t="s">
        <v>1437</v>
      </c>
      <c r="H223" s="221" t="s">
        <v>1296</v>
      </c>
      <c r="I223" s="221" t="s">
        <v>1438</v>
      </c>
      <c r="J223" s="221" t="s">
        <v>1439</v>
      </c>
      <c r="K223" s="221" t="s">
        <v>1440</v>
      </c>
      <c r="L223" s="221">
        <v>-74.798975440000007</v>
      </c>
      <c r="M223" s="221">
        <v>10.97427414</v>
      </c>
      <c r="N223" s="223" t="s">
        <v>228</v>
      </c>
      <c r="O223" s="230"/>
      <c r="P223" s="224">
        <v>2380785858</v>
      </c>
      <c r="Q223" s="225">
        <v>0</v>
      </c>
      <c r="R223" s="225">
        <v>0</v>
      </c>
      <c r="S223" s="225">
        <f t="shared" si="40"/>
        <v>0</v>
      </c>
      <c r="T223" s="225" t="str" cm="1">
        <f t="array" ref="T223">+_xlfn.IFS($P223&lt;=10000000000,IF(S223&gt;-0.05,"Verde",IF(S223&lt;=-0.1,"Rojo","Amarillo")),$P223&gt;10000000000,IF(S223&gt;-0.03,"Verde",IF(S223&lt;=-0.07,"Rojo","Amarillo")))</f>
        <v>Verde</v>
      </c>
      <c r="U223" s="226"/>
      <c r="V223" s="226"/>
      <c r="W223" s="226">
        <v>45793</v>
      </c>
      <c r="X223" s="226">
        <v>46342</v>
      </c>
      <c r="Y223" s="272"/>
      <c r="Z223" s="225"/>
      <c r="AA223" s="225"/>
      <c r="AB223" s="273"/>
      <c r="AC223" s="272"/>
      <c r="AD223" s="227"/>
      <c r="AE223" s="221" t="s">
        <v>1414</v>
      </c>
      <c r="AF223" s="223" t="s">
        <v>1351</v>
      </c>
      <c r="AG223" s="223"/>
      <c r="AH223" s="223"/>
      <c r="AI223" s="221"/>
      <c r="AJ223" s="223"/>
      <c r="AK223" s="223"/>
      <c r="AL223" s="230"/>
      <c r="AM223" s="231"/>
      <c r="AN223" s="231"/>
      <c r="AO223" s="231"/>
      <c r="AP223" s="231"/>
      <c r="AQ223" s="231"/>
      <c r="AR223" s="231"/>
      <c r="AS223" s="231"/>
      <c r="AT223" s="231"/>
      <c r="AU223" s="231"/>
      <c r="AV223" s="231"/>
      <c r="AW223" s="232"/>
      <c r="AX223" s="232"/>
      <c r="AY223" s="232"/>
      <c r="AZ223" s="232"/>
      <c r="BA223" s="221"/>
      <c r="BB223" s="221"/>
      <c r="BC223" s="233"/>
      <c r="BF223" s="51"/>
    </row>
    <row r="224" spans="1:58" ht="13.5" customHeight="1">
      <c r="A224" s="220">
        <f t="shared" si="39"/>
        <v>223</v>
      </c>
      <c r="B224" s="221" t="s">
        <v>976</v>
      </c>
      <c r="C224" s="221" t="s">
        <v>25</v>
      </c>
      <c r="D224" s="221" t="s">
        <v>118</v>
      </c>
      <c r="E224" s="221" t="s">
        <v>596</v>
      </c>
      <c r="F224" s="221" t="s">
        <v>1063</v>
      </c>
      <c r="G224" s="222" t="s">
        <v>1441</v>
      </c>
      <c r="H224" s="221" t="s">
        <v>1379</v>
      </c>
      <c r="I224" s="221" t="s">
        <v>1442</v>
      </c>
      <c r="J224" s="221" t="s">
        <v>1443</v>
      </c>
      <c r="K224" s="221" t="s">
        <v>1444</v>
      </c>
      <c r="L224" s="221">
        <v>-74.786111959999999</v>
      </c>
      <c r="M224" s="221">
        <v>10.98117676</v>
      </c>
      <c r="N224" s="223" t="s">
        <v>228</v>
      </c>
      <c r="O224" s="230"/>
      <c r="P224" s="224">
        <v>1491341021</v>
      </c>
      <c r="Q224" s="225">
        <v>0</v>
      </c>
      <c r="R224" s="225">
        <v>0</v>
      </c>
      <c r="S224" s="225">
        <f t="shared" si="40"/>
        <v>0</v>
      </c>
      <c r="T224" s="225" t="str" cm="1">
        <f t="array" ref="T224">+_xlfn.IFS($P224&lt;=10000000000,IF(S224&gt;-0.05,"Verde",IF(S224&lt;=-0.1,"Rojo","Amarillo")),$P224&gt;10000000000,IF(S224&gt;-0.03,"Verde",IF(S224&lt;=-0.07,"Rojo","Amarillo")))</f>
        <v>Verde</v>
      </c>
      <c r="U224" s="226"/>
      <c r="V224" s="226"/>
      <c r="W224" s="226">
        <v>45793</v>
      </c>
      <c r="X224" s="226">
        <v>46342</v>
      </c>
      <c r="Y224" s="272"/>
      <c r="Z224" s="225"/>
      <c r="AA224" s="225"/>
      <c r="AB224" s="273"/>
      <c r="AC224" s="272"/>
      <c r="AD224" s="227"/>
      <c r="AE224" s="221" t="s">
        <v>1414</v>
      </c>
      <c r="AF224" s="223" t="s">
        <v>1351</v>
      </c>
      <c r="AG224" s="223"/>
      <c r="AH224" s="223"/>
      <c r="AI224" s="221"/>
      <c r="AJ224" s="223"/>
      <c r="AK224" s="223"/>
      <c r="AL224" s="230"/>
      <c r="AM224" s="231"/>
      <c r="AN224" s="231"/>
      <c r="AO224" s="231"/>
      <c r="AP224" s="231"/>
      <c r="AQ224" s="231"/>
      <c r="AR224" s="231"/>
      <c r="AS224" s="231"/>
      <c r="AT224" s="231"/>
      <c r="AU224" s="231"/>
      <c r="AV224" s="231"/>
      <c r="AW224" s="232"/>
      <c r="AX224" s="232"/>
      <c r="AY224" s="232"/>
      <c r="AZ224" s="232"/>
      <c r="BA224" s="221"/>
      <c r="BB224" s="221"/>
      <c r="BC224" s="233"/>
      <c r="BF224" s="51"/>
    </row>
    <row r="225" spans="1:58" ht="13.5" customHeight="1">
      <c r="A225" s="220">
        <f t="shared" si="39"/>
        <v>224</v>
      </c>
      <c r="B225" s="221" t="s">
        <v>976</v>
      </c>
      <c r="C225" s="221" t="s">
        <v>25</v>
      </c>
      <c r="D225" s="221" t="s">
        <v>118</v>
      </c>
      <c r="E225" s="221" t="s">
        <v>596</v>
      </c>
      <c r="F225" s="221" t="s">
        <v>1063</v>
      </c>
      <c r="G225" s="222" t="s">
        <v>1445</v>
      </c>
      <c r="H225" s="221" t="s">
        <v>1296</v>
      </c>
      <c r="I225" s="221" t="s">
        <v>1208</v>
      </c>
      <c r="J225" s="221" t="s">
        <v>1446</v>
      </c>
      <c r="K225" s="221" t="s">
        <v>1447</v>
      </c>
      <c r="L225" s="221">
        <v>-74.895297049999996</v>
      </c>
      <c r="M225" s="221">
        <v>10.954764669999999</v>
      </c>
      <c r="N225" s="223" t="s">
        <v>228</v>
      </c>
      <c r="O225" s="230"/>
      <c r="P225" s="224">
        <v>621044073</v>
      </c>
      <c r="Q225" s="225">
        <v>0</v>
      </c>
      <c r="R225" s="225">
        <v>0</v>
      </c>
      <c r="S225" s="225">
        <f t="shared" si="40"/>
        <v>0</v>
      </c>
      <c r="T225" s="225" t="str" cm="1">
        <f t="array" ref="T225">+_xlfn.IFS($P225&lt;=10000000000,IF(S225&gt;-0.05,"Verde",IF(S225&lt;=-0.1,"Rojo","Amarillo")),$P225&gt;10000000000,IF(S225&gt;-0.03,"Verde",IF(S225&lt;=-0.07,"Rojo","Amarillo")))</f>
        <v>Verde</v>
      </c>
      <c r="U225" s="226"/>
      <c r="V225" s="226"/>
      <c r="W225" s="226">
        <v>45793</v>
      </c>
      <c r="X225" s="226">
        <v>46342</v>
      </c>
      <c r="Y225" s="272"/>
      <c r="Z225" s="225"/>
      <c r="AA225" s="225"/>
      <c r="AB225" s="273"/>
      <c r="AC225" s="272"/>
      <c r="AD225" s="227"/>
      <c r="AE225" s="221" t="s">
        <v>1414</v>
      </c>
      <c r="AF225" s="223" t="s">
        <v>1351</v>
      </c>
      <c r="AG225" s="223"/>
      <c r="AH225" s="223"/>
      <c r="AI225" s="221"/>
      <c r="AJ225" s="223"/>
      <c r="AK225" s="223"/>
      <c r="AL225" s="230"/>
      <c r="AM225" s="231"/>
      <c r="AN225" s="231"/>
      <c r="AO225" s="231"/>
      <c r="AP225" s="231"/>
      <c r="AQ225" s="231"/>
      <c r="AR225" s="231"/>
      <c r="AS225" s="231"/>
      <c r="AT225" s="231"/>
      <c r="AU225" s="231"/>
      <c r="AV225" s="231"/>
      <c r="AW225" s="232"/>
      <c r="AX225" s="232"/>
      <c r="AY225" s="232"/>
      <c r="AZ225" s="232"/>
      <c r="BA225" s="221"/>
      <c r="BB225" s="221"/>
      <c r="BC225" s="233"/>
      <c r="BF225" s="51"/>
    </row>
    <row r="226" spans="1:58" ht="13.5" customHeight="1">
      <c r="A226" s="220">
        <f t="shared" si="39"/>
        <v>225</v>
      </c>
      <c r="B226" s="221" t="s">
        <v>976</v>
      </c>
      <c r="C226" s="221" t="s">
        <v>25</v>
      </c>
      <c r="D226" s="221" t="s">
        <v>118</v>
      </c>
      <c r="E226" s="221" t="s">
        <v>596</v>
      </c>
      <c r="F226" s="221" t="s">
        <v>1063</v>
      </c>
      <c r="G226" s="222" t="s">
        <v>1448</v>
      </c>
      <c r="H226" s="221" t="s">
        <v>1283</v>
      </c>
      <c r="I226" s="221" t="s">
        <v>1449</v>
      </c>
      <c r="J226" s="221" t="s">
        <v>1450</v>
      </c>
      <c r="K226" s="221" t="s">
        <v>1451</v>
      </c>
      <c r="L226" s="221">
        <v>-74.787390070000001</v>
      </c>
      <c r="M226" s="221">
        <v>10.94542672</v>
      </c>
      <c r="N226" s="223" t="s">
        <v>228</v>
      </c>
      <c r="O226" s="230"/>
      <c r="P226" s="224">
        <v>1581000013.2</v>
      </c>
      <c r="Q226" s="225">
        <v>0</v>
      </c>
      <c r="R226" s="225">
        <v>0</v>
      </c>
      <c r="S226" s="225">
        <f t="shared" si="40"/>
        <v>0</v>
      </c>
      <c r="T226" s="225" t="str" cm="1">
        <f t="array" ref="T226">+_xlfn.IFS($P226&lt;=10000000000,IF(S226&gt;-0.05,"Verde",IF(S226&lt;=-0.1,"Rojo","Amarillo")),$P226&gt;10000000000,IF(S226&gt;-0.03,"Verde",IF(S226&lt;=-0.07,"Rojo","Amarillo")))</f>
        <v>Verde</v>
      </c>
      <c r="U226" s="226"/>
      <c r="V226" s="226"/>
      <c r="W226" s="226">
        <v>45793</v>
      </c>
      <c r="X226" s="226">
        <v>46342</v>
      </c>
      <c r="Y226" s="272"/>
      <c r="Z226" s="225"/>
      <c r="AA226" s="225"/>
      <c r="AB226" s="273"/>
      <c r="AC226" s="272"/>
      <c r="AD226" s="227"/>
      <c r="AE226" s="221" t="s">
        <v>1414</v>
      </c>
      <c r="AF226" s="223" t="s">
        <v>1351</v>
      </c>
      <c r="AG226" s="223"/>
      <c r="AH226" s="223"/>
      <c r="AI226" s="221"/>
      <c r="AJ226" s="223"/>
      <c r="AK226" s="223"/>
      <c r="AL226" s="230"/>
      <c r="AM226" s="231"/>
      <c r="AN226" s="231"/>
      <c r="AO226" s="231"/>
      <c r="AP226" s="231"/>
      <c r="AQ226" s="231"/>
      <c r="AR226" s="231"/>
      <c r="AS226" s="231"/>
      <c r="AT226" s="231"/>
      <c r="AU226" s="231"/>
      <c r="AV226" s="231"/>
      <c r="AW226" s="232"/>
      <c r="AX226" s="232"/>
      <c r="AY226" s="232"/>
      <c r="AZ226" s="232"/>
      <c r="BA226" s="221"/>
      <c r="BB226" s="221"/>
      <c r="BC226" s="233"/>
      <c r="BF226" s="51"/>
    </row>
    <row r="227" spans="1:58" ht="13.5" customHeight="1">
      <c r="A227" s="220">
        <f t="shared" si="39"/>
        <v>226</v>
      </c>
      <c r="B227" s="221" t="s">
        <v>976</v>
      </c>
      <c r="C227" s="221" t="s">
        <v>25</v>
      </c>
      <c r="D227" s="221" t="s">
        <v>118</v>
      </c>
      <c r="E227" s="221" t="s">
        <v>596</v>
      </c>
      <c r="F227" s="221" t="s">
        <v>1063</v>
      </c>
      <c r="G227" s="222" t="s">
        <v>1452</v>
      </c>
      <c r="H227" s="221" t="s">
        <v>1296</v>
      </c>
      <c r="I227" s="221" t="s">
        <v>1262</v>
      </c>
      <c r="J227" s="221" t="s">
        <v>1453</v>
      </c>
      <c r="K227" s="221" t="s">
        <v>1454</v>
      </c>
      <c r="L227" s="221">
        <v>-74.808446160000003</v>
      </c>
      <c r="M227" s="221">
        <v>10.973888880000001</v>
      </c>
      <c r="N227" s="223" t="s">
        <v>228</v>
      </c>
      <c r="O227" s="230"/>
      <c r="P227" s="224">
        <v>1722535529</v>
      </c>
      <c r="Q227" s="225">
        <v>0</v>
      </c>
      <c r="R227" s="225">
        <v>0</v>
      </c>
      <c r="S227" s="225">
        <f t="shared" si="40"/>
        <v>0</v>
      </c>
      <c r="T227" s="225" t="str" cm="1">
        <f t="array" ref="T227">+_xlfn.IFS($P227&lt;=10000000000,IF(S227&gt;-0.05,"Verde",IF(S227&lt;=-0.1,"Rojo","Amarillo")),$P227&gt;10000000000,IF(S227&gt;-0.03,"Verde",IF(S227&lt;=-0.07,"Rojo","Amarillo")))</f>
        <v>Verde</v>
      </c>
      <c r="U227" s="226"/>
      <c r="V227" s="226"/>
      <c r="W227" s="226">
        <v>45793</v>
      </c>
      <c r="X227" s="226">
        <v>46342</v>
      </c>
      <c r="Y227" s="272"/>
      <c r="Z227" s="225"/>
      <c r="AA227" s="225"/>
      <c r="AB227" s="273"/>
      <c r="AC227" s="272"/>
      <c r="AD227" s="227"/>
      <c r="AE227" s="221" t="s">
        <v>1414</v>
      </c>
      <c r="AF227" s="223" t="s">
        <v>1351</v>
      </c>
      <c r="AG227" s="223"/>
      <c r="AH227" s="223"/>
      <c r="AI227" s="221"/>
      <c r="AJ227" s="223"/>
      <c r="AK227" s="223"/>
      <c r="AL227" s="230"/>
      <c r="AM227" s="231"/>
      <c r="AN227" s="231"/>
      <c r="AO227" s="231"/>
      <c r="AP227" s="231"/>
      <c r="AQ227" s="231"/>
      <c r="AR227" s="231"/>
      <c r="AS227" s="231"/>
      <c r="AT227" s="231"/>
      <c r="AU227" s="231"/>
      <c r="AV227" s="231"/>
      <c r="AW227" s="232"/>
      <c r="AX227" s="232"/>
      <c r="AY227" s="232"/>
      <c r="AZ227" s="232"/>
      <c r="BA227" s="221"/>
      <c r="BB227" s="221"/>
      <c r="BC227" s="233"/>
      <c r="BF227" s="51"/>
    </row>
    <row r="228" spans="1:58" ht="13.5" customHeight="1">
      <c r="A228" s="220">
        <f t="shared" si="39"/>
        <v>227</v>
      </c>
      <c r="B228" s="221" t="s">
        <v>976</v>
      </c>
      <c r="C228" s="221" t="s">
        <v>25</v>
      </c>
      <c r="D228" s="221" t="s">
        <v>118</v>
      </c>
      <c r="E228" s="221" t="s">
        <v>596</v>
      </c>
      <c r="F228" s="221" t="s">
        <v>1063</v>
      </c>
      <c r="G228" s="222" t="s">
        <v>1455</v>
      </c>
      <c r="H228" s="221" t="s">
        <v>1296</v>
      </c>
      <c r="I228" s="221" t="s">
        <v>1456</v>
      </c>
      <c r="J228" s="221" t="s">
        <v>1457</v>
      </c>
      <c r="K228" s="221" t="s">
        <v>1458</v>
      </c>
      <c r="L228" s="221">
        <v>-74.829010999999994</v>
      </c>
      <c r="M228" s="221">
        <v>10.978194</v>
      </c>
      <c r="N228" s="223" t="s">
        <v>228</v>
      </c>
      <c r="O228" s="230"/>
      <c r="P228" s="224">
        <v>515993264</v>
      </c>
      <c r="Q228" s="225">
        <v>0</v>
      </c>
      <c r="R228" s="225">
        <v>0</v>
      </c>
      <c r="S228" s="225">
        <f t="shared" si="40"/>
        <v>0</v>
      </c>
      <c r="T228" s="225" t="str" cm="1">
        <f t="array" ref="T228">+_xlfn.IFS($P228&lt;=10000000000,IF(S228&gt;-0.05,"Verde",IF(S228&lt;=-0.1,"Rojo","Amarillo")),$P228&gt;10000000000,IF(S228&gt;-0.03,"Verde",IF(S228&lt;=-0.07,"Rojo","Amarillo")))</f>
        <v>Verde</v>
      </c>
      <c r="U228" s="226"/>
      <c r="V228" s="226"/>
      <c r="W228" s="226">
        <v>45793</v>
      </c>
      <c r="X228" s="226">
        <v>46342</v>
      </c>
      <c r="Y228" s="272"/>
      <c r="Z228" s="225"/>
      <c r="AA228" s="225"/>
      <c r="AB228" s="273"/>
      <c r="AC228" s="272"/>
      <c r="AD228" s="227"/>
      <c r="AE228" s="221" t="s">
        <v>1414</v>
      </c>
      <c r="AF228" s="223" t="s">
        <v>1351</v>
      </c>
      <c r="AG228" s="223"/>
      <c r="AH228" s="223"/>
      <c r="AI228" s="221"/>
      <c r="AJ228" s="223"/>
      <c r="AK228" s="223"/>
      <c r="AL228" s="230"/>
      <c r="AM228" s="231"/>
      <c r="AN228" s="231"/>
      <c r="AO228" s="231"/>
      <c r="AP228" s="231"/>
      <c r="AQ228" s="231"/>
      <c r="AR228" s="231"/>
      <c r="AS228" s="231"/>
      <c r="AT228" s="231"/>
      <c r="AU228" s="231"/>
      <c r="AV228" s="231"/>
      <c r="AW228" s="232"/>
      <c r="AX228" s="232"/>
      <c r="AY228" s="232"/>
      <c r="AZ228" s="232"/>
      <c r="BA228" s="221"/>
      <c r="BB228" s="221"/>
      <c r="BC228" s="233"/>
      <c r="BF228" s="51"/>
    </row>
    <row r="229" spans="1:58" ht="13.5" customHeight="1">
      <c r="A229" s="220">
        <f t="shared" si="39"/>
        <v>228</v>
      </c>
      <c r="B229" s="221" t="s">
        <v>976</v>
      </c>
      <c r="C229" s="221" t="s">
        <v>25</v>
      </c>
      <c r="D229" s="221" t="s">
        <v>118</v>
      </c>
      <c r="E229" s="221" t="s">
        <v>596</v>
      </c>
      <c r="F229" s="221" t="s">
        <v>1063</v>
      </c>
      <c r="G229" s="222" t="s">
        <v>1459</v>
      </c>
      <c r="H229" s="221" t="s">
        <v>1379</v>
      </c>
      <c r="I229" s="221" t="s">
        <v>1460</v>
      </c>
      <c r="J229" s="221" t="s">
        <v>1461</v>
      </c>
      <c r="K229" s="221" t="s">
        <v>1462</v>
      </c>
      <c r="L229" s="221">
        <v>-74.788146999999995</v>
      </c>
      <c r="M229" s="221">
        <v>11.015060999999999</v>
      </c>
      <c r="N229" s="223" t="s">
        <v>228</v>
      </c>
      <c r="O229" s="230" t="s">
        <v>229</v>
      </c>
      <c r="P229" s="224">
        <v>3500000000</v>
      </c>
      <c r="Q229" s="225">
        <v>0.1991</v>
      </c>
      <c r="R229" s="225">
        <v>7.5499999999999998E-2</v>
      </c>
      <c r="S229" s="225">
        <f t="shared" si="40"/>
        <v>-0.1236</v>
      </c>
      <c r="T229" s="225" t="str" cm="1">
        <f t="array" ref="T229">+_xlfn.IFS($P229&lt;=10000000000,IF(S229&gt;-0.05,"Verde",IF(S229&lt;=-0.1,"Rojo","Amarillo")),$P229&gt;10000000000,IF(S229&gt;-0.03,"Verde",IF(S229&lt;=-0.07,"Rojo","Amarillo")))</f>
        <v>Rojo</v>
      </c>
      <c r="U229" s="226"/>
      <c r="V229" s="226"/>
      <c r="W229" s="226">
        <v>45793</v>
      </c>
      <c r="X229" s="226">
        <v>46342</v>
      </c>
      <c r="Y229" s="272"/>
      <c r="Z229" s="225"/>
      <c r="AA229" s="225"/>
      <c r="AB229" s="273"/>
      <c r="AC229" s="272"/>
      <c r="AD229" s="227"/>
      <c r="AE229" s="221" t="s">
        <v>1414</v>
      </c>
      <c r="AF229" s="223" t="s">
        <v>1351</v>
      </c>
      <c r="AG229" s="223"/>
      <c r="AH229" s="223"/>
      <c r="AI229" s="221"/>
      <c r="AJ229" s="223"/>
      <c r="AK229" s="223"/>
      <c r="AL229" s="230"/>
      <c r="AM229" s="231"/>
      <c r="AN229" s="231"/>
      <c r="AO229" s="231"/>
      <c r="AP229" s="231"/>
      <c r="AQ229" s="231"/>
      <c r="AR229" s="231"/>
      <c r="AS229" s="231"/>
      <c r="AT229" s="231"/>
      <c r="AU229" s="231"/>
      <c r="AV229" s="231"/>
      <c r="AW229" s="232"/>
      <c r="AX229" s="232"/>
      <c r="AY229" s="232"/>
      <c r="AZ229" s="232"/>
      <c r="BA229" s="221"/>
      <c r="BB229" s="221" t="s">
        <v>1463</v>
      </c>
      <c r="BC229" s="233"/>
      <c r="BF229" s="51"/>
    </row>
    <row r="230" spans="1:58" ht="13.5" customHeight="1">
      <c r="A230" s="220">
        <f t="shared" ref="A230:A295" si="42">+A229+1</f>
        <v>229</v>
      </c>
      <c r="B230" s="221" t="s">
        <v>976</v>
      </c>
      <c r="C230" s="221" t="s">
        <v>25</v>
      </c>
      <c r="D230" s="221" t="s">
        <v>118</v>
      </c>
      <c r="E230" s="221" t="s">
        <v>596</v>
      </c>
      <c r="F230" s="221" t="s">
        <v>1063</v>
      </c>
      <c r="G230" s="222" t="s">
        <v>1464</v>
      </c>
      <c r="H230" s="221" t="s">
        <v>1296</v>
      </c>
      <c r="I230" s="221" t="s">
        <v>1465</v>
      </c>
      <c r="J230" s="221" t="s">
        <v>1466</v>
      </c>
      <c r="K230" s="221" t="s">
        <v>1467</v>
      </c>
      <c r="L230" s="221">
        <v>-74.832955999999996</v>
      </c>
      <c r="M230" s="221">
        <v>10.975847</v>
      </c>
      <c r="N230" s="223" t="s">
        <v>228</v>
      </c>
      <c r="O230" s="230"/>
      <c r="P230" s="224">
        <v>364000000</v>
      </c>
      <c r="Q230" s="225">
        <v>0</v>
      </c>
      <c r="R230" s="225">
        <v>0</v>
      </c>
      <c r="S230" s="225">
        <f t="shared" si="40"/>
        <v>0</v>
      </c>
      <c r="T230" s="225" t="str" cm="1">
        <f t="array" ref="T230">+_xlfn.IFS($P230&lt;=10000000000,IF(S230&gt;-0.05,"Verde",IF(S230&lt;=-0.1,"Rojo","Amarillo")),$P230&gt;10000000000,IF(S230&gt;-0.03,"Verde",IF(S230&lt;=-0.07,"Rojo","Amarillo")))</f>
        <v>Verde</v>
      </c>
      <c r="U230" s="226"/>
      <c r="V230" s="226"/>
      <c r="W230" s="226">
        <v>45793</v>
      </c>
      <c r="X230" s="226">
        <v>46342</v>
      </c>
      <c r="Y230" s="272"/>
      <c r="Z230" s="225"/>
      <c r="AA230" s="225"/>
      <c r="AB230" s="273"/>
      <c r="AC230" s="272"/>
      <c r="AD230" s="227"/>
      <c r="AE230" s="221" t="s">
        <v>1414</v>
      </c>
      <c r="AF230" s="223" t="s">
        <v>1351</v>
      </c>
      <c r="AG230" s="223"/>
      <c r="AH230" s="223"/>
      <c r="AI230" s="221"/>
      <c r="AJ230" s="223"/>
      <c r="AK230" s="223"/>
      <c r="AL230" s="230"/>
      <c r="AM230" s="231"/>
      <c r="AN230" s="231"/>
      <c r="AO230" s="231"/>
      <c r="AP230" s="231"/>
      <c r="AQ230" s="231"/>
      <c r="AR230" s="231"/>
      <c r="AS230" s="231"/>
      <c r="AT230" s="231"/>
      <c r="AU230" s="231"/>
      <c r="AV230" s="231"/>
      <c r="AW230" s="232"/>
      <c r="AX230" s="232"/>
      <c r="AY230" s="232"/>
      <c r="AZ230" s="232"/>
      <c r="BA230" s="221"/>
      <c r="BB230" s="221"/>
      <c r="BC230" s="233"/>
      <c r="BF230" s="51"/>
    </row>
    <row r="231" spans="1:58" ht="13.5" customHeight="1">
      <c r="A231" s="220">
        <f t="shared" si="42"/>
        <v>230</v>
      </c>
      <c r="B231" s="221" t="s">
        <v>976</v>
      </c>
      <c r="C231" s="221" t="s">
        <v>25</v>
      </c>
      <c r="D231" s="221" t="s">
        <v>118</v>
      </c>
      <c r="E231" s="221" t="s">
        <v>596</v>
      </c>
      <c r="F231" s="221" t="s">
        <v>1063</v>
      </c>
      <c r="G231" s="222" t="s">
        <v>1468</v>
      </c>
      <c r="H231" s="221" t="s">
        <v>1283</v>
      </c>
      <c r="I231" s="221" t="s">
        <v>1278</v>
      </c>
      <c r="J231" s="221" t="s">
        <v>1469</v>
      </c>
      <c r="K231" s="221" t="s">
        <v>1470</v>
      </c>
      <c r="L231" s="221">
        <v>-74.792706890000005</v>
      </c>
      <c r="M231" s="221">
        <v>10.94754919</v>
      </c>
      <c r="N231" s="223" t="s">
        <v>228</v>
      </c>
      <c r="O231" s="230"/>
      <c r="P231" s="224">
        <v>1049457291</v>
      </c>
      <c r="Q231" s="225">
        <v>0</v>
      </c>
      <c r="R231" s="225">
        <v>0</v>
      </c>
      <c r="S231" s="225">
        <f t="shared" ref="S231:S296" si="43">+R231-Q231</f>
        <v>0</v>
      </c>
      <c r="T231" s="225" t="str" cm="1">
        <f t="array" ref="T231">+_xlfn.IFS($P231&lt;=10000000000,IF(S231&gt;-0.05,"Verde",IF(S231&lt;=-0.1,"Rojo","Amarillo")),$P231&gt;10000000000,IF(S231&gt;-0.03,"Verde",IF(S231&lt;=-0.07,"Rojo","Amarillo")))</f>
        <v>Verde</v>
      </c>
      <c r="U231" s="226"/>
      <c r="V231" s="226"/>
      <c r="W231" s="226">
        <v>45793</v>
      </c>
      <c r="X231" s="226">
        <v>46342</v>
      </c>
      <c r="Y231" s="272"/>
      <c r="Z231" s="225"/>
      <c r="AA231" s="225"/>
      <c r="AB231" s="273"/>
      <c r="AC231" s="272"/>
      <c r="AD231" s="227"/>
      <c r="AE231" s="221" t="s">
        <v>1414</v>
      </c>
      <c r="AF231" s="223" t="s">
        <v>1351</v>
      </c>
      <c r="AG231" s="223"/>
      <c r="AH231" s="223"/>
      <c r="AI231" s="221"/>
      <c r="AJ231" s="223"/>
      <c r="AK231" s="223"/>
      <c r="AL231" s="230"/>
      <c r="AM231" s="231"/>
      <c r="AN231" s="231"/>
      <c r="AO231" s="231"/>
      <c r="AP231" s="231"/>
      <c r="AQ231" s="231"/>
      <c r="AR231" s="231"/>
      <c r="AS231" s="231"/>
      <c r="AT231" s="231"/>
      <c r="AU231" s="231"/>
      <c r="AV231" s="231"/>
      <c r="AW231" s="232"/>
      <c r="AX231" s="232"/>
      <c r="AY231" s="232"/>
      <c r="AZ231" s="232"/>
      <c r="BA231" s="221"/>
      <c r="BB231" s="221"/>
      <c r="BC231" s="233"/>
      <c r="BF231" s="51"/>
    </row>
    <row r="232" spans="1:58" ht="13.5" customHeight="1">
      <c r="A232" s="220">
        <f t="shared" si="42"/>
        <v>231</v>
      </c>
      <c r="B232" s="221" t="s">
        <v>1471</v>
      </c>
      <c r="C232" s="221" t="s">
        <v>25</v>
      </c>
      <c r="D232" s="221" t="s">
        <v>365</v>
      </c>
      <c r="E232" s="221" t="s">
        <v>326</v>
      </c>
      <c r="F232" s="221" t="s">
        <v>1472</v>
      </c>
      <c r="G232" s="222" t="s">
        <v>1473</v>
      </c>
      <c r="H232" s="221" t="s">
        <v>154</v>
      </c>
      <c r="I232" s="221" t="s">
        <v>1474</v>
      </c>
      <c r="J232" s="221" t="s">
        <v>1475</v>
      </c>
      <c r="K232" s="221" t="s">
        <v>1476</v>
      </c>
      <c r="L232" s="221"/>
      <c r="M232" s="221"/>
      <c r="N232" s="223" t="s">
        <v>228</v>
      </c>
      <c r="O232" s="230" t="s">
        <v>229</v>
      </c>
      <c r="P232" s="224">
        <f t="shared" ref="P232:P264" si="44">AO232+AT232</f>
        <v>1190916375</v>
      </c>
      <c r="Q232" s="225">
        <v>1</v>
      </c>
      <c r="R232" s="225">
        <v>0.99</v>
      </c>
      <c r="S232" s="225">
        <f t="shared" si="43"/>
        <v>-1.0000000000000009E-2</v>
      </c>
      <c r="T232" s="225" t="str" cm="1">
        <f t="array" ref="T232">+_xlfn.IFS($P232&lt;=10000000000,IF(S232&gt;-0.05,"Verde",IF(S232&lt;=-0.1,"Rojo","Amarillo")),$P232&gt;10000000000,IF(S232&gt;-0.03,"Verde",IF(S232&lt;=-0.07,"Rojo","Amarillo")))</f>
        <v>Verde</v>
      </c>
      <c r="U232" s="226">
        <v>45244</v>
      </c>
      <c r="V232" s="226">
        <v>45267</v>
      </c>
      <c r="W232" s="226">
        <v>45267</v>
      </c>
      <c r="X232" s="226">
        <v>45291</v>
      </c>
      <c r="Y232" s="272">
        <v>45595</v>
      </c>
      <c r="Z232" s="225" t="str">
        <f t="shared" ref="Z232:Z297" ca="1" si="45">+IF(AND(O232="En_Ejecución",OR(T232="Rojo",T232="Amarillo")),IF(($Y232-(TODAY())&lt;15),"Rojo",IF(($Y232-TODAY())&gt;=45,"Verde","Amarillo")),O232)</f>
        <v>En_Ejecución</v>
      </c>
      <c r="AA232" s="225" t="str">
        <f t="shared" ref="AA232:AA294" ca="1" si="46">+IF(AND(Z232="Amarillo",T232="Rojo"),"En_Seguimiento",IF(AND(Z232="Rojo",T232="Amarillo"),"En_Seguimiento",IF(AND(Z232="Rojo",T232="Rojo"),"En_Seguimiento",IF(AND(Z232="Suspendido",T232="Amarillo"),"En_Seguimiento",IF(AND(Z232="Suspendido",T232="Rojo"),"En_Seguimiento","-")))))</f>
        <v>-</v>
      </c>
      <c r="AB232" s="273" t="s">
        <v>128</v>
      </c>
      <c r="AC232" s="272"/>
      <c r="AD232" s="227">
        <v>45575</v>
      </c>
      <c r="AE232" s="221" t="s">
        <v>1477</v>
      </c>
      <c r="AF232" s="223" t="s">
        <v>1478</v>
      </c>
      <c r="AG232" s="223" t="s">
        <v>25</v>
      </c>
      <c r="AH232" s="223" t="s">
        <v>176</v>
      </c>
      <c r="AI232" s="221" t="s">
        <v>1479</v>
      </c>
      <c r="AJ232" s="223" t="s">
        <v>1480</v>
      </c>
      <c r="AK232" s="223" t="s">
        <v>1481</v>
      </c>
      <c r="AL232" s="230" t="s">
        <v>1482</v>
      </c>
      <c r="AM232" s="231">
        <v>1000000000</v>
      </c>
      <c r="AN232" s="231">
        <v>0</v>
      </c>
      <c r="AO232" s="231">
        <f t="shared" ref="AO232:AO297" si="47">AM232+AN232</f>
        <v>1000000000</v>
      </c>
      <c r="AP232" s="231">
        <v>0</v>
      </c>
      <c r="AQ232" s="231">
        <v>0</v>
      </c>
      <c r="AR232" s="231">
        <v>190916375</v>
      </c>
      <c r="AS232" s="231">
        <v>0</v>
      </c>
      <c r="AT232" s="231">
        <f t="shared" ref="AT232:AT263" si="48">+AR232+AS232</f>
        <v>190916375</v>
      </c>
      <c r="AU232" s="231">
        <v>0</v>
      </c>
      <c r="AV232" s="231">
        <v>0</v>
      </c>
      <c r="AW232" s="232" t="s">
        <v>1483</v>
      </c>
      <c r="AX232" s="232" t="s">
        <v>1484</v>
      </c>
      <c r="AY232" s="232"/>
      <c r="AZ232" s="232"/>
      <c r="BA232" s="221"/>
      <c r="BB232" s="221" t="s">
        <v>1485</v>
      </c>
      <c r="BC232" s="233" t="s">
        <v>364</v>
      </c>
      <c r="BF232" s="51"/>
    </row>
    <row r="233" spans="1:58" ht="13.5" customHeight="1">
      <c r="A233" s="220">
        <f t="shared" si="42"/>
        <v>232</v>
      </c>
      <c r="B233" s="221" t="s">
        <v>1471</v>
      </c>
      <c r="C233" s="221" t="s">
        <v>25</v>
      </c>
      <c r="D233" s="221" t="s">
        <v>365</v>
      </c>
      <c r="E233" s="221" t="s">
        <v>326</v>
      </c>
      <c r="F233" s="221" t="s">
        <v>1472</v>
      </c>
      <c r="G233" s="222" t="s">
        <v>1486</v>
      </c>
      <c r="H233" s="221" t="s">
        <v>154</v>
      </c>
      <c r="I233" s="221" t="s">
        <v>1487</v>
      </c>
      <c r="J233" s="221" t="s">
        <v>1488</v>
      </c>
      <c r="K233" s="221" t="s">
        <v>1489</v>
      </c>
      <c r="L233" s="221">
        <v>-74.834222222222195</v>
      </c>
      <c r="M233" s="221">
        <v>10.9613333333333</v>
      </c>
      <c r="N233" s="223" t="s">
        <v>126</v>
      </c>
      <c r="O233" s="230" t="s">
        <v>127</v>
      </c>
      <c r="P233" s="224">
        <f t="shared" si="44"/>
        <v>1390916375</v>
      </c>
      <c r="Q233" s="225">
        <v>1</v>
      </c>
      <c r="R233" s="225">
        <v>1</v>
      </c>
      <c r="S233" s="225">
        <f t="shared" si="43"/>
        <v>0</v>
      </c>
      <c r="T233" s="225" t="str" cm="1">
        <f t="array" ref="T233">+_xlfn.IFS($P233&lt;=10000000000,IF(S233&gt;-0.05,"Verde",IF(S233&lt;=-0.1,"Rojo","Amarillo")),$P233&gt;10000000000,IF(S233&gt;-0.03,"Verde",IF(S233&lt;=-0.07,"Rojo","Amarillo")))</f>
        <v>Verde</v>
      </c>
      <c r="U233" s="226">
        <v>45244</v>
      </c>
      <c r="V233" s="226">
        <v>45267</v>
      </c>
      <c r="W233" s="226">
        <v>45267</v>
      </c>
      <c r="X233" s="226">
        <v>45291</v>
      </c>
      <c r="Y233" s="272">
        <v>45595</v>
      </c>
      <c r="Z233" s="225" t="str">
        <f t="shared" ca="1" si="45"/>
        <v>Terminado</v>
      </c>
      <c r="AA233" s="225" t="str">
        <f t="shared" ca="1" si="46"/>
        <v>-</v>
      </c>
      <c r="AB233" s="273" t="s">
        <v>128</v>
      </c>
      <c r="AC233" s="272"/>
      <c r="AD233" s="227">
        <v>45524</v>
      </c>
      <c r="AE233" s="221" t="s">
        <v>1477</v>
      </c>
      <c r="AF233" s="223" t="s">
        <v>1478</v>
      </c>
      <c r="AG233" s="223" t="s">
        <v>25</v>
      </c>
      <c r="AH233" s="223" t="s">
        <v>176</v>
      </c>
      <c r="AI233" s="221" t="s">
        <v>1479</v>
      </c>
      <c r="AJ233" s="223" t="s">
        <v>1480</v>
      </c>
      <c r="AK233" s="223" t="s">
        <v>1481</v>
      </c>
      <c r="AL233" s="230" t="s">
        <v>1482</v>
      </c>
      <c r="AM233" s="231">
        <v>1200000000</v>
      </c>
      <c r="AN233" s="231">
        <v>0</v>
      </c>
      <c r="AO233" s="231">
        <f t="shared" si="47"/>
        <v>1200000000</v>
      </c>
      <c r="AP233" s="231">
        <v>0</v>
      </c>
      <c r="AQ233" s="231">
        <v>0</v>
      </c>
      <c r="AR233" s="231">
        <v>190916375</v>
      </c>
      <c r="AS233" s="231">
        <v>0</v>
      </c>
      <c r="AT233" s="231">
        <f t="shared" si="48"/>
        <v>190916375</v>
      </c>
      <c r="AU233" s="231">
        <v>0</v>
      </c>
      <c r="AV233" s="231">
        <v>0</v>
      </c>
      <c r="AW233" s="232" t="s">
        <v>1483</v>
      </c>
      <c r="AX233" s="232" t="s">
        <v>1490</v>
      </c>
      <c r="AY233" s="232"/>
      <c r="AZ233" s="232"/>
      <c r="BA233" s="221"/>
      <c r="BB233" s="221" t="s">
        <v>1491</v>
      </c>
      <c r="BC233" s="233" t="s">
        <v>364</v>
      </c>
      <c r="BF233" s="51"/>
    </row>
    <row r="234" spans="1:58" ht="13.5" customHeight="1">
      <c r="A234" s="220">
        <f t="shared" si="42"/>
        <v>233</v>
      </c>
      <c r="B234" s="221" t="s">
        <v>1471</v>
      </c>
      <c r="C234" s="221" t="s">
        <v>25</v>
      </c>
      <c r="D234" s="221" t="s">
        <v>365</v>
      </c>
      <c r="E234" s="221" t="s">
        <v>326</v>
      </c>
      <c r="F234" s="221" t="s">
        <v>1472</v>
      </c>
      <c r="G234" s="222" t="s">
        <v>1492</v>
      </c>
      <c r="H234" s="221" t="s">
        <v>163</v>
      </c>
      <c r="I234" s="221" t="s">
        <v>1493</v>
      </c>
      <c r="J234" s="221" t="s">
        <v>1494</v>
      </c>
      <c r="K234" s="221" t="s">
        <v>1495</v>
      </c>
      <c r="L234" s="221">
        <v>-74.828194444444406</v>
      </c>
      <c r="M234" s="221">
        <v>10.935750000000001</v>
      </c>
      <c r="N234" s="223" t="s">
        <v>126</v>
      </c>
      <c r="O234" s="230" t="s">
        <v>127</v>
      </c>
      <c r="P234" s="224">
        <f t="shared" si="44"/>
        <v>1521916375</v>
      </c>
      <c r="Q234" s="225">
        <v>1</v>
      </c>
      <c r="R234" s="225">
        <v>1</v>
      </c>
      <c r="S234" s="225">
        <f t="shared" si="43"/>
        <v>0</v>
      </c>
      <c r="T234" s="225" t="str" cm="1">
        <f t="array" ref="T234">+_xlfn.IFS($P234&lt;=10000000000,IF(S234&gt;-0.05,"Verde",IF(S234&lt;=-0.1,"Rojo","Amarillo")),$P234&gt;10000000000,IF(S234&gt;-0.03,"Verde",IF(S234&lt;=-0.07,"Rojo","Amarillo")))</f>
        <v>Verde</v>
      </c>
      <c r="U234" s="226">
        <v>45244</v>
      </c>
      <c r="V234" s="226">
        <v>45267</v>
      </c>
      <c r="W234" s="226">
        <v>45267</v>
      </c>
      <c r="X234" s="226">
        <v>45291</v>
      </c>
      <c r="Y234" s="272">
        <v>45595</v>
      </c>
      <c r="Z234" s="225" t="str">
        <f t="shared" ca="1" si="45"/>
        <v>Terminado</v>
      </c>
      <c r="AA234" s="225" t="str">
        <f t="shared" ca="1" si="46"/>
        <v>-</v>
      </c>
      <c r="AB234" s="273" t="s">
        <v>128</v>
      </c>
      <c r="AC234" s="272"/>
      <c r="AD234" s="227">
        <v>45500</v>
      </c>
      <c r="AE234" s="221" t="s">
        <v>1477</v>
      </c>
      <c r="AF234" s="223" t="s">
        <v>1478</v>
      </c>
      <c r="AG234" s="223" t="s">
        <v>25</v>
      </c>
      <c r="AH234" s="223" t="s">
        <v>176</v>
      </c>
      <c r="AI234" s="221" t="s">
        <v>1479</v>
      </c>
      <c r="AJ234" s="223" t="s">
        <v>1480</v>
      </c>
      <c r="AK234" s="223" t="s">
        <v>1481</v>
      </c>
      <c r="AL234" s="230" t="s">
        <v>1482</v>
      </c>
      <c r="AM234" s="231">
        <v>1331000000</v>
      </c>
      <c r="AN234" s="231">
        <v>0</v>
      </c>
      <c r="AO234" s="231">
        <f t="shared" si="47"/>
        <v>1331000000</v>
      </c>
      <c r="AP234" s="231"/>
      <c r="AQ234" s="231">
        <v>0</v>
      </c>
      <c r="AR234" s="231">
        <v>190916375</v>
      </c>
      <c r="AS234" s="231">
        <v>0</v>
      </c>
      <c r="AT234" s="231">
        <f t="shared" si="48"/>
        <v>190916375</v>
      </c>
      <c r="AU234" s="231">
        <v>0</v>
      </c>
      <c r="AV234" s="231">
        <v>0</v>
      </c>
      <c r="AW234" s="232" t="s">
        <v>1483</v>
      </c>
      <c r="AX234" s="232" t="s">
        <v>1496</v>
      </c>
      <c r="AY234" s="232"/>
      <c r="AZ234" s="232"/>
      <c r="BA234" s="221"/>
      <c r="BB234" s="221" t="s">
        <v>1485</v>
      </c>
      <c r="BC234" s="233" t="s">
        <v>364</v>
      </c>
      <c r="BF234" s="51"/>
    </row>
    <row r="235" spans="1:58" ht="13.5" customHeight="1">
      <c r="A235" s="220">
        <f t="shared" si="42"/>
        <v>234</v>
      </c>
      <c r="B235" s="221" t="s">
        <v>1471</v>
      </c>
      <c r="C235" s="221" t="s">
        <v>25</v>
      </c>
      <c r="D235" s="221" t="s">
        <v>365</v>
      </c>
      <c r="E235" s="221" t="s">
        <v>326</v>
      </c>
      <c r="F235" s="221" t="s">
        <v>1472</v>
      </c>
      <c r="G235" s="222" t="s">
        <v>1497</v>
      </c>
      <c r="H235" s="221" t="s">
        <v>154</v>
      </c>
      <c r="I235" s="221" t="s">
        <v>1498</v>
      </c>
      <c r="J235" s="221" t="s">
        <v>1499</v>
      </c>
      <c r="K235" s="221" t="s">
        <v>1500</v>
      </c>
      <c r="L235" s="221">
        <v>-74.821111111111094</v>
      </c>
      <c r="M235" s="221">
        <v>10.9608611111111</v>
      </c>
      <c r="N235" s="223" t="s">
        <v>126</v>
      </c>
      <c r="O235" s="230" t="s">
        <v>127</v>
      </c>
      <c r="P235" s="224">
        <f t="shared" si="44"/>
        <v>959916375</v>
      </c>
      <c r="Q235" s="225">
        <v>1</v>
      </c>
      <c r="R235" s="225">
        <v>0.87</v>
      </c>
      <c r="S235" s="225">
        <f t="shared" si="43"/>
        <v>-0.13</v>
      </c>
      <c r="T235" s="225" t="str" cm="1">
        <f t="array" ref="T235">+_xlfn.IFS($P235&lt;=10000000000,IF(S235&gt;-0.05,"Verde",IF(S235&lt;=-0.1,"Rojo","Amarillo")),$P235&gt;10000000000,IF(S235&gt;-0.03,"Verde",IF(S235&lt;=-0.07,"Rojo","Amarillo")))</f>
        <v>Rojo</v>
      </c>
      <c r="U235" s="226">
        <v>45244</v>
      </c>
      <c r="V235" s="226">
        <v>45267</v>
      </c>
      <c r="W235" s="226">
        <v>45267</v>
      </c>
      <c r="X235" s="226">
        <v>45291</v>
      </c>
      <c r="Y235" s="272">
        <v>45595</v>
      </c>
      <c r="Z235" s="225" t="str">
        <f t="shared" ca="1" si="45"/>
        <v>Terminado</v>
      </c>
      <c r="AA235" s="225" t="str">
        <f t="shared" ca="1" si="46"/>
        <v>-</v>
      </c>
      <c r="AB235" s="273" t="s">
        <v>128</v>
      </c>
      <c r="AC235" s="272"/>
      <c r="AD235" s="227">
        <v>45611</v>
      </c>
      <c r="AE235" s="221" t="s">
        <v>1477</v>
      </c>
      <c r="AF235" s="223" t="s">
        <v>1478</v>
      </c>
      <c r="AG235" s="223" t="s">
        <v>25</v>
      </c>
      <c r="AH235" s="223" t="s">
        <v>176</v>
      </c>
      <c r="AI235" s="221" t="s">
        <v>1479</v>
      </c>
      <c r="AJ235" s="223" t="s">
        <v>1480</v>
      </c>
      <c r="AK235" s="223" t="s">
        <v>1481</v>
      </c>
      <c r="AL235" s="230" t="s">
        <v>1482</v>
      </c>
      <c r="AM235" s="231">
        <v>769000000</v>
      </c>
      <c r="AN235" s="231">
        <v>0</v>
      </c>
      <c r="AO235" s="231">
        <f t="shared" si="47"/>
        <v>769000000</v>
      </c>
      <c r="AP235" s="231">
        <v>0</v>
      </c>
      <c r="AQ235" s="231">
        <v>0</v>
      </c>
      <c r="AR235" s="231">
        <v>190916375</v>
      </c>
      <c r="AS235" s="231">
        <v>0</v>
      </c>
      <c r="AT235" s="231">
        <f t="shared" si="48"/>
        <v>190916375</v>
      </c>
      <c r="AU235" s="231">
        <v>0</v>
      </c>
      <c r="AV235" s="231">
        <v>0</v>
      </c>
      <c r="AW235" s="232" t="s">
        <v>1483</v>
      </c>
      <c r="AX235" s="232" t="s">
        <v>1501</v>
      </c>
      <c r="AY235" s="232"/>
      <c r="AZ235" s="232"/>
      <c r="BA235" s="221"/>
      <c r="BB235" s="221" t="s">
        <v>1485</v>
      </c>
      <c r="BC235" s="233" t="s">
        <v>364</v>
      </c>
      <c r="BF235" s="51"/>
    </row>
    <row r="236" spans="1:58" ht="13.5" customHeight="1">
      <c r="A236" s="220">
        <f t="shared" si="42"/>
        <v>235</v>
      </c>
      <c r="B236" s="221" t="s">
        <v>1502</v>
      </c>
      <c r="C236" s="221" t="s">
        <v>25</v>
      </c>
      <c r="D236" s="221" t="s">
        <v>118</v>
      </c>
      <c r="E236" s="221" t="s">
        <v>596</v>
      </c>
      <c r="F236" s="221" t="s">
        <v>597</v>
      </c>
      <c r="G236" s="222" t="s">
        <v>1503</v>
      </c>
      <c r="H236" s="221" t="s">
        <v>163</v>
      </c>
      <c r="I236" s="221" t="s">
        <v>1504</v>
      </c>
      <c r="J236" s="221"/>
      <c r="K236" s="221" t="s">
        <v>1505</v>
      </c>
      <c r="L236" s="221"/>
      <c r="M236" s="221"/>
      <c r="N236" s="223" t="s">
        <v>1506</v>
      </c>
      <c r="O236" s="230" t="s">
        <v>1507</v>
      </c>
      <c r="P236" s="224">
        <f t="shared" si="44"/>
        <v>0</v>
      </c>
      <c r="Q236" s="225">
        <v>0</v>
      </c>
      <c r="R236" s="225">
        <v>0</v>
      </c>
      <c r="S236" s="225">
        <f t="shared" si="43"/>
        <v>0</v>
      </c>
      <c r="T236" s="225" t="str" cm="1">
        <f t="array" ref="T236">+_xlfn.IFS($P236&lt;=10000000000,IF(S236&gt;-0.05,"Verde",IF(S236&lt;=-0.1,"Rojo","Amarillo")),$P236&gt;10000000000,IF(S236&gt;-0.03,"Verde",IF(S236&lt;=-0.07,"Rojo","Amarillo")))</f>
        <v>Verde</v>
      </c>
      <c r="U236" s="226"/>
      <c r="V236" s="226"/>
      <c r="W236" s="226"/>
      <c r="X236" s="226"/>
      <c r="Y236" s="272"/>
      <c r="Z236" s="225" t="str">
        <f t="shared" ca="1" si="45"/>
        <v>Proyecto_Fase_I_Prefactibilidad</v>
      </c>
      <c r="AA236" s="225" t="str">
        <f t="shared" ca="1" si="46"/>
        <v>-</v>
      </c>
      <c r="AB236" s="273"/>
      <c r="AC236" s="272"/>
      <c r="AD236" s="227">
        <v>0</v>
      </c>
      <c r="AE236" s="221">
        <v>0</v>
      </c>
      <c r="AF236" s="223">
        <v>0</v>
      </c>
      <c r="AG236" s="223" t="s">
        <v>341</v>
      </c>
      <c r="AH236" s="223" t="s">
        <v>341</v>
      </c>
      <c r="AI236" s="221" t="s">
        <v>341</v>
      </c>
      <c r="AJ236" s="223" t="s">
        <v>341</v>
      </c>
      <c r="AK236" s="223" t="s">
        <v>341</v>
      </c>
      <c r="AL236" s="230" t="s">
        <v>341</v>
      </c>
      <c r="AM236" s="231">
        <v>0</v>
      </c>
      <c r="AN236" s="231">
        <v>0</v>
      </c>
      <c r="AO236" s="231">
        <f t="shared" si="47"/>
        <v>0</v>
      </c>
      <c r="AP236" s="231">
        <v>0</v>
      </c>
      <c r="AQ236" s="231">
        <v>0</v>
      </c>
      <c r="AR236" s="231">
        <v>0</v>
      </c>
      <c r="AS236" s="231">
        <v>0</v>
      </c>
      <c r="AT236" s="231">
        <f t="shared" si="48"/>
        <v>0</v>
      </c>
      <c r="AU236" s="231">
        <v>0</v>
      </c>
      <c r="AV236" s="231">
        <v>0</v>
      </c>
      <c r="AW236" s="232"/>
      <c r="AX236" s="232"/>
      <c r="AY236" s="232"/>
      <c r="AZ236" s="232"/>
      <c r="BA236" s="221" t="s">
        <v>1508</v>
      </c>
      <c r="BB236" s="221" t="s">
        <v>1509</v>
      </c>
      <c r="BC236" s="233" t="s">
        <v>128</v>
      </c>
      <c r="BF236" s="51"/>
    </row>
    <row r="237" spans="1:58" ht="13.5" customHeight="1">
      <c r="A237" s="220">
        <f t="shared" si="42"/>
        <v>236</v>
      </c>
      <c r="B237" s="221" t="s">
        <v>1502</v>
      </c>
      <c r="C237" s="221" t="s">
        <v>341</v>
      </c>
      <c r="D237" s="221" t="s">
        <v>118</v>
      </c>
      <c r="E237" s="221" t="s">
        <v>314</v>
      </c>
      <c r="F237" s="221" t="s">
        <v>395</v>
      </c>
      <c r="G237" s="222" t="s">
        <v>1510</v>
      </c>
      <c r="H237" s="221" t="s">
        <v>1511</v>
      </c>
      <c r="I237" s="221" t="s">
        <v>1512</v>
      </c>
      <c r="J237" s="221"/>
      <c r="K237" s="221"/>
      <c r="L237" s="221"/>
      <c r="M237" s="221"/>
      <c r="N237" s="223" t="s">
        <v>1506</v>
      </c>
      <c r="O237" s="230" t="s">
        <v>1507</v>
      </c>
      <c r="P237" s="224">
        <f t="shared" si="44"/>
        <v>0</v>
      </c>
      <c r="Q237" s="225">
        <v>0</v>
      </c>
      <c r="R237" s="225">
        <v>0</v>
      </c>
      <c r="S237" s="225">
        <f t="shared" si="43"/>
        <v>0</v>
      </c>
      <c r="T237" s="225" t="str" cm="1">
        <f t="array" ref="T237">+_xlfn.IFS($P237&lt;=10000000000,IF(S237&gt;-0.05,"Verde",IF(S237&lt;=-0.1,"Rojo","Amarillo")),$P237&gt;10000000000,IF(S237&gt;-0.03,"Verde",IF(S237&lt;=-0.07,"Rojo","Amarillo")))</f>
        <v>Verde</v>
      </c>
      <c r="U237" s="226"/>
      <c r="V237" s="226"/>
      <c r="W237" s="226"/>
      <c r="X237" s="226"/>
      <c r="Y237" s="272"/>
      <c r="Z237" s="225" t="str">
        <f t="shared" ca="1" si="45"/>
        <v>Proyecto_Fase_I_Prefactibilidad</v>
      </c>
      <c r="AA237" s="225" t="str">
        <f t="shared" ca="1" si="46"/>
        <v>-</v>
      </c>
      <c r="AB237" s="273"/>
      <c r="AC237" s="272"/>
      <c r="AD237" s="227">
        <v>0</v>
      </c>
      <c r="AE237" s="221">
        <v>0</v>
      </c>
      <c r="AF237" s="223">
        <v>0</v>
      </c>
      <c r="AG237" s="223" t="s">
        <v>341</v>
      </c>
      <c r="AH237" s="223" t="s">
        <v>341</v>
      </c>
      <c r="AI237" s="221" t="s">
        <v>341</v>
      </c>
      <c r="AJ237" s="223" t="s">
        <v>341</v>
      </c>
      <c r="AK237" s="223" t="s">
        <v>341</v>
      </c>
      <c r="AL237" s="230" t="s">
        <v>341</v>
      </c>
      <c r="AM237" s="231">
        <v>0</v>
      </c>
      <c r="AN237" s="231">
        <v>0</v>
      </c>
      <c r="AO237" s="231">
        <f t="shared" si="47"/>
        <v>0</v>
      </c>
      <c r="AP237" s="231">
        <v>0</v>
      </c>
      <c r="AQ237" s="231">
        <v>0</v>
      </c>
      <c r="AR237" s="231">
        <v>0</v>
      </c>
      <c r="AS237" s="231">
        <v>0</v>
      </c>
      <c r="AT237" s="231">
        <f t="shared" si="48"/>
        <v>0</v>
      </c>
      <c r="AU237" s="231">
        <v>0</v>
      </c>
      <c r="AV237" s="231">
        <v>0</v>
      </c>
      <c r="AW237" s="232"/>
      <c r="AX237" s="232"/>
      <c r="AY237" s="232"/>
      <c r="AZ237" s="232"/>
      <c r="BA237" s="221" t="s">
        <v>1513</v>
      </c>
      <c r="BB237" s="221" t="s">
        <v>1514</v>
      </c>
      <c r="BC237" s="233" t="s">
        <v>128</v>
      </c>
      <c r="BF237" s="51"/>
    </row>
    <row r="238" spans="1:58" ht="13.5" customHeight="1">
      <c r="A238" s="220">
        <f t="shared" si="42"/>
        <v>237</v>
      </c>
      <c r="B238" s="221" t="s">
        <v>1502</v>
      </c>
      <c r="C238" s="221" t="s">
        <v>341</v>
      </c>
      <c r="D238" s="221" t="s">
        <v>118</v>
      </c>
      <c r="E238" s="221" t="s">
        <v>408</v>
      </c>
      <c r="F238" s="221" t="s">
        <v>1515</v>
      </c>
      <c r="G238" s="222" t="s">
        <v>1516</v>
      </c>
      <c r="H238" s="221" t="s">
        <v>397</v>
      </c>
      <c r="I238" s="221" t="s">
        <v>1517</v>
      </c>
      <c r="J238" s="221"/>
      <c r="K238" s="221" t="s">
        <v>1518</v>
      </c>
      <c r="L238" s="221">
        <v>-74.788222222222203</v>
      </c>
      <c r="M238" s="221">
        <v>11.015083333333299</v>
      </c>
      <c r="N238" s="223" t="s">
        <v>228</v>
      </c>
      <c r="O238" s="230" t="s">
        <v>229</v>
      </c>
      <c r="P238" s="224">
        <f t="shared" si="44"/>
        <v>9623447391</v>
      </c>
      <c r="Q238" s="225">
        <v>0.63</v>
      </c>
      <c r="R238" s="225">
        <v>0.62819999999999998</v>
      </c>
      <c r="S238" s="225">
        <f t="shared" si="43"/>
        <v>-1.8000000000000238E-3</v>
      </c>
      <c r="T238" s="225" t="str" cm="1">
        <f t="array" ref="T238">+_xlfn.IFS($P238&lt;=10000000000,IF(S238&gt;-0.05,"Verde",IF(S238&lt;=-0.1,"Rojo","Amarillo")),$P238&gt;10000000000,IF(S238&gt;-0.03,"Verde",IF(S238&lt;=-0.07,"Rojo","Amarillo")))</f>
        <v>Verde</v>
      </c>
      <c r="U238" s="226"/>
      <c r="V238" s="226"/>
      <c r="W238" s="226">
        <v>45478</v>
      </c>
      <c r="X238" s="226">
        <v>46022</v>
      </c>
      <c r="Y238" s="272">
        <v>46022</v>
      </c>
      <c r="Z238" s="225" t="str">
        <f t="shared" ca="1" si="45"/>
        <v>En_Ejecución</v>
      </c>
      <c r="AA238" s="225" t="str">
        <f t="shared" ca="1" si="46"/>
        <v>-</v>
      </c>
      <c r="AB238" s="273"/>
      <c r="AC238" s="272"/>
      <c r="AD238" s="227">
        <v>0</v>
      </c>
      <c r="AE238" s="221">
        <v>5978266601</v>
      </c>
      <c r="AF238" s="223">
        <v>0</v>
      </c>
      <c r="AG238" s="223" t="s">
        <v>341</v>
      </c>
      <c r="AH238" s="223" t="s">
        <v>341</v>
      </c>
      <c r="AI238" s="221" t="s">
        <v>341</v>
      </c>
      <c r="AJ238" s="223" t="s">
        <v>341</v>
      </c>
      <c r="AK238" s="223" t="s">
        <v>341</v>
      </c>
      <c r="AL238" s="230" t="s">
        <v>341</v>
      </c>
      <c r="AM238" s="231">
        <v>5978266601</v>
      </c>
      <c r="AN238" s="231">
        <v>2882496748</v>
      </c>
      <c r="AO238" s="231">
        <f t="shared" si="47"/>
        <v>8860763349</v>
      </c>
      <c r="AP238" s="231">
        <v>5571067976.2259998</v>
      </c>
      <c r="AQ238" s="231">
        <v>3665527512.2259998</v>
      </c>
      <c r="AR238" s="231">
        <v>476677526</v>
      </c>
      <c r="AS238" s="231">
        <v>286006516</v>
      </c>
      <c r="AT238" s="231">
        <f t="shared" si="48"/>
        <v>762684042</v>
      </c>
      <c r="AU238" s="231">
        <v>131959472</v>
      </c>
      <c r="AV238" s="231">
        <v>131959472</v>
      </c>
      <c r="AW238" s="232"/>
      <c r="AX238" s="232"/>
      <c r="AY238" s="232"/>
      <c r="AZ238" s="232"/>
      <c r="BA238" s="221" t="s">
        <v>2500</v>
      </c>
      <c r="BB238" s="221" t="s">
        <v>2501</v>
      </c>
      <c r="BC238" s="233" t="s">
        <v>128</v>
      </c>
      <c r="BF238" s="51"/>
    </row>
    <row r="239" spans="1:58" ht="13.5" customHeight="1">
      <c r="A239" s="220">
        <f t="shared" si="42"/>
        <v>238</v>
      </c>
      <c r="B239" s="221" t="s">
        <v>1502</v>
      </c>
      <c r="C239" s="221" t="s">
        <v>341</v>
      </c>
      <c r="D239" s="221" t="s">
        <v>118</v>
      </c>
      <c r="E239" s="221" t="s">
        <v>119</v>
      </c>
      <c r="F239" s="221" t="s">
        <v>1519</v>
      </c>
      <c r="G239" s="222" t="s">
        <v>2442</v>
      </c>
      <c r="H239" s="221" t="s">
        <v>1511</v>
      </c>
      <c r="I239" s="221" t="s">
        <v>1512</v>
      </c>
      <c r="J239" s="221"/>
      <c r="K239" s="221" t="s">
        <v>1520</v>
      </c>
      <c r="L239" s="221"/>
      <c r="M239" s="221"/>
      <c r="N239" s="223" t="s">
        <v>1506</v>
      </c>
      <c r="O239" s="230" t="s">
        <v>1507</v>
      </c>
      <c r="P239" s="224">
        <f t="shared" si="44"/>
        <v>0</v>
      </c>
      <c r="Q239" s="225">
        <v>0</v>
      </c>
      <c r="R239" s="225">
        <v>0</v>
      </c>
      <c r="S239" s="225">
        <f t="shared" si="43"/>
        <v>0</v>
      </c>
      <c r="T239" s="225" t="str" cm="1">
        <f t="array" ref="T239">+_xlfn.IFS($P239&lt;=10000000000,IF(S239&gt;-0.05,"Verde",IF(S239&lt;=-0.1,"Rojo","Amarillo")),$P239&gt;10000000000,IF(S239&gt;-0.03,"Verde",IF(S239&lt;=-0.07,"Rojo","Amarillo")))</f>
        <v>Verde</v>
      </c>
      <c r="U239" s="226"/>
      <c r="V239" s="226"/>
      <c r="W239" s="226"/>
      <c r="X239" s="226"/>
      <c r="Y239" s="272"/>
      <c r="Z239" s="225" t="str">
        <f t="shared" ca="1" si="45"/>
        <v>Proyecto_Fase_I_Prefactibilidad</v>
      </c>
      <c r="AA239" s="225" t="str">
        <f t="shared" ca="1" si="46"/>
        <v>-</v>
      </c>
      <c r="AB239" s="273"/>
      <c r="AC239" s="272"/>
      <c r="AD239" s="227">
        <v>0</v>
      </c>
      <c r="AE239" s="221">
        <v>0</v>
      </c>
      <c r="AF239" s="223">
        <v>0</v>
      </c>
      <c r="AG239" s="223" t="s">
        <v>341</v>
      </c>
      <c r="AH239" s="223" t="s">
        <v>341</v>
      </c>
      <c r="AI239" s="221" t="s">
        <v>341</v>
      </c>
      <c r="AJ239" s="223" t="s">
        <v>341</v>
      </c>
      <c r="AK239" s="223" t="s">
        <v>341</v>
      </c>
      <c r="AL239" s="230" t="s">
        <v>341</v>
      </c>
      <c r="AM239" s="231">
        <v>0</v>
      </c>
      <c r="AN239" s="231">
        <v>0</v>
      </c>
      <c r="AO239" s="231">
        <f t="shared" si="47"/>
        <v>0</v>
      </c>
      <c r="AP239" s="231">
        <v>0</v>
      </c>
      <c r="AQ239" s="231">
        <v>0</v>
      </c>
      <c r="AR239" s="231">
        <v>0</v>
      </c>
      <c r="AS239" s="231">
        <v>0</v>
      </c>
      <c r="AT239" s="231">
        <f t="shared" si="48"/>
        <v>0</v>
      </c>
      <c r="AU239" s="231">
        <v>0</v>
      </c>
      <c r="AV239" s="231">
        <v>0</v>
      </c>
      <c r="AW239" s="232"/>
      <c r="AX239" s="232"/>
      <c r="AY239" s="232"/>
      <c r="AZ239" s="232"/>
      <c r="BA239" s="221" t="s">
        <v>1521</v>
      </c>
      <c r="BB239" s="221" t="s">
        <v>2443</v>
      </c>
      <c r="BC239" s="233" t="s">
        <v>128</v>
      </c>
      <c r="BF239" s="51"/>
    </row>
    <row r="240" spans="1:58" ht="13.5" customHeight="1">
      <c r="A240" s="220">
        <f t="shared" si="42"/>
        <v>239</v>
      </c>
      <c r="B240" s="221" t="s">
        <v>1502</v>
      </c>
      <c r="C240" s="221" t="s">
        <v>1522</v>
      </c>
      <c r="D240" s="221" t="s">
        <v>365</v>
      </c>
      <c r="E240" s="221" t="s">
        <v>326</v>
      </c>
      <c r="F240" s="221" t="s">
        <v>1519</v>
      </c>
      <c r="G240" s="222" t="s">
        <v>1523</v>
      </c>
      <c r="H240" s="221" t="s">
        <v>1511</v>
      </c>
      <c r="I240" s="221" t="s">
        <v>1512</v>
      </c>
      <c r="J240" s="221"/>
      <c r="K240" s="221"/>
      <c r="L240" s="221"/>
      <c r="M240" s="221"/>
      <c r="N240" s="223" t="s">
        <v>126</v>
      </c>
      <c r="O240" s="230" t="s">
        <v>127</v>
      </c>
      <c r="P240" s="224">
        <f t="shared" si="44"/>
        <v>3555126190</v>
      </c>
      <c r="Q240" s="225">
        <v>1</v>
      </c>
      <c r="R240" s="225">
        <v>1</v>
      </c>
      <c r="S240" s="225">
        <f t="shared" si="43"/>
        <v>0</v>
      </c>
      <c r="T240" s="225" t="str" cm="1">
        <f t="array" ref="T240">+_xlfn.IFS($P240&lt;=10000000000,IF(S240&gt;-0.05,"Verde",IF(S240&lt;=-0.1,"Rojo","Amarillo")),$P240&gt;10000000000,IF(S240&gt;-0.03,"Verde",IF(S240&lt;=-0.07,"Rojo","Amarillo")))</f>
        <v>Verde</v>
      </c>
      <c r="U240" s="226"/>
      <c r="V240" s="226"/>
      <c r="W240" s="226">
        <v>44529</v>
      </c>
      <c r="X240" s="226">
        <v>44561</v>
      </c>
      <c r="Y240" s="272">
        <v>45412</v>
      </c>
      <c r="Z240" s="225" t="str">
        <f t="shared" ca="1" si="45"/>
        <v>Terminado</v>
      </c>
      <c r="AA240" s="225" t="str">
        <f t="shared" ca="1" si="46"/>
        <v>-</v>
      </c>
      <c r="AB240" s="273"/>
      <c r="AC240" s="272"/>
      <c r="AD240" s="227">
        <v>45412</v>
      </c>
      <c r="AE240" s="221">
        <v>3207050000</v>
      </c>
      <c r="AF240" s="223">
        <v>348076190</v>
      </c>
      <c r="AG240" s="223" t="s">
        <v>341</v>
      </c>
      <c r="AH240" s="223" t="s">
        <v>341</v>
      </c>
      <c r="AI240" s="221" t="s">
        <v>341</v>
      </c>
      <c r="AJ240" s="223" t="s">
        <v>341</v>
      </c>
      <c r="AK240" s="223" t="s">
        <v>341</v>
      </c>
      <c r="AL240" s="230" t="s">
        <v>341</v>
      </c>
      <c r="AM240" s="231">
        <v>3207050000</v>
      </c>
      <c r="AN240" s="231">
        <v>348076190</v>
      </c>
      <c r="AO240" s="231">
        <f t="shared" si="47"/>
        <v>3555126190</v>
      </c>
      <c r="AP240" s="231">
        <v>1122467500</v>
      </c>
      <c r="AQ240" s="231">
        <v>1122467500</v>
      </c>
      <c r="AR240" s="231">
        <v>0</v>
      </c>
      <c r="AS240" s="231">
        <v>0</v>
      </c>
      <c r="AT240" s="231">
        <f t="shared" si="48"/>
        <v>0</v>
      </c>
      <c r="AU240" s="231">
        <v>0</v>
      </c>
      <c r="AV240" s="231">
        <v>0</v>
      </c>
      <c r="AW240" s="232"/>
      <c r="AX240" s="232"/>
      <c r="AY240" s="232"/>
      <c r="AZ240" s="232"/>
      <c r="BA240" s="221" t="s">
        <v>1524</v>
      </c>
      <c r="BB240" s="221"/>
      <c r="BC240" s="233" t="s">
        <v>128</v>
      </c>
      <c r="BF240" s="51"/>
    </row>
    <row r="241" spans="1:58" ht="13.5" customHeight="1">
      <c r="A241" s="220">
        <f t="shared" si="42"/>
        <v>240</v>
      </c>
      <c r="B241" s="221" t="s">
        <v>1502</v>
      </c>
      <c r="C241" s="221" t="s">
        <v>1525</v>
      </c>
      <c r="D241" s="221" t="s">
        <v>407</v>
      </c>
      <c r="E241" s="221" t="s">
        <v>408</v>
      </c>
      <c r="F241" s="221" t="s">
        <v>409</v>
      </c>
      <c r="G241" s="222" t="s">
        <v>1526</v>
      </c>
      <c r="H241" s="221" t="s">
        <v>411</v>
      </c>
      <c r="I241" s="221" t="s">
        <v>1527</v>
      </c>
      <c r="J241" s="221"/>
      <c r="K241" s="221" t="s">
        <v>1528</v>
      </c>
      <c r="L241" s="221">
        <v>-74.854611111111097</v>
      </c>
      <c r="M241" s="221">
        <v>11.030472222222199</v>
      </c>
      <c r="N241" s="223" t="s">
        <v>126</v>
      </c>
      <c r="O241" s="230" t="s">
        <v>127</v>
      </c>
      <c r="P241" s="224">
        <f t="shared" si="44"/>
        <v>1381702000</v>
      </c>
      <c r="Q241" s="225">
        <v>1</v>
      </c>
      <c r="R241" s="225">
        <v>1</v>
      </c>
      <c r="S241" s="225">
        <f t="shared" si="43"/>
        <v>0</v>
      </c>
      <c r="T241" s="225" t="str" cm="1">
        <f t="array" ref="T241">+_xlfn.IFS($P241&lt;=10000000000,IF(S241&gt;-0.05,"Verde",IF(S241&lt;=-0.1,"Rojo","Amarillo")),$P241&gt;10000000000,IF(S241&gt;-0.03,"Verde",IF(S241&lt;=-0.07,"Rojo","Amarillo")))</f>
        <v>Verde</v>
      </c>
      <c r="U241" s="226"/>
      <c r="V241" s="226"/>
      <c r="W241" s="226">
        <v>45057</v>
      </c>
      <c r="X241" s="226">
        <v>45291</v>
      </c>
      <c r="Y241" s="272">
        <v>45583</v>
      </c>
      <c r="Z241" s="225" t="str">
        <f t="shared" ca="1" si="45"/>
        <v>Terminado</v>
      </c>
      <c r="AA241" s="225" t="str">
        <f t="shared" ca="1" si="46"/>
        <v>-</v>
      </c>
      <c r="AB241" s="273"/>
      <c r="AC241" s="272"/>
      <c r="AD241" s="227">
        <v>45576</v>
      </c>
      <c r="AE241" s="221">
        <v>1381702000</v>
      </c>
      <c r="AF241" s="223">
        <v>0</v>
      </c>
      <c r="AG241" s="223" t="s">
        <v>341</v>
      </c>
      <c r="AH241" s="223" t="s">
        <v>341</v>
      </c>
      <c r="AI241" s="221" t="s">
        <v>341</v>
      </c>
      <c r="AJ241" s="223" t="s">
        <v>341</v>
      </c>
      <c r="AK241" s="223" t="s">
        <v>341</v>
      </c>
      <c r="AL241" s="230" t="s">
        <v>341</v>
      </c>
      <c r="AM241" s="231">
        <v>1381702000</v>
      </c>
      <c r="AN241" s="231">
        <v>0</v>
      </c>
      <c r="AO241" s="231">
        <f t="shared" si="47"/>
        <v>1381702000</v>
      </c>
      <c r="AP241" s="231">
        <v>348328235</v>
      </c>
      <c r="AQ241" s="231">
        <v>348328235</v>
      </c>
      <c r="AR241" s="231">
        <v>0</v>
      </c>
      <c r="AS241" s="231">
        <v>0</v>
      </c>
      <c r="AT241" s="231">
        <f t="shared" si="48"/>
        <v>0</v>
      </c>
      <c r="AU241" s="231">
        <v>0</v>
      </c>
      <c r="AV241" s="231">
        <v>0</v>
      </c>
      <c r="AW241" s="232"/>
      <c r="AX241" s="232"/>
      <c r="AY241" s="232"/>
      <c r="AZ241" s="232"/>
      <c r="BA241" s="221" t="s">
        <v>1529</v>
      </c>
      <c r="BB241" s="221"/>
      <c r="BC241" s="233" t="s">
        <v>128</v>
      </c>
      <c r="BF241" s="51"/>
    </row>
    <row r="242" spans="1:58" ht="13.5" customHeight="1">
      <c r="A242" s="220">
        <f t="shared" si="42"/>
        <v>241</v>
      </c>
      <c r="B242" s="221" t="s">
        <v>1502</v>
      </c>
      <c r="C242" s="221" t="s">
        <v>1530</v>
      </c>
      <c r="D242" s="221" t="s">
        <v>118</v>
      </c>
      <c r="E242" s="221" t="s">
        <v>326</v>
      </c>
      <c r="F242" s="221" t="s">
        <v>529</v>
      </c>
      <c r="G242" s="222" t="s">
        <v>1531</v>
      </c>
      <c r="H242" s="221" t="s">
        <v>582</v>
      </c>
      <c r="I242" s="221" t="s">
        <v>1532</v>
      </c>
      <c r="J242" s="221"/>
      <c r="K242" s="221" t="s">
        <v>1533</v>
      </c>
      <c r="L242" s="221"/>
      <c r="M242" s="221"/>
      <c r="N242" s="223" t="s">
        <v>126</v>
      </c>
      <c r="O242" s="230" t="s">
        <v>127</v>
      </c>
      <c r="P242" s="224">
        <f t="shared" si="44"/>
        <v>1568337767</v>
      </c>
      <c r="Q242" s="225">
        <v>1</v>
      </c>
      <c r="R242" s="225">
        <v>1</v>
      </c>
      <c r="S242" s="225">
        <f t="shared" si="43"/>
        <v>0</v>
      </c>
      <c r="T242" s="225" t="str" cm="1">
        <f t="array" ref="T242">+_xlfn.IFS($P242&lt;=10000000000,IF(S242&gt;-0.05,"Verde",IF(S242&lt;=-0.1,"Rojo","Amarillo")),$P242&gt;10000000000,IF(S242&gt;-0.03,"Verde",IF(S242&lt;=-0.07,"Rojo","Amarillo")))</f>
        <v>Verde</v>
      </c>
      <c r="U242" s="226"/>
      <c r="V242" s="226"/>
      <c r="W242" s="226">
        <v>45056</v>
      </c>
      <c r="X242" s="226">
        <v>45291</v>
      </c>
      <c r="Y242" s="272">
        <v>45583</v>
      </c>
      <c r="Z242" s="225" t="str">
        <f t="shared" ca="1" si="45"/>
        <v>Terminado</v>
      </c>
      <c r="AA242" s="225" t="str">
        <f t="shared" ca="1" si="46"/>
        <v>-</v>
      </c>
      <c r="AB242" s="273"/>
      <c r="AC242" s="272"/>
      <c r="AD242" s="227">
        <v>45576</v>
      </c>
      <c r="AE242" s="221">
        <v>1568337767</v>
      </c>
      <c r="AF242" s="223">
        <v>0</v>
      </c>
      <c r="AG242" s="223" t="s">
        <v>341</v>
      </c>
      <c r="AH242" s="223" t="s">
        <v>341</v>
      </c>
      <c r="AI242" s="221" t="s">
        <v>341</v>
      </c>
      <c r="AJ242" s="223" t="s">
        <v>341</v>
      </c>
      <c r="AK242" s="223" t="s">
        <v>341</v>
      </c>
      <c r="AL242" s="230" t="s">
        <v>341</v>
      </c>
      <c r="AM242" s="231">
        <v>1568337767</v>
      </c>
      <c r="AN242" s="231">
        <v>0</v>
      </c>
      <c r="AO242" s="231">
        <f t="shared" si="47"/>
        <v>1568337767</v>
      </c>
      <c r="AP242" s="231">
        <v>395379269</v>
      </c>
      <c r="AQ242" s="231">
        <v>395379269</v>
      </c>
      <c r="AR242" s="231">
        <v>0</v>
      </c>
      <c r="AS242" s="231">
        <v>0</v>
      </c>
      <c r="AT242" s="231">
        <f t="shared" si="48"/>
        <v>0</v>
      </c>
      <c r="AU242" s="231">
        <v>0</v>
      </c>
      <c r="AV242" s="231">
        <v>0</v>
      </c>
      <c r="AW242" s="232"/>
      <c r="AX242" s="232"/>
      <c r="AY242" s="232"/>
      <c r="AZ242" s="232"/>
      <c r="BA242" s="221" t="s">
        <v>1529</v>
      </c>
      <c r="BB242" s="221"/>
      <c r="BC242" s="233" t="s">
        <v>128</v>
      </c>
      <c r="BF242" s="51"/>
    </row>
    <row r="243" spans="1:58" ht="13.5" customHeight="1">
      <c r="A243" s="220">
        <f t="shared" si="42"/>
        <v>242</v>
      </c>
      <c r="B243" s="221" t="s">
        <v>1502</v>
      </c>
      <c r="C243" s="221" t="s">
        <v>1534</v>
      </c>
      <c r="D243" s="221" t="s">
        <v>407</v>
      </c>
      <c r="E243" s="221" t="s">
        <v>408</v>
      </c>
      <c r="F243" s="221" t="s">
        <v>409</v>
      </c>
      <c r="G243" s="222" t="s">
        <v>1535</v>
      </c>
      <c r="H243" s="221" t="s">
        <v>411</v>
      </c>
      <c r="I243" s="221" t="s">
        <v>1527</v>
      </c>
      <c r="J243" s="221"/>
      <c r="K243" s="221" t="s">
        <v>1528</v>
      </c>
      <c r="L243" s="221">
        <v>-74.854611111111097</v>
      </c>
      <c r="M243" s="221">
        <v>11.030472222222199</v>
      </c>
      <c r="N243" s="223" t="s">
        <v>1506</v>
      </c>
      <c r="O243" s="230" t="s">
        <v>1536</v>
      </c>
      <c r="P243" s="224">
        <f t="shared" si="44"/>
        <v>5793000000</v>
      </c>
      <c r="Q243" s="225">
        <v>1</v>
      </c>
      <c r="R243" s="225">
        <v>0.49669999999999997</v>
      </c>
      <c r="S243" s="225">
        <f t="shared" si="43"/>
        <v>-0.50330000000000008</v>
      </c>
      <c r="T243" s="225" t="str" cm="1">
        <f t="array" ref="T243">+_xlfn.IFS($P243&lt;=10000000000,IF(S243&gt;-0.05,"Verde",IF(S243&lt;=-0.1,"Rojo","Amarillo")),$P243&gt;10000000000,IF(S243&gt;-0.03,"Verde",IF(S243&lt;=-0.07,"Rojo","Amarillo")))</f>
        <v>Rojo</v>
      </c>
      <c r="U243" s="226"/>
      <c r="V243" s="226"/>
      <c r="W243" s="226">
        <v>44652</v>
      </c>
      <c r="X243" s="226">
        <v>45777</v>
      </c>
      <c r="Y243" s="272">
        <v>46112</v>
      </c>
      <c r="Z243" s="225" t="str">
        <f t="shared" ca="1" si="45"/>
        <v>Proyecto_Fase_III_Diseños_definitivos_y_detalles</v>
      </c>
      <c r="AA243" s="225" t="str">
        <f t="shared" ca="1" si="46"/>
        <v>-</v>
      </c>
      <c r="AB243" s="273" t="s">
        <v>364</v>
      </c>
      <c r="AC243" s="272">
        <v>46112</v>
      </c>
      <c r="AD243" s="227">
        <v>45747</v>
      </c>
      <c r="AE243" s="221">
        <v>5793000000</v>
      </c>
      <c r="AF243" s="223">
        <v>0</v>
      </c>
      <c r="AG243" s="223" t="s">
        <v>341</v>
      </c>
      <c r="AH243" s="223" t="s">
        <v>341</v>
      </c>
      <c r="AI243" s="221" t="s">
        <v>341</v>
      </c>
      <c r="AJ243" s="223" t="s">
        <v>341</v>
      </c>
      <c r="AK243" s="223" t="s">
        <v>341</v>
      </c>
      <c r="AL243" s="230" t="s">
        <v>341</v>
      </c>
      <c r="AM243" s="231">
        <v>5793000000</v>
      </c>
      <c r="AN243" s="231">
        <v>0</v>
      </c>
      <c r="AO243" s="231">
        <f t="shared" si="47"/>
        <v>5793000000</v>
      </c>
      <c r="AP243" s="231">
        <v>2151134000</v>
      </c>
      <c r="AQ243" s="231">
        <v>2151134000</v>
      </c>
      <c r="AR243" s="231">
        <v>0</v>
      </c>
      <c r="AS243" s="231">
        <v>0</v>
      </c>
      <c r="AT243" s="231">
        <f t="shared" si="48"/>
        <v>0</v>
      </c>
      <c r="AU243" s="231">
        <v>0</v>
      </c>
      <c r="AV243" s="231">
        <v>0</v>
      </c>
      <c r="AW243" s="232"/>
      <c r="AX243" s="232"/>
      <c r="AY243" s="232"/>
      <c r="AZ243" s="232"/>
      <c r="BA243" s="221" t="s">
        <v>2502</v>
      </c>
      <c r="BB243" s="221" t="s">
        <v>2503</v>
      </c>
      <c r="BC243" s="233" t="s">
        <v>128</v>
      </c>
      <c r="BF243" s="51"/>
    </row>
    <row r="244" spans="1:58" ht="13.5" customHeight="1">
      <c r="A244" s="220">
        <f t="shared" si="42"/>
        <v>243</v>
      </c>
      <c r="B244" s="221" t="s">
        <v>1502</v>
      </c>
      <c r="C244" s="221" t="s">
        <v>1537</v>
      </c>
      <c r="D244" s="221" t="s">
        <v>407</v>
      </c>
      <c r="E244" s="221" t="s">
        <v>408</v>
      </c>
      <c r="F244" s="221" t="s">
        <v>409</v>
      </c>
      <c r="G244" s="222" t="s">
        <v>1538</v>
      </c>
      <c r="H244" s="221" t="s">
        <v>411</v>
      </c>
      <c r="I244" s="221" t="s">
        <v>1527</v>
      </c>
      <c r="J244" s="221"/>
      <c r="K244" s="221" t="s">
        <v>1539</v>
      </c>
      <c r="L244" s="221"/>
      <c r="M244" s="221"/>
      <c r="N244" s="223" t="s">
        <v>228</v>
      </c>
      <c r="O244" s="230" t="s">
        <v>229</v>
      </c>
      <c r="P244" s="224">
        <f t="shared" si="44"/>
        <v>829484000</v>
      </c>
      <c r="Q244" s="225">
        <v>1</v>
      </c>
      <c r="R244" s="225">
        <v>1</v>
      </c>
      <c r="S244" s="225">
        <f t="shared" si="43"/>
        <v>0</v>
      </c>
      <c r="T244" s="225" t="str" cm="1">
        <f t="array" ref="T244">+_xlfn.IFS($P244&lt;=10000000000,IF(S244&gt;-0.05,"Verde",IF(S244&lt;=-0.1,"Rojo","Amarillo")),$P244&gt;10000000000,IF(S244&gt;-0.03,"Verde",IF(S244&lt;=-0.07,"Rojo","Amarillo")))</f>
        <v>Verde</v>
      </c>
      <c r="U244" s="226"/>
      <c r="V244" s="226"/>
      <c r="W244" s="226">
        <v>44953</v>
      </c>
      <c r="X244" s="226">
        <v>45291</v>
      </c>
      <c r="Y244" s="272">
        <v>45747</v>
      </c>
      <c r="Z244" s="225" t="str">
        <f t="shared" ca="1" si="45"/>
        <v>En_Ejecución</v>
      </c>
      <c r="AA244" s="225" t="str">
        <f t="shared" ca="1" si="46"/>
        <v>-</v>
      </c>
      <c r="AB244" s="273"/>
      <c r="AC244" s="272"/>
      <c r="AD244" s="227">
        <v>45382</v>
      </c>
      <c r="AE244" s="221">
        <v>829484000</v>
      </c>
      <c r="AF244" s="223">
        <v>0</v>
      </c>
      <c r="AG244" s="223" t="s">
        <v>341</v>
      </c>
      <c r="AH244" s="223" t="s">
        <v>341</v>
      </c>
      <c r="AI244" s="221" t="s">
        <v>341</v>
      </c>
      <c r="AJ244" s="223" t="s">
        <v>341</v>
      </c>
      <c r="AK244" s="223" t="s">
        <v>341</v>
      </c>
      <c r="AL244" s="230" t="s">
        <v>341</v>
      </c>
      <c r="AM244" s="231">
        <v>829484000</v>
      </c>
      <c r="AN244" s="231">
        <v>0</v>
      </c>
      <c r="AO244" s="231">
        <f t="shared" si="47"/>
        <v>829484000</v>
      </c>
      <c r="AP244" s="231">
        <v>255066330</v>
      </c>
      <c r="AQ244" s="231">
        <v>255066330</v>
      </c>
      <c r="AR244" s="231">
        <v>0</v>
      </c>
      <c r="AS244" s="231">
        <v>0</v>
      </c>
      <c r="AT244" s="231">
        <f t="shared" si="48"/>
        <v>0</v>
      </c>
      <c r="AU244" s="231">
        <v>0</v>
      </c>
      <c r="AV244" s="231">
        <v>0</v>
      </c>
      <c r="AW244" s="232"/>
      <c r="AX244" s="232"/>
      <c r="AY244" s="232"/>
      <c r="AZ244" s="232"/>
      <c r="BA244" s="221" t="s">
        <v>1540</v>
      </c>
      <c r="BB244" s="221" t="s">
        <v>1541</v>
      </c>
      <c r="BC244" s="233" t="s">
        <v>128</v>
      </c>
      <c r="BF244" s="51"/>
    </row>
    <row r="245" spans="1:58" ht="13.5" customHeight="1">
      <c r="A245" s="220">
        <f t="shared" si="42"/>
        <v>244</v>
      </c>
      <c r="B245" s="221" t="s">
        <v>1502</v>
      </c>
      <c r="C245" s="221" t="s">
        <v>341</v>
      </c>
      <c r="D245" s="221" t="s">
        <v>118</v>
      </c>
      <c r="E245" s="221" t="s">
        <v>326</v>
      </c>
      <c r="F245" s="221" t="s">
        <v>1519</v>
      </c>
      <c r="G245" s="222" t="s">
        <v>1542</v>
      </c>
      <c r="H245" s="221" t="s">
        <v>397</v>
      </c>
      <c r="I245" s="221" t="s">
        <v>1543</v>
      </c>
      <c r="J245" s="221"/>
      <c r="K245" s="221" t="s">
        <v>1544</v>
      </c>
      <c r="L245" s="221">
        <v>-74.768027777777803</v>
      </c>
      <c r="M245" s="221">
        <v>10.9910833333333</v>
      </c>
      <c r="N245" s="223" t="s">
        <v>1506</v>
      </c>
      <c r="O245" s="230" t="s">
        <v>1507</v>
      </c>
      <c r="P245" s="224">
        <f t="shared" si="44"/>
        <v>0</v>
      </c>
      <c r="Q245" s="225">
        <v>0</v>
      </c>
      <c r="R245" s="225">
        <v>0</v>
      </c>
      <c r="S245" s="225">
        <f t="shared" si="43"/>
        <v>0</v>
      </c>
      <c r="T245" s="225" t="str" cm="1">
        <f t="array" ref="T245">+_xlfn.IFS($P245&lt;=10000000000,IF(S245&gt;-0.05,"Verde",IF(S245&lt;=-0.1,"Rojo","Amarillo")),$P245&gt;10000000000,IF(S245&gt;-0.03,"Verde",IF(S245&lt;=-0.07,"Rojo","Amarillo")))</f>
        <v>Verde</v>
      </c>
      <c r="U245" s="226"/>
      <c r="V245" s="226"/>
      <c r="W245" s="226"/>
      <c r="X245" s="226"/>
      <c r="Y245" s="272"/>
      <c r="Z245" s="225" t="str">
        <f t="shared" ca="1" si="45"/>
        <v>Proyecto_Fase_I_Prefactibilidad</v>
      </c>
      <c r="AA245" s="225" t="str">
        <f t="shared" ca="1" si="46"/>
        <v>-</v>
      </c>
      <c r="AB245" s="273"/>
      <c r="AC245" s="272"/>
      <c r="AD245" s="227">
        <v>0</v>
      </c>
      <c r="AE245" s="221">
        <v>0</v>
      </c>
      <c r="AF245" s="223">
        <v>0</v>
      </c>
      <c r="AG245" s="223" t="s">
        <v>341</v>
      </c>
      <c r="AH245" s="223" t="s">
        <v>341</v>
      </c>
      <c r="AI245" s="221" t="s">
        <v>341</v>
      </c>
      <c r="AJ245" s="223" t="s">
        <v>341</v>
      </c>
      <c r="AK245" s="223" t="s">
        <v>341</v>
      </c>
      <c r="AL245" s="230" t="s">
        <v>341</v>
      </c>
      <c r="AM245" s="231">
        <v>0</v>
      </c>
      <c r="AN245" s="231">
        <v>0</v>
      </c>
      <c r="AO245" s="231">
        <f t="shared" si="47"/>
        <v>0</v>
      </c>
      <c r="AP245" s="231">
        <v>0</v>
      </c>
      <c r="AQ245" s="231">
        <v>0</v>
      </c>
      <c r="AR245" s="231">
        <v>0</v>
      </c>
      <c r="AS245" s="231">
        <v>0</v>
      </c>
      <c r="AT245" s="231">
        <f t="shared" si="48"/>
        <v>0</v>
      </c>
      <c r="AU245" s="231">
        <v>0</v>
      </c>
      <c r="AV245" s="231">
        <v>0</v>
      </c>
      <c r="AW245" s="232"/>
      <c r="AX245" s="232"/>
      <c r="AY245" s="232"/>
      <c r="AZ245" s="232"/>
      <c r="BA245" s="221" t="s">
        <v>1545</v>
      </c>
      <c r="BB245" s="221"/>
      <c r="BC245" s="233" t="s">
        <v>128</v>
      </c>
      <c r="BF245" s="51"/>
    </row>
    <row r="246" spans="1:58" ht="13.5" customHeight="1">
      <c r="A246" s="220">
        <f t="shared" si="42"/>
        <v>245</v>
      </c>
      <c r="B246" s="221" t="s">
        <v>1502</v>
      </c>
      <c r="C246" s="221" t="s">
        <v>1546</v>
      </c>
      <c r="D246" s="221" t="s">
        <v>365</v>
      </c>
      <c r="E246" s="221" t="s">
        <v>607</v>
      </c>
      <c r="F246" s="221" t="s">
        <v>1547</v>
      </c>
      <c r="G246" s="222" t="s">
        <v>1548</v>
      </c>
      <c r="H246" s="221" t="s">
        <v>397</v>
      </c>
      <c r="I246" s="221" t="s">
        <v>1549</v>
      </c>
      <c r="J246" s="221" t="s">
        <v>1550</v>
      </c>
      <c r="K246" s="221" t="s">
        <v>1551</v>
      </c>
      <c r="L246" s="221">
        <v>-74.782242999999994</v>
      </c>
      <c r="M246" s="221">
        <v>10.985900000000001</v>
      </c>
      <c r="N246" s="223" t="s">
        <v>126</v>
      </c>
      <c r="O246" s="230" t="s">
        <v>127</v>
      </c>
      <c r="P246" s="224">
        <f t="shared" si="44"/>
        <v>6768307564.5599995</v>
      </c>
      <c r="Q246" s="225">
        <v>1</v>
      </c>
      <c r="R246" s="225">
        <v>1</v>
      </c>
      <c r="S246" s="225">
        <f t="shared" si="43"/>
        <v>0</v>
      </c>
      <c r="T246" s="225" t="str" cm="1">
        <f t="array" ref="T246">+_xlfn.IFS($P246&lt;=10000000000,IF(S246&gt;-0.05,"Verde",IF(S246&lt;=-0.1,"Rojo","Amarillo")),$P246&gt;10000000000,IF(S246&gt;-0.03,"Verde",IF(S246&lt;=-0.07,"Rojo","Amarillo")))</f>
        <v>Verde</v>
      </c>
      <c r="U246" s="226">
        <v>45092</v>
      </c>
      <c r="V246" s="226">
        <v>45092</v>
      </c>
      <c r="W246" s="226">
        <v>45100</v>
      </c>
      <c r="X246" s="226">
        <v>45291</v>
      </c>
      <c r="Y246" s="272">
        <v>45534</v>
      </c>
      <c r="Z246" s="225" t="str">
        <f t="shared" ca="1" si="45"/>
        <v>Terminado</v>
      </c>
      <c r="AA246" s="225" t="str">
        <f t="shared" ca="1" si="46"/>
        <v>-</v>
      </c>
      <c r="AB246" s="273" t="s">
        <v>364</v>
      </c>
      <c r="AC246" s="272">
        <v>45534</v>
      </c>
      <c r="AD246" s="227">
        <v>45534</v>
      </c>
      <c r="AE246" s="221">
        <v>4405000000</v>
      </c>
      <c r="AF246" s="223">
        <v>2200932564.5599999</v>
      </c>
      <c r="AG246" s="223" t="s">
        <v>25</v>
      </c>
      <c r="AH246" s="223" t="s">
        <v>1552</v>
      </c>
      <c r="AI246" s="221" t="s">
        <v>1553</v>
      </c>
      <c r="AJ246" s="223" t="s">
        <v>1554</v>
      </c>
      <c r="AK246" s="223" t="s">
        <v>25</v>
      </c>
      <c r="AL246" s="230" t="s">
        <v>341</v>
      </c>
      <c r="AM246" s="231">
        <v>4405000000</v>
      </c>
      <c r="AN246" s="231">
        <v>2200932564.5599999</v>
      </c>
      <c r="AO246" s="231">
        <f t="shared" si="47"/>
        <v>6605932564.5599995</v>
      </c>
      <c r="AP246" s="231">
        <v>6588474048.0599995</v>
      </c>
      <c r="AQ246" s="231">
        <v>6588474048.0599995</v>
      </c>
      <c r="AR246" s="231">
        <v>58500000</v>
      </c>
      <c r="AS246" s="231">
        <v>103875000</v>
      </c>
      <c r="AT246" s="231">
        <f t="shared" si="48"/>
        <v>162375000</v>
      </c>
      <c r="AU246" s="231">
        <v>162375000</v>
      </c>
      <c r="AV246" s="231">
        <v>162375000</v>
      </c>
      <c r="AW246" s="232" t="s">
        <v>1555</v>
      </c>
      <c r="AX246" s="232" t="s">
        <v>1556</v>
      </c>
      <c r="AY246" s="232"/>
      <c r="AZ246" s="232"/>
      <c r="BA246" s="221" t="s">
        <v>1557</v>
      </c>
      <c r="BB246" s="221" t="s">
        <v>1558</v>
      </c>
      <c r="BC246" s="233" t="s">
        <v>364</v>
      </c>
      <c r="BF246" s="51"/>
    </row>
    <row r="247" spans="1:58" ht="13.5" customHeight="1">
      <c r="A247" s="220">
        <f t="shared" si="42"/>
        <v>246</v>
      </c>
      <c r="B247" s="221" t="s">
        <v>1502</v>
      </c>
      <c r="C247" s="221" t="s">
        <v>1546</v>
      </c>
      <c r="D247" s="221" t="s">
        <v>365</v>
      </c>
      <c r="E247" s="221" t="s">
        <v>607</v>
      </c>
      <c r="F247" s="221" t="s">
        <v>1547</v>
      </c>
      <c r="G247" s="222" t="s">
        <v>1559</v>
      </c>
      <c r="H247" s="221" t="s">
        <v>397</v>
      </c>
      <c r="I247" s="221" t="s">
        <v>1549</v>
      </c>
      <c r="J247" s="221" t="s">
        <v>1550</v>
      </c>
      <c r="K247" s="221" t="s">
        <v>1551</v>
      </c>
      <c r="L247" s="221">
        <v>-74.782242999999994</v>
      </c>
      <c r="M247" s="221">
        <v>10.985900000000001</v>
      </c>
      <c r="N247" s="223" t="s">
        <v>126</v>
      </c>
      <c r="O247" s="230" t="s">
        <v>1536</v>
      </c>
      <c r="P247" s="224">
        <f t="shared" si="44"/>
        <v>6768307564.5599995</v>
      </c>
      <c r="Q247" s="225">
        <v>1</v>
      </c>
      <c r="R247" s="225">
        <v>1</v>
      </c>
      <c r="S247" s="225">
        <f t="shared" si="43"/>
        <v>0</v>
      </c>
      <c r="T247" s="225" t="str" cm="1">
        <f t="array" ref="T247">+_xlfn.IFS($P247&lt;=10000000000,IF(S247&gt;-0.05,"Verde",IF(S247&lt;=-0.1,"Rojo","Amarillo")),$P247&gt;10000000000,IF(S247&gt;-0.03,"Verde",IF(S247&lt;=-0.07,"Rojo","Amarillo")))</f>
        <v>Verde</v>
      </c>
      <c r="U247" s="226"/>
      <c r="V247" s="226"/>
      <c r="W247" s="226">
        <v>45100</v>
      </c>
      <c r="X247" s="226">
        <v>45291</v>
      </c>
      <c r="Y247" s="272">
        <v>45771</v>
      </c>
      <c r="Z247" s="225" t="str">
        <f t="shared" ca="1" si="45"/>
        <v>Proyecto_Fase_III_Diseños_definitivos_y_detalles</v>
      </c>
      <c r="AA247" s="225" t="str">
        <f t="shared" ca="1" si="46"/>
        <v>-</v>
      </c>
      <c r="AB247" s="273" t="s">
        <v>364</v>
      </c>
      <c r="AC247" s="272">
        <v>45771</v>
      </c>
      <c r="AD247" s="227">
        <v>45835</v>
      </c>
      <c r="AE247" s="221">
        <v>4405000000</v>
      </c>
      <c r="AF247" s="223">
        <v>2200932564.5599999</v>
      </c>
      <c r="AG247" s="223" t="s">
        <v>341</v>
      </c>
      <c r="AH247" s="223" t="s">
        <v>341</v>
      </c>
      <c r="AI247" s="221" t="s">
        <v>341</v>
      </c>
      <c r="AJ247" s="223" t="s">
        <v>341</v>
      </c>
      <c r="AK247" s="223" t="s">
        <v>341</v>
      </c>
      <c r="AL247" s="230" t="s">
        <v>341</v>
      </c>
      <c r="AM247" s="231">
        <v>4405000000</v>
      </c>
      <c r="AN247" s="231">
        <v>2200932564.5599999</v>
      </c>
      <c r="AO247" s="231">
        <f t="shared" si="47"/>
        <v>6605932564.5599995</v>
      </c>
      <c r="AP247" s="231">
        <v>6588474048.0599995</v>
      </c>
      <c r="AQ247" s="231">
        <v>6588474048.0599995</v>
      </c>
      <c r="AR247" s="231">
        <v>58500000</v>
      </c>
      <c r="AS247" s="231">
        <v>103875000</v>
      </c>
      <c r="AT247" s="231">
        <f t="shared" si="48"/>
        <v>162375000</v>
      </c>
      <c r="AU247" s="231">
        <v>162375000</v>
      </c>
      <c r="AV247" s="231">
        <v>162375000</v>
      </c>
      <c r="AW247" s="232" t="s">
        <v>1555</v>
      </c>
      <c r="AX247" s="232" t="s">
        <v>1556</v>
      </c>
      <c r="AY247" s="232"/>
      <c r="AZ247" s="232"/>
      <c r="BA247" s="221" t="s">
        <v>1557</v>
      </c>
      <c r="BB247" s="221" t="s">
        <v>1558</v>
      </c>
      <c r="BC247" s="233" t="s">
        <v>364</v>
      </c>
      <c r="BF247" s="51"/>
    </row>
    <row r="248" spans="1:58" ht="13.5" customHeight="1">
      <c r="A248" s="220">
        <f t="shared" si="42"/>
        <v>247</v>
      </c>
      <c r="B248" s="221" t="s">
        <v>1502</v>
      </c>
      <c r="C248" s="221" t="s">
        <v>1560</v>
      </c>
      <c r="D248" s="221" t="s">
        <v>365</v>
      </c>
      <c r="E248" s="221" t="s">
        <v>607</v>
      </c>
      <c r="F248" s="221" t="s">
        <v>1547</v>
      </c>
      <c r="G248" s="222" t="s">
        <v>2479</v>
      </c>
      <c r="H248" s="221" t="s">
        <v>397</v>
      </c>
      <c r="I248" s="221" t="s">
        <v>1549</v>
      </c>
      <c r="J248" s="221" t="s">
        <v>1550</v>
      </c>
      <c r="K248" s="221" t="s">
        <v>1551</v>
      </c>
      <c r="L248" s="221">
        <v>-74.782242999999994</v>
      </c>
      <c r="M248" s="221">
        <v>10.985900000000001</v>
      </c>
      <c r="N248" s="223" t="s">
        <v>126</v>
      </c>
      <c r="O248" s="230" t="s">
        <v>229</v>
      </c>
      <c r="P248" s="224">
        <v>4976770700</v>
      </c>
      <c r="Q248" s="225">
        <v>0.31</v>
      </c>
      <c r="R248" s="225">
        <v>0.37</v>
      </c>
      <c r="S248" s="225">
        <f t="shared" ref="S248" si="49">+R248-Q248</f>
        <v>0.06</v>
      </c>
      <c r="T248" s="225" t="str" cm="1">
        <f t="array" ref="T248">+_xlfn.IFS($P248&lt;=10000000000,IF(S248&gt;-0.05,"Verde",IF(S248&lt;=-0.1,"Rojo","Amarillo")),$P248&gt;10000000000,IF(S248&gt;-0.03,"Verde",IF(S248&lt;=-0.07,"Rojo","Amarillo")))</f>
        <v>Verde</v>
      </c>
      <c r="U248" s="226">
        <v>45840</v>
      </c>
      <c r="V248" s="226">
        <v>45754</v>
      </c>
      <c r="W248" s="226">
        <v>45754</v>
      </c>
      <c r="X248" s="226">
        <v>45937</v>
      </c>
      <c r="Y248" s="272"/>
      <c r="Z248" s="225" t="str">
        <f t="shared" ref="Z248" ca="1" si="50">+IF(AND(O248="En_Ejecución",OR(T248="Rojo",T248="Amarillo")),IF(($Y248-(TODAY())&lt;15),"Rojo",IF(($Y248-TODAY())&gt;=45,"Verde","Amarillo")),O248)</f>
        <v>En_Ejecución</v>
      </c>
      <c r="AA248" s="225" t="str">
        <f t="shared" ref="AA248" ca="1" si="51">+IF(AND(Z248="Amarillo",T248="Rojo"),"En_Seguimiento",IF(AND(Z248="Rojo",T248="Amarillo"),"En_Seguimiento",IF(AND(Z248="Rojo",T248="Rojo"),"En_Seguimiento",IF(AND(Z248="Suspendido",T248="Amarillo"),"En_Seguimiento",IF(AND(Z248="Suspendido",T248="Rojo"),"En_Seguimiento","-")))))</f>
        <v>-</v>
      </c>
      <c r="AB248" s="273"/>
      <c r="AC248" s="272"/>
      <c r="AD248" s="227"/>
      <c r="AE248" s="221"/>
      <c r="AF248" s="223" t="s">
        <v>1562</v>
      </c>
      <c r="AG248" s="223" t="s">
        <v>341</v>
      </c>
      <c r="AH248" s="223" t="s">
        <v>1563</v>
      </c>
      <c r="AI248" s="221" t="s">
        <v>1564</v>
      </c>
      <c r="AJ248" s="223" t="s">
        <v>1565</v>
      </c>
      <c r="AK248" s="223" t="s">
        <v>341</v>
      </c>
      <c r="AL248" s="230" t="s">
        <v>341</v>
      </c>
      <c r="AM248" s="231">
        <v>4486611683</v>
      </c>
      <c r="AN248" s="231">
        <v>0</v>
      </c>
      <c r="AO248" s="231">
        <v>4486611683</v>
      </c>
      <c r="AP248" s="231">
        <v>0</v>
      </c>
      <c r="AQ248" s="231">
        <v>0</v>
      </c>
      <c r="AR248" s="231">
        <v>290159017</v>
      </c>
      <c r="AS248" s="231"/>
      <c r="AT248" s="231">
        <f t="shared" si="48"/>
        <v>290159017</v>
      </c>
      <c r="AU248" s="231"/>
      <c r="AV248" s="231"/>
      <c r="AW248" s="232"/>
      <c r="AX248" s="232" t="s">
        <v>1556</v>
      </c>
      <c r="AY248" s="232"/>
      <c r="AZ248" s="232"/>
      <c r="BA248" s="221" t="s">
        <v>2504</v>
      </c>
      <c r="BB248" s="221" t="s">
        <v>2505</v>
      </c>
      <c r="BC248" s="233"/>
      <c r="BF248" s="51"/>
    </row>
    <row r="249" spans="1:58" ht="13.5" customHeight="1">
      <c r="A249" s="220">
        <f t="shared" si="42"/>
        <v>248</v>
      </c>
      <c r="B249" s="221" t="s">
        <v>1502</v>
      </c>
      <c r="C249" s="221">
        <v>20240911</v>
      </c>
      <c r="D249" s="221" t="s">
        <v>365</v>
      </c>
      <c r="E249" s="221" t="s">
        <v>607</v>
      </c>
      <c r="F249" s="221" t="s">
        <v>1547</v>
      </c>
      <c r="G249" s="222" t="s">
        <v>1566</v>
      </c>
      <c r="H249" s="221" t="s">
        <v>397</v>
      </c>
      <c r="I249" s="221" t="s">
        <v>1549</v>
      </c>
      <c r="J249" s="221" t="s">
        <v>1550</v>
      </c>
      <c r="K249" s="221" t="s">
        <v>1551</v>
      </c>
      <c r="L249" s="221">
        <v>-74.782242999999994</v>
      </c>
      <c r="M249" s="221">
        <v>10.985900000000001</v>
      </c>
      <c r="N249" s="223" t="s">
        <v>228</v>
      </c>
      <c r="O249" s="230" t="s">
        <v>229</v>
      </c>
      <c r="P249" s="224">
        <v>2835841691</v>
      </c>
      <c r="Q249" s="225">
        <v>0.89</v>
      </c>
      <c r="R249" s="225">
        <v>0.69</v>
      </c>
      <c r="S249" s="225">
        <v>-0.16999999999999998</v>
      </c>
      <c r="T249" s="225" t="s">
        <v>1567</v>
      </c>
      <c r="U249" s="226">
        <v>45629</v>
      </c>
      <c r="V249" s="226">
        <v>45629</v>
      </c>
      <c r="W249" s="226">
        <v>45635</v>
      </c>
      <c r="X249" s="226">
        <v>45657</v>
      </c>
      <c r="Y249" s="272"/>
      <c r="Z249" s="225" t="s">
        <v>1567</v>
      </c>
      <c r="AA249" s="225" t="s">
        <v>1568</v>
      </c>
      <c r="AB249" s="273" t="s">
        <v>364</v>
      </c>
      <c r="AC249" s="272">
        <v>45961</v>
      </c>
      <c r="AD249" s="227">
        <v>45657</v>
      </c>
      <c r="AE249" s="221">
        <v>20240911</v>
      </c>
      <c r="AF249" s="223" t="s">
        <v>1569</v>
      </c>
      <c r="AG249" s="223" t="s">
        <v>341</v>
      </c>
      <c r="AH249" s="223" t="s">
        <v>1570</v>
      </c>
      <c r="AI249" s="221" t="s">
        <v>1571</v>
      </c>
      <c r="AJ249" s="223" t="s">
        <v>2499</v>
      </c>
      <c r="AK249" s="223" t="s">
        <v>341</v>
      </c>
      <c r="AL249" s="230" t="s">
        <v>341</v>
      </c>
      <c r="AM249" s="231">
        <v>1899778505</v>
      </c>
      <c r="AN249" s="231">
        <v>870427844</v>
      </c>
      <c r="AO249" s="231">
        <v>2770206349</v>
      </c>
      <c r="AP249" s="231">
        <v>1513305215</v>
      </c>
      <c r="AQ249" s="231">
        <v>1197601115.9000001</v>
      </c>
      <c r="AR249" s="231">
        <v>32817671</v>
      </c>
      <c r="AS249" s="231">
        <v>32817671</v>
      </c>
      <c r="AT249" s="231">
        <f t="shared" si="48"/>
        <v>65635342</v>
      </c>
      <c r="AU249" s="231">
        <v>49226506</v>
      </c>
      <c r="AV249" s="231">
        <v>32817671</v>
      </c>
      <c r="AW249" s="232"/>
      <c r="AX249" s="232"/>
      <c r="AY249" s="232"/>
      <c r="AZ249" s="232"/>
      <c r="BA249" s="221" t="s">
        <v>2506</v>
      </c>
      <c r="BB249" s="221" t="s">
        <v>2507</v>
      </c>
      <c r="BC249" s="233" t="s">
        <v>364</v>
      </c>
      <c r="BF249" s="51"/>
    </row>
    <row r="250" spans="1:58" ht="13.5" customHeight="1">
      <c r="A250" s="220">
        <f t="shared" si="42"/>
        <v>249</v>
      </c>
      <c r="B250" s="221" t="s">
        <v>1573</v>
      </c>
      <c r="C250" s="221" t="s">
        <v>1574</v>
      </c>
      <c r="D250" s="221" t="s">
        <v>365</v>
      </c>
      <c r="E250" s="221" t="s">
        <v>1575</v>
      </c>
      <c r="F250" s="221" t="s">
        <v>1576</v>
      </c>
      <c r="G250" s="222" t="s">
        <v>1577</v>
      </c>
      <c r="H250" s="221" t="s">
        <v>163</v>
      </c>
      <c r="I250" s="221" t="s">
        <v>1578</v>
      </c>
      <c r="J250" s="221" t="s">
        <v>1579</v>
      </c>
      <c r="K250" s="221" t="s">
        <v>1580</v>
      </c>
      <c r="L250" s="221" t="s">
        <v>1581</v>
      </c>
      <c r="M250" s="221">
        <v>10.933481643156099</v>
      </c>
      <c r="N250" s="223" t="s">
        <v>228</v>
      </c>
      <c r="O250" s="230" t="s">
        <v>229</v>
      </c>
      <c r="P250" s="224">
        <f t="shared" si="44"/>
        <v>0</v>
      </c>
      <c r="Q250" s="225">
        <v>0.98</v>
      </c>
      <c r="R250" s="225">
        <v>0.9</v>
      </c>
      <c r="S250" s="225">
        <f t="shared" si="43"/>
        <v>-7.999999999999996E-2</v>
      </c>
      <c r="T250" s="225" t="str" cm="1">
        <f t="array" ref="T250">+_xlfn.IFS($P250&lt;=10000000000,IF(S250&gt;-0.05,"Verde",IF(S250&lt;=-0.1,"Rojo","Amarillo")),$P250&gt;10000000000,IF(S250&gt;-0.03,"Verde",IF(S250&lt;=-0.07,"Rojo","Amarillo")))</f>
        <v>Amarillo</v>
      </c>
      <c r="U250" s="226" t="s">
        <v>25</v>
      </c>
      <c r="V250" s="226" t="s">
        <v>25</v>
      </c>
      <c r="W250" s="226"/>
      <c r="X250" s="226"/>
      <c r="Y250" s="272">
        <v>45657</v>
      </c>
      <c r="Z250" s="225" t="str">
        <f t="shared" ca="1" si="45"/>
        <v>Rojo</v>
      </c>
      <c r="AA250" s="225" t="str">
        <f t="shared" ca="1" si="46"/>
        <v>En_Seguimiento</v>
      </c>
      <c r="AB250" s="273" t="s">
        <v>364</v>
      </c>
      <c r="AC250" s="272">
        <v>45657</v>
      </c>
      <c r="AD250" s="227"/>
      <c r="AE250" s="221" t="s">
        <v>25</v>
      </c>
      <c r="AF250" s="223" t="s">
        <v>341</v>
      </c>
      <c r="AG250" s="223" t="s">
        <v>341</v>
      </c>
      <c r="AH250" s="223" t="s">
        <v>341</v>
      </c>
      <c r="AI250" s="221" t="s">
        <v>341</v>
      </c>
      <c r="AJ250" s="223" t="s">
        <v>341</v>
      </c>
      <c r="AK250" s="223" t="s">
        <v>341</v>
      </c>
      <c r="AL250" s="230" t="s">
        <v>341</v>
      </c>
      <c r="AM250" s="231">
        <v>0</v>
      </c>
      <c r="AN250" s="231">
        <v>0</v>
      </c>
      <c r="AO250" s="231">
        <f t="shared" si="47"/>
        <v>0</v>
      </c>
      <c r="AP250" s="231">
        <v>0</v>
      </c>
      <c r="AQ250" s="231">
        <v>0</v>
      </c>
      <c r="AR250" s="231">
        <v>0</v>
      </c>
      <c r="AS250" s="231">
        <v>0</v>
      </c>
      <c r="AT250" s="231">
        <f t="shared" si="48"/>
        <v>0</v>
      </c>
      <c r="AU250" s="231">
        <v>0</v>
      </c>
      <c r="AV250" s="231">
        <v>0</v>
      </c>
      <c r="AW250" s="232" t="s">
        <v>1582</v>
      </c>
      <c r="AX250" s="232" t="s">
        <v>2441</v>
      </c>
      <c r="AY250" s="232" t="s">
        <v>1583</v>
      </c>
      <c r="AZ250" s="232"/>
      <c r="BA250" s="221" t="s">
        <v>1584</v>
      </c>
      <c r="BB250" s="221" t="s">
        <v>1585</v>
      </c>
      <c r="BC250" s="233" t="s">
        <v>128</v>
      </c>
      <c r="BF250" s="51"/>
    </row>
    <row r="251" spans="1:58" ht="13.5" customHeight="1">
      <c r="A251" s="220">
        <f t="shared" si="42"/>
        <v>250</v>
      </c>
      <c r="B251" s="221" t="s">
        <v>1573</v>
      </c>
      <c r="C251" s="221" t="s">
        <v>1574</v>
      </c>
      <c r="D251" s="221" t="s">
        <v>365</v>
      </c>
      <c r="E251" s="221" t="s">
        <v>1575</v>
      </c>
      <c r="F251" s="221" t="s">
        <v>1576</v>
      </c>
      <c r="G251" s="222" t="s">
        <v>1586</v>
      </c>
      <c r="H251" s="221" t="s">
        <v>582</v>
      </c>
      <c r="I251" s="221" t="s">
        <v>1587</v>
      </c>
      <c r="J251" s="221" t="s">
        <v>1588</v>
      </c>
      <c r="K251" s="221" t="s">
        <v>1589</v>
      </c>
      <c r="L251" s="221">
        <v>-7476725698233450</v>
      </c>
      <c r="M251" s="221">
        <v>10.9471903268493</v>
      </c>
      <c r="N251" s="223" t="s">
        <v>126</v>
      </c>
      <c r="O251" s="230" t="s">
        <v>127</v>
      </c>
      <c r="P251" s="224">
        <f t="shared" si="44"/>
        <v>0</v>
      </c>
      <c r="Q251" s="225">
        <v>1</v>
      </c>
      <c r="R251" s="225">
        <v>1</v>
      </c>
      <c r="S251" s="225">
        <f t="shared" si="43"/>
        <v>0</v>
      </c>
      <c r="T251" s="225" t="str" cm="1">
        <f t="array" ref="T251">+_xlfn.IFS($P251&lt;=10000000000,IF(S251&gt;-0.05,"Verde",IF(S251&lt;=-0.1,"Rojo","Amarillo")),$P251&gt;10000000000,IF(S251&gt;-0.03,"Verde",IF(S251&lt;=-0.07,"Rojo","Amarillo")))</f>
        <v>Verde</v>
      </c>
      <c r="U251" s="226" t="s">
        <v>25</v>
      </c>
      <c r="V251" s="226" t="s">
        <v>25</v>
      </c>
      <c r="W251" s="226"/>
      <c r="X251" s="226"/>
      <c r="Y251" s="272">
        <v>45657</v>
      </c>
      <c r="Z251" s="225" t="str">
        <f t="shared" ca="1" si="45"/>
        <v>Terminado</v>
      </c>
      <c r="AA251" s="225" t="str">
        <f t="shared" ca="1" si="46"/>
        <v>-</v>
      </c>
      <c r="AB251" s="273" t="s">
        <v>364</v>
      </c>
      <c r="AC251" s="272">
        <v>45657</v>
      </c>
      <c r="AD251" s="227">
        <v>45840</v>
      </c>
      <c r="AE251" s="221" t="s">
        <v>25</v>
      </c>
      <c r="AF251" s="223" t="s">
        <v>341</v>
      </c>
      <c r="AG251" s="223" t="s">
        <v>341</v>
      </c>
      <c r="AH251" s="223" t="s">
        <v>341</v>
      </c>
      <c r="AI251" s="221" t="s">
        <v>341</v>
      </c>
      <c r="AJ251" s="223" t="s">
        <v>341</v>
      </c>
      <c r="AK251" s="223" t="s">
        <v>341</v>
      </c>
      <c r="AL251" s="230" t="s">
        <v>341</v>
      </c>
      <c r="AM251" s="231">
        <v>0</v>
      </c>
      <c r="AN251" s="231">
        <v>0</v>
      </c>
      <c r="AO251" s="231">
        <f t="shared" si="47"/>
        <v>0</v>
      </c>
      <c r="AP251" s="231">
        <v>0</v>
      </c>
      <c r="AQ251" s="231">
        <v>0</v>
      </c>
      <c r="AR251" s="231">
        <v>0</v>
      </c>
      <c r="AS251" s="231">
        <v>0</v>
      </c>
      <c r="AT251" s="231">
        <f t="shared" si="48"/>
        <v>0</v>
      </c>
      <c r="AU251" s="231">
        <v>0</v>
      </c>
      <c r="AV251" s="231">
        <v>0</v>
      </c>
      <c r="AW251" s="232"/>
      <c r="AX251" s="232" t="s">
        <v>2441</v>
      </c>
      <c r="AY251" s="232" t="s">
        <v>1583</v>
      </c>
      <c r="AZ251" s="232"/>
      <c r="BA251" s="221" t="s">
        <v>1590</v>
      </c>
      <c r="BB251" s="221" t="s">
        <v>1591</v>
      </c>
      <c r="BC251" s="233" t="s">
        <v>364</v>
      </c>
      <c r="BF251" s="51"/>
    </row>
    <row r="252" spans="1:58" ht="13.5" customHeight="1">
      <c r="A252" s="220">
        <f t="shared" si="42"/>
        <v>251</v>
      </c>
      <c r="B252" s="221" t="s">
        <v>1573</v>
      </c>
      <c r="C252" s="221" t="s">
        <v>1574</v>
      </c>
      <c r="D252" s="221" t="s">
        <v>365</v>
      </c>
      <c r="E252" s="221" t="s">
        <v>1575</v>
      </c>
      <c r="F252" s="221" t="s">
        <v>1576</v>
      </c>
      <c r="G252" s="222" t="s">
        <v>1592</v>
      </c>
      <c r="H252" s="221" t="s">
        <v>582</v>
      </c>
      <c r="I252" s="221" t="s">
        <v>1593</v>
      </c>
      <c r="J252" s="221" t="s">
        <v>1594</v>
      </c>
      <c r="K252" s="221" t="s">
        <v>1595</v>
      </c>
      <c r="L252" s="221">
        <v>-7478895481893820</v>
      </c>
      <c r="M252" s="221">
        <v>10.9446311967488</v>
      </c>
      <c r="N252" s="223" t="s">
        <v>126</v>
      </c>
      <c r="O252" s="230" t="s">
        <v>127</v>
      </c>
      <c r="P252" s="224">
        <f t="shared" si="44"/>
        <v>0</v>
      </c>
      <c r="Q252" s="225">
        <v>1</v>
      </c>
      <c r="R252" s="225">
        <v>1</v>
      </c>
      <c r="S252" s="225">
        <f t="shared" si="43"/>
        <v>0</v>
      </c>
      <c r="T252" s="225" t="str" cm="1">
        <f t="array" ref="T252">+_xlfn.IFS($P252&lt;=10000000000,IF(S252&gt;-0.05,"Verde",IF(S252&lt;=-0.1,"Rojo","Amarillo")),$P252&gt;10000000000,IF(S252&gt;-0.03,"Verde",IF(S252&lt;=-0.07,"Rojo","Amarillo")))</f>
        <v>Verde</v>
      </c>
      <c r="U252" s="226" t="s">
        <v>25</v>
      </c>
      <c r="V252" s="226" t="s">
        <v>25</v>
      </c>
      <c r="W252" s="226"/>
      <c r="X252" s="226"/>
      <c r="Y252" s="272">
        <v>45657</v>
      </c>
      <c r="Z252" s="225" t="str">
        <f t="shared" ca="1" si="45"/>
        <v>Terminado</v>
      </c>
      <c r="AA252" s="225" t="str">
        <f t="shared" ca="1" si="46"/>
        <v>-</v>
      </c>
      <c r="AB252" s="273" t="s">
        <v>364</v>
      </c>
      <c r="AC252" s="272">
        <v>45657</v>
      </c>
      <c r="AD252" s="227">
        <v>45840</v>
      </c>
      <c r="AE252" s="221" t="s">
        <v>25</v>
      </c>
      <c r="AF252" s="223" t="s">
        <v>341</v>
      </c>
      <c r="AG252" s="223" t="s">
        <v>341</v>
      </c>
      <c r="AH252" s="223" t="s">
        <v>341</v>
      </c>
      <c r="AI252" s="221" t="s">
        <v>341</v>
      </c>
      <c r="AJ252" s="223" t="s">
        <v>341</v>
      </c>
      <c r="AK252" s="223" t="s">
        <v>341</v>
      </c>
      <c r="AL252" s="230" t="s">
        <v>341</v>
      </c>
      <c r="AM252" s="231">
        <v>0</v>
      </c>
      <c r="AN252" s="231">
        <v>0</v>
      </c>
      <c r="AO252" s="231">
        <f t="shared" si="47"/>
        <v>0</v>
      </c>
      <c r="AP252" s="231">
        <v>0</v>
      </c>
      <c r="AQ252" s="231">
        <v>0</v>
      </c>
      <c r="AR252" s="231">
        <v>0</v>
      </c>
      <c r="AS252" s="231">
        <v>0</v>
      </c>
      <c r="AT252" s="231">
        <f t="shared" si="48"/>
        <v>0</v>
      </c>
      <c r="AU252" s="231">
        <v>0</v>
      </c>
      <c r="AV252" s="231">
        <v>0</v>
      </c>
      <c r="AW252" s="232"/>
      <c r="AX252" s="232" t="s">
        <v>2441</v>
      </c>
      <c r="AY252" s="232" t="s">
        <v>1583</v>
      </c>
      <c r="AZ252" s="232"/>
      <c r="BA252" s="221" t="s">
        <v>1596</v>
      </c>
      <c r="BB252" s="221" t="s">
        <v>1591</v>
      </c>
      <c r="BC252" s="233" t="s">
        <v>364</v>
      </c>
      <c r="BF252" s="51"/>
    </row>
    <row r="253" spans="1:58" ht="13.5" customHeight="1">
      <c r="A253" s="220">
        <f t="shared" si="42"/>
        <v>252</v>
      </c>
      <c r="B253" s="221" t="s">
        <v>1573</v>
      </c>
      <c r="C253" s="221" t="s">
        <v>1574</v>
      </c>
      <c r="D253" s="221" t="s">
        <v>365</v>
      </c>
      <c r="E253" s="221" t="s">
        <v>1575</v>
      </c>
      <c r="F253" s="221" t="s">
        <v>1576</v>
      </c>
      <c r="G253" s="222" t="s">
        <v>1597</v>
      </c>
      <c r="H253" s="221" t="s">
        <v>163</v>
      </c>
      <c r="I253" s="221" t="s">
        <v>859</v>
      </c>
      <c r="J253" s="221" t="s">
        <v>1598</v>
      </c>
      <c r="K253" s="221" t="s">
        <v>1599</v>
      </c>
      <c r="L253" s="221">
        <v>-748280211246637</v>
      </c>
      <c r="M253" s="221">
        <v>10.936401436934201</v>
      </c>
      <c r="N253" s="223" t="s">
        <v>126</v>
      </c>
      <c r="O253" s="230" t="s">
        <v>127</v>
      </c>
      <c r="P253" s="224">
        <f t="shared" si="44"/>
        <v>0</v>
      </c>
      <c r="Q253" s="225">
        <v>1</v>
      </c>
      <c r="R253" s="225">
        <v>1</v>
      </c>
      <c r="S253" s="225">
        <f t="shared" si="43"/>
        <v>0</v>
      </c>
      <c r="T253" s="225" t="str" cm="1">
        <f t="array" ref="T253">+_xlfn.IFS($P253&lt;=10000000000,IF(S253&gt;-0.05,"Verde",IF(S253&lt;=-0.1,"Rojo","Amarillo")),$P253&gt;10000000000,IF(S253&gt;-0.03,"Verde",IF(S253&lt;=-0.07,"Rojo","Amarillo")))</f>
        <v>Verde</v>
      </c>
      <c r="U253" s="226" t="s">
        <v>25</v>
      </c>
      <c r="V253" s="226" t="s">
        <v>25</v>
      </c>
      <c r="W253" s="226"/>
      <c r="X253" s="226"/>
      <c r="Y253" s="272">
        <v>45657</v>
      </c>
      <c r="Z253" s="225" t="str">
        <f t="shared" ca="1" si="45"/>
        <v>Terminado</v>
      </c>
      <c r="AA253" s="225" t="str">
        <f t="shared" ca="1" si="46"/>
        <v>-</v>
      </c>
      <c r="AB253" s="273" t="s">
        <v>364</v>
      </c>
      <c r="AC253" s="272">
        <v>45657</v>
      </c>
      <c r="AD253" s="227">
        <v>45840</v>
      </c>
      <c r="AE253" s="221" t="s">
        <v>25</v>
      </c>
      <c r="AF253" s="223" t="s">
        <v>341</v>
      </c>
      <c r="AG253" s="223" t="s">
        <v>341</v>
      </c>
      <c r="AH253" s="223" t="s">
        <v>341</v>
      </c>
      <c r="AI253" s="221" t="s">
        <v>341</v>
      </c>
      <c r="AJ253" s="223" t="s">
        <v>341</v>
      </c>
      <c r="AK253" s="223" t="s">
        <v>341</v>
      </c>
      <c r="AL253" s="230" t="s">
        <v>341</v>
      </c>
      <c r="AM253" s="231">
        <v>0</v>
      </c>
      <c r="AN253" s="231">
        <v>0</v>
      </c>
      <c r="AO253" s="231">
        <f t="shared" si="47"/>
        <v>0</v>
      </c>
      <c r="AP253" s="231">
        <v>0</v>
      </c>
      <c r="AQ253" s="231">
        <v>0</v>
      </c>
      <c r="AR253" s="231">
        <v>0</v>
      </c>
      <c r="AS253" s="231">
        <v>0</v>
      </c>
      <c r="AT253" s="231">
        <f t="shared" si="48"/>
        <v>0</v>
      </c>
      <c r="AU253" s="231">
        <v>0</v>
      </c>
      <c r="AV253" s="231">
        <v>0</v>
      </c>
      <c r="AW253" s="232"/>
      <c r="AX253" s="232" t="s">
        <v>2441</v>
      </c>
      <c r="AY253" s="232" t="s">
        <v>1583</v>
      </c>
      <c r="AZ253" s="232"/>
      <c r="BA253" s="221" t="s">
        <v>1600</v>
      </c>
      <c r="BB253" s="221" t="s">
        <v>1591</v>
      </c>
      <c r="BC253" s="233" t="s">
        <v>364</v>
      </c>
      <c r="BF253" s="51"/>
    </row>
    <row r="254" spans="1:58" ht="13.5" customHeight="1">
      <c r="A254" s="220">
        <f t="shared" si="42"/>
        <v>253</v>
      </c>
      <c r="B254" s="221" t="s">
        <v>1573</v>
      </c>
      <c r="C254" s="221" t="s">
        <v>1574</v>
      </c>
      <c r="D254" s="221" t="s">
        <v>365</v>
      </c>
      <c r="E254" s="221" t="s">
        <v>1575</v>
      </c>
      <c r="F254" s="221" t="s">
        <v>1576</v>
      </c>
      <c r="G254" s="222" t="s">
        <v>1601</v>
      </c>
      <c r="H254" s="221" t="s">
        <v>163</v>
      </c>
      <c r="I254" s="221" t="s">
        <v>1504</v>
      </c>
      <c r="J254" s="221" t="s">
        <v>1602</v>
      </c>
      <c r="K254" s="221" t="s">
        <v>1603</v>
      </c>
      <c r="L254" s="221">
        <v>-7480036035852620</v>
      </c>
      <c r="M254" s="221">
        <v>10.930163048382401</v>
      </c>
      <c r="N254" s="223" t="s">
        <v>126</v>
      </c>
      <c r="O254" s="230" t="s">
        <v>127</v>
      </c>
      <c r="P254" s="224">
        <f t="shared" si="44"/>
        <v>0</v>
      </c>
      <c r="Q254" s="225">
        <v>1</v>
      </c>
      <c r="R254" s="225">
        <v>1</v>
      </c>
      <c r="S254" s="225">
        <f t="shared" si="43"/>
        <v>0</v>
      </c>
      <c r="T254" s="225" t="str" cm="1">
        <f t="array" ref="T254">+_xlfn.IFS($P254&lt;=10000000000,IF(S254&gt;-0.05,"Verde",IF(S254&lt;=-0.1,"Rojo","Amarillo")),$P254&gt;10000000000,IF(S254&gt;-0.03,"Verde",IF(S254&lt;=-0.07,"Rojo","Amarillo")))</f>
        <v>Verde</v>
      </c>
      <c r="U254" s="226" t="s">
        <v>25</v>
      </c>
      <c r="V254" s="226" t="s">
        <v>25</v>
      </c>
      <c r="W254" s="226"/>
      <c r="X254" s="226"/>
      <c r="Y254" s="272">
        <v>45657</v>
      </c>
      <c r="Z254" s="225" t="str">
        <f t="shared" ca="1" si="45"/>
        <v>Terminado</v>
      </c>
      <c r="AA254" s="225" t="str">
        <f t="shared" ca="1" si="46"/>
        <v>-</v>
      </c>
      <c r="AB254" s="273" t="s">
        <v>364</v>
      </c>
      <c r="AC254" s="272">
        <v>45657</v>
      </c>
      <c r="AD254" s="227">
        <v>45840</v>
      </c>
      <c r="AE254" s="221" t="s">
        <v>25</v>
      </c>
      <c r="AF254" s="223" t="s">
        <v>341</v>
      </c>
      <c r="AG254" s="223" t="s">
        <v>341</v>
      </c>
      <c r="AH254" s="223" t="s">
        <v>341</v>
      </c>
      <c r="AI254" s="221" t="s">
        <v>341</v>
      </c>
      <c r="AJ254" s="223" t="s">
        <v>341</v>
      </c>
      <c r="AK254" s="223" t="s">
        <v>341</v>
      </c>
      <c r="AL254" s="230" t="s">
        <v>341</v>
      </c>
      <c r="AM254" s="231">
        <v>0</v>
      </c>
      <c r="AN254" s="231">
        <v>0</v>
      </c>
      <c r="AO254" s="231">
        <f t="shared" si="47"/>
        <v>0</v>
      </c>
      <c r="AP254" s="231">
        <v>0</v>
      </c>
      <c r="AQ254" s="231">
        <v>0</v>
      </c>
      <c r="AR254" s="231">
        <v>0</v>
      </c>
      <c r="AS254" s="231">
        <v>0</v>
      </c>
      <c r="AT254" s="231">
        <f t="shared" si="48"/>
        <v>0</v>
      </c>
      <c r="AU254" s="231">
        <v>0</v>
      </c>
      <c r="AV254" s="231">
        <v>0</v>
      </c>
      <c r="AW254" s="232"/>
      <c r="AX254" s="232" t="s">
        <v>2441</v>
      </c>
      <c r="AY254" s="232" t="s">
        <v>1583</v>
      </c>
      <c r="AZ254" s="232"/>
      <c r="BA254" s="221" t="s">
        <v>1604</v>
      </c>
      <c r="BB254" s="221"/>
      <c r="BC254" s="233" t="s">
        <v>364</v>
      </c>
      <c r="BF254" s="51"/>
    </row>
    <row r="255" spans="1:58" ht="13.5" customHeight="1">
      <c r="A255" s="220">
        <f t="shared" si="42"/>
        <v>254</v>
      </c>
      <c r="B255" s="221" t="s">
        <v>1573</v>
      </c>
      <c r="C255" s="221" t="s">
        <v>1574</v>
      </c>
      <c r="D255" s="221" t="s">
        <v>365</v>
      </c>
      <c r="E255" s="221" t="s">
        <v>1575</v>
      </c>
      <c r="F255" s="221" t="s">
        <v>1576</v>
      </c>
      <c r="G255" s="222" t="s">
        <v>1605</v>
      </c>
      <c r="H255" s="221" t="s">
        <v>582</v>
      </c>
      <c r="I255" s="221" t="s">
        <v>932</v>
      </c>
      <c r="J255" s="221" t="s">
        <v>1606</v>
      </c>
      <c r="K255" s="221" t="s">
        <v>1607</v>
      </c>
      <c r="L255" s="221">
        <v>-7477443412078670</v>
      </c>
      <c r="M255" s="221">
        <v>10.9664906462334</v>
      </c>
      <c r="N255" s="223" t="s">
        <v>126</v>
      </c>
      <c r="O255" s="230" t="s">
        <v>127</v>
      </c>
      <c r="P255" s="224">
        <f t="shared" si="44"/>
        <v>0</v>
      </c>
      <c r="Q255" s="225">
        <v>1</v>
      </c>
      <c r="R255" s="225">
        <v>1</v>
      </c>
      <c r="S255" s="225">
        <f t="shared" si="43"/>
        <v>0</v>
      </c>
      <c r="T255" s="225" t="str" cm="1">
        <f t="array" ref="T255">+_xlfn.IFS($P255&lt;=10000000000,IF(S255&gt;-0.05,"Verde",IF(S255&lt;=-0.1,"Rojo","Amarillo")),$P255&gt;10000000000,IF(S255&gt;-0.03,"Verde",IF(S255&lt;=-0.07,"Rojo","Amarillo")))</f>
        <v>Verde</v>
      </c>
      <c r="U255" s="226" t="s">
        <v>25</v>
      </c>
      <c r="V255" s="226" t="s">
        <v>25</v>
      </c>
      <c r="W255" s="226"/>
      <c r="X255" s="226"/>
      <c r="Y255" s="272">
        <v>45657</v>
      </c>
      <c r="Z255" s="225" t="str">
        <f t="shared" ca="1" si="45"/>
        <v>Terminado</v>
      </c>
      <c r="AA255" s="225" t="str">
        <f t="shared" ca="1" si="46"/>
        <v>-</v>
      </c>
      <c r="AB255" s="273" t="s">
        <v>364</v>
      </c>
      <c r="AC255" s="272">
        <v>45657</v>
      </c>
      <c r="AD255" s="227">
        <v>45841</v>
      </c>
      <c r="AE255" s="221" t="s">
        <v>25</v>
      </c>
      <c r="AF255" s="223" t="s">
        <v>341</v>
      </c>
      <c r="AG255" s="223" t="s">
        <v>341</v>
      </c>
      <c r="AH255" s="223" t="s">
        <v>341</v>
      </c>
      <c r="AI255" s="221" t="s">
        <v>341</v>
      </c>
      <c r="AJ255" s="223" t="s">
        <v>341</v>
      </c>
      <c r="AK255" s="223" t="s">
        <v>341</v>
      </c>
      <c r="AL255" s="230" t="s">
        <v>341</v>
      </c>
      <c r="AM255" s="231">
        <v>0</v>
      </c>
      <c r="AN255" s="231">
        <v>0</v>
      </c>
      <c r="AO255" s="231">
        <f t="shared" si="47"/>
        <v>0</v>
      </c>
      <c r="AP255" s="231">
        <v>0</v>
      </c>
      <c r="AQ255" s="231">
        <v>0</v>
      </c>
      <c r="AR255" s="231">
        <v>0</v>
      </c>
      <c r="AS255" s="231">
        <v>0</v>
      </c>
      <c r="AT255" s="231">
        <f t="shared" si="48"/>
        <v>0</v>
      </c>
      <c r="AU255" s="231">
        <v>0</v>
      </c>
      <c r="AV255" s="231">
        <v>0</v>
      </c>
      <c r="AW255" s="232"/>
      <c r="AX255" s="232" t="s">
        <v>2441</v>
      </c>
      <c r="AY255" s="232" t="s">
        <v>1583</v>
      </c>
      <c r="AZ255" s="232"/>
      <c r="BA255" s="221" t="s">
        <v>1608</v>
      </c>
      <c r="BB255" s="221" t="s">
        <v>1591</v>
      </c>
      <c r="BC255" s="233" t="s">
        <v>364</v>
      </c>
      <c r="BF255" s="51"/>
    </row>
    <row r="256" spans="1:58" ht="13.5" customHeight="1">
      <c r="A256" s="220">
        <f t="shared" si="42"/>
        <v>255</v>
      </c>
      <c r="B256" s="221" t="s">
        <v>1573</v>
      </c>
      <c r="C256" s="221" t="s">
        <v>1574</v>
      </c>
      <c r="D256" s="221" t="s">
        <v>365</v>
      </c>
      <c r="E256" s="221" t="s">
        <v>1575</v>
      </c>
      <c r="F256" s="221" t="s">
        <v>1576</v>
      </c>
      <c r="G256" s="222" t="s">
        <v>1609</v>
      </c>
      <c r="H256" s="221" t="s">
        <v>582</v>
      </c>
      <c r="I256" s="221" t="s">
        <v>1610</v>
      </c>
      <c r="J256" s="221" t="s">
        <v>1611</v>
      </c>
      <c r="K256" s="221" t="s">
        <v>1612</v>
      </c>
      <c r="L256" s="221">
        <v>-7479001769195120</v>
      </c>
      <c r="M256" s="221">
        <v>10.9623895818681</v>
      </c>
      <c r="N256" s="223" t="s">
        <v>126</v>
      </c>
      <c r="O256" s="230" t="s">
        <v>127</v>
      </c>
      <c r="P256" s="224">
        <f t="shared" si="44"/>
        <v>0</v>
      </c>
      <c r="Q256" s="225">
        <v>1</v>
      </c>
      <c r="R256" s="225">
        <v>1</v>
      </c>
      <c r="S256" s="225">
        <f t="shared" si="43"/>
        <v>0</v>
      </c>
      <c r="T256" s="225" t="str" cm="1">
        <f t="array" ref="T256">+_xlfn.IFS($P256&lt;=10000000000,IF(S256&gt;-0.05,"Verde",IF(S256&lt;=-0.1,"Rojo","Amarillo")),$P256&gt;10000000000,IF(S256&gt;-0.03,"Verde",IF(S256&lt;=-0.07,"Rojo","Amarillo")))</f>
        <v>Verde</v>
      </c>
      <c r="U256" s="226" t="s">
        <v>25</v>
      </c>
      <c r="V256" s="226" t="s">
        <v>25</v>
      </c>
      <c r="W256" s="226"/>
      <c r="X256" s="226"/>
      <c r="Y256" s="272">
        <v>45657</v>
      </c>
      <c r="Z256" s="225" t="str">
        <f t="shared" ca="1" si="45"/>
        <v>Terminado</v>
      </c>
      <c r="AA256" s="225" t="str">
        <f t="shared" ca="1" si="46"/>
        <v>-</v>
      </c>
      <c r="AB256" s="273" t="s">
        <v>364</v>
      </c>
      <c r="AC256" s="272">
        <v>45657</v>
      </c>
      <c r="AD256" s="227">
        <v>45840</v>
      </c>
      <c r="AE256" s="221" t="s">
        <v>25</v>
      </c>
      <c r="AF256" s="223" t="s">
        <v>341</v>
      </c>
      <c r="AG256" s="223" t="s">
        <v>341</v>
      </c>
      <c r="AH256" s="223" t="s">
        <v>341</v>
      </c>
      <c r="AI256" s="221" t="s">
        <v>341</v>
      </c>
      <c r="AJ256" s="223" t="s">
        <v>341</v>
      </c>
      <c r="AK256" s="223" t="s">
        <v>341</v>
      </c>
      <c r="AL256" s="230" t="s">
        <v>341</v>
      </c>
      <c r="AM256" s="231">
        <v>0</v>
      </c>
      <c r="AN256" s="231">
        <v>0</v>
      </c>
      <c r="AO256" s="231">
        <f t="shared" si="47"/>
        <v>0</v>
      </c>
      <c r="AP256" s="231">
        <v>0</v>
      </c>
      <c r="AQ256" s="231">
        <v>0</v>
      </c>
      <c r="AR256" s="231">
        <v>0</v>
      </c>
      <c r="AS256" s="231">
        <v>0</v>
      </c>
      <c r="AT256" s="231">
        <f t="shared" si="48"/>
        <v>0</v>
      </c>
      <c r="AU256" s="231">
        <v>0</v>
      </c>
      <c r="AV256" s="231">
        <v>0</v>
      </c>
      <c r="AW256" s="232"/>
      <c r="AX256" s="232" t="s">
        <v>2441</v>
      </c>
      <c r="AY256" s="232" t="s">
        <v>1583</v>
      </c>
      <c r="AZ256" s="232"/>
      <c r="BA256" s="221" t="s">
        <v>1608</v>
      </c>
      <c r="BB256" s="221" t="s">
        <v>1591</v>
      </c>
      <c r="BC256" s="233" t="s">
        <v>364</v>
      </c>
      <c r="BF256" s="51"/>
    </row>
    <row r="257" spans="1:58" ht="13.5" customHeight="1">
      <c r="A257" s="220">
        <f t="shared" si="42"/>
        <v>256</v>
      </c>
      <c r="B257" s="221" t="s">
        <v>1573</v>
      </c>
      <c r="C257" s="221" t="s">
        <v>1574</v>
      </c>
      <c r="D257" s="221" t="s">
        <v>365</v>
      </c>
      <c r="E257" s="221" t="s">
        <v>1575</v>
      </c>
      <c r="F257" s="221" t="s">
        <v>1576</v>
      </c>
      <c r="G257" s="222" t="s">
        <v>1613</v>
      </c>
      <c r="H257" s="221" t="s">
        <v>582</v>
      </c>
      <c r="I257" s="221" t="s">
        <v>955</v>
      </c>
      <c r="J257" s="221" t="s">
        <v>1614</v>
      </c>
      <c r="K257" s="221" t="s">
        <v>1615</v>
      </c>
      <c r="L257" s="221">
        <v>-747910424458759</v>
      </c>
      <c r="M257" s="221">
        <v>10.9487615377025</v>
      </c>
      <c r="N257" s="223" t="s">
        <v>228</v>
      </c>
      <c r="O257" s="230" t="s">
        <v>229</v>
      </c>
      <c r="P257" s="224">
        <f t="shared" si="44"/>
        <v>0</v>
      </c>
      <c r="Q257" s="225">
        <v>1</v>
      </c>
      <c r="R257" s="225">
        <v>0.98</v>
      </c>
      <c r="S257" s="225">
        <f t="shared" si="43"/>
        <v>-2.0000000000000018E-2</v>
      </c>
      <c r="T257" s="225" t="str" cm="1">
        <f t="array" ref="T257">+_xlfn.IFS($P257&lt;=10000000000,IF(S257&gt;-0.05,"Verde",IF(S257&lt;=-0.1,"Rojo","Amarillo")),$P257&gt;10000000000,IF(S257&gt;-0.03,"Verde",IF(S257&lt;=-0.07,"Rojo","Amarillo")))</f>
        <v>Verde</v>
      </c>
      <c r="U257" s="226" t="s">
        <v>25</v>
      </c>
      <c r="V257" s="226" t="s">
        <v>25</v>
      </c>
      <c r="W257" s="226"/>
      <c r="X257" s="226"/>
      <c r="Y257" s="272">
        <v>45657</v>
      </c>
      <c r="Z257" s="225" t="str">
        <f t="shared" ca="1" si="45"/>
        <v>En_Ejecución</v>
      </c>
      <c r="AA257" s="225" t="str">
        <f t="shared" ca="1" si="46"/>
        <v>-</v>
      </c>
      <c r="AB257" s="273" t="s">
        <v>364</v>
      </c>
      <c r="AC257" s="272">
        <v>45961</v>
      </c>
      <c r="AD257" s="227"/>
      <c r="AE257" s="221" t="s">
        <v>25</v>
      </c>
      <c r="AF257" s="223" t="s">
        <v>341</v>
      </c>
      <c r="AG257" s="223" t="s">
        <v>341</v>
      </c>
      <c r="AH257" s="223" t="s">
        <v>341</v>
      </c>
      <c r="AI257" s="221" t="s">
        <v>341</v>
      </c>
      <c r="AJ257" s="223" t="s">
        <v>341</v>
      </c>
      <c r="AK257" s="223" t="s">
        <v>341</v>
      </c>
      <c r="AL257" s="230" t="s">
        <v>341</v>
      </c>
      <c r="AM257" s="231">
        <v>0</v>
      </c>
      <c r="AN257" s="231">
        <v>0</v>
      </c>
      <c r="AO257" s="231">
        <f t="shared" si="47"/>
        <v>0</v>
      </c>
      <c r="AP257" s="231">
        <v>0</v>
      </c>
      <c r="AQ257" s="231">
        <v>0</v>
      </c>
      <c r="AR257" s="231">
        <v>0</v>
      </c>
      <c r="AS257" s="231">
        <v>0</v>
      </c>
      <c r="AT257" s="231">
        <f t="shared" si="48"/>
        <v>0</v>
      </c>
      <c r="AU257" s="231">
        <v>0</v>
      </c>
      <c r="AV257" s="231">
        <v>0</v>
      </c>
      <c r="AW257" s="232" t="s">
        <v>1616</v>
      </c>
      <c r="AX257" s="232" t="s">
        <v>2441</v>
      </c>
      <c r="AY257" s="232" t="s">
        <v>1583</v>
      </c>
      <c r="AZ257" s="232"/>
      <c r="BA257" s="221" t="s">
        <v>1608</v>
      </c>
      <c r="BB257" s="221"/>
      <c r="BC257" s="233" t="s">
        <v>364</v>
      </c>
      <c r="BF257" s="51"/>
    </row>
    <row r="258" spans="1:58" ht="13.5" customHeight="1">
      <c r="A258" s="220">
        <f t="shared" si="42"/>
        <v>257</v>
      </c>
      <c r="B258" s="221" t="s">
        <v>1573</v>
      </c>
      <c r="C258" s="221" t="s">
        <v>1574</v>
      </c>
      <c r="D258" s="221" t="s">
        <v>365</v>
      </c>
      <c r="E258" s="221" t="s">
        <v>1575</v>
      </c>
      <c r="F258" s="221" t="s">
        <v>1576</v>
      </c>
      <c r="G258" s="222" t="s">
        <v>1617</v>
      </c>
      <c r="H258" s="221" t="s">
        <v>163</v>
      </c>
      <c r="I258" s="221" t="s">
        <v>903</v>
      </c>
      <c r="J258" s="221" t="s">
        <v>1618</v>
      </c>
      <c r="K258" s="221" t="s">
        <v>1619</v>
      </c>
      <c r="L258" s="221">
        <v>-74.812552861267207</v>
      </c>
      <c r="M258" s="221">
        <v>10.939860501919201</v>
      </c>
      <c r="N258" s="223" t="s">
        <v>126</v>
      </c>
      <c r="O258" s="230" t="s">
        <v>127</v>
      </c>
      <c r="P258" s="224">
        <f t="shared" si="44"/>
        <v>0</v>
      </c>
      <c r="Q258" s="225">
        <v>1</v>
      </c>
      <c r="R258" s="225">
        <v>1</v>
      </c>
      <c r="S258" s="225">
        <f t="shared" si="43"/>
        <v>0</v>
      </c>
      <c r="T258" s="225" t="str" cm="1">
        <f t="array" ref="T258">+_xlfn.IFS($P258&lt;=10000000000,IF(S258&gt;-0.05,"Verde",IF(S258&lt;=-0.1,"Rojo","Amarillo")),$P258&gt;10000000000,IF(S258&gt;-0.03,"Verde",IF(S258&lt;=-0.07,"Rojo","Amarillo")))</f>
        <v>Verde</v>
      </c>
      <c r="U258" s="226" t="s">
        <v>25</v>
      </c>
      <c r="V258" s="226" t="s">
        <v>25</v>
      </c>
      <c r="W258" s="226"/>
      <c r="X258" s="226"/>
      <c r="Y258" s="272">
        <v>45657</v>
      </c>
      <c r="Z258" s="225" t="str">
        <f t="shared" ca="1" si="45"/>
        <v>Terminado</v>
      </c>
      <c r="AA258" s="225" t="str">
        <f t="shared" ca="1" si="46"/>
        <v>-</v>
      </c>
      <c r="AB258" s="273" t="s">
        <v>364</v>
      </c>
      <c r="AC258" s="272">
        <v>45657</v>
      </c>
      <c r="AD258" s="227">
        <v>45840</v>
      </c>
      <c r="AE258" s="221" t="s">
        <v>25</v>
      </c>
      <c r="AF258" s="223" t="s">
        <v>341</v>
      </c>
      <c r="AG258" s="223" t="s">
        <v>341</v>
      </c>
      <c r="AH258" s="223" t="s">
        <v>341</v>
      </c>
      <c r="AI258" s="221" t="s">
        <v>341</v>
      </c>
      <c r="AJ258" s="223" t="s">
        <v>341</v>
      </c>
      <c r="AK258" s="223" t="s">
        <v>341</v>
      </c>
      <c r="AL258" s="230" t="s">
        <v>341</v>
      </c>
      <c r="AM258" s="231">
        <v>0</v>
      </c>
      <c r="AN258" s="231">
        <v>0</v>
      </c>
      <c r="AO258" s="231">
        <f t="shared" si="47"/>
        <v>0</v>
      </c>
      <c r="AP258" s="231">
        <v>0</v>
      </c>
      <c r="AQ258" s="231">
        <v>0</v>
      </c>
      <c r="AR258" s="231">
        <v>0</v>
      </c>
      <c r="AS258" s="231">
        <v>0</v>
      </c>
      <c r="AT258" s="231">
        <f t="shared" si="48"/>
        <v>0</v>
      </c>
      <c r="AU258" s="231">
        <v>0</v>
      </c>
      <c r="AV258" s="231">
        <v>0</v>
      </c>
      <c r="AW258" s="232"/>
      <c r="AX258" s="232" t="s">
        <v>2441</v>
      </c>
      <c r="AY258" s="232" t="s">
        <v>1583</v>
      </c>
      <c r="AZ258" s="232"/>
      <c r="BA258" s="221" t="s">
        <v>1620</v>
      </c>
      <c r="BB258" s="221" t="s">
        <v>1591</v>
      </c>
      <c r="BC258" s="233" t="s">
        <v>128</v>
      </c>
      <c r="BF258" s="51"/>
    </row>
    <row r="259" spans="1:58" ht="13.5" customHeight="1">
      <c r="A259" s="220">
        <f t="shared" si="42"/>
        <v>258</v>
      </c>
      <c r="B259" s="221" t="s">
        <v>1573</v>
      </c>
      <c r="C259" s="221" t="s">
        <v>1574</v>
      </c>
      <c r="D259" s="221" t="s">
        <v>365</v>
      </c>
      <c r="E259" s="221" t="s">
        <v>1575</v>
      </c>
      <c r="F259" s="221" t="s">
        <v>1576</v>
      </c>
      <c r="G259" s="222" t="s">
        <v>1621</v>
      </c>
      <c r="H259" s="221" t="s">
        <v>154</v>
      </c>
      <c r="I259" s="221" t="s">
        <v>1622</v>
      </c>
      <c r="J259" s="221" t="s">
        <v>1623</v>
      </c>
      <c r="K259" s="221" t="s">
        <v>1624</v>
      </c>
      <c r="L259" s="221">
        <v>-74.826732936128707</v>
      </c>
      <c r="M259" s="221">
        <v>10.9784530364161</v>
      </c>
      <c r="N259" s="223" t="s">
        <v>126</v>
      </c>
      <c r="O259" s="230" t="s">
        <v>127</v>
      </c>
      <c r="P259" s="224">
        <f t="shared" si="44"/>
        <v>0</v>
      </c>
      <c r="Q259" s="225">
        <v>1</v>
      </c>
      <c r="R259" s="225">
        <v>1</v>
      </c>
      <c r="S259" s="225">
        <f t="shared" si="43"/>
        <v>0</v>
      </c>
      <c r="T259" s="225" t="str" cm="1">
        <f t="array" ref="T259">+_xlfn.IFS($P259&lt;=10000000000,IF(S259&gt;-0.05,"Verde",IF(S259&lt;=-0.1,"Rojo","Amarillo")),$P259&gt;10000000000,IF(S259&gt;-0.03,"Verde",IF(S259&lt;=-0.07,"Rojo","Amarillo")))</f>
        <v>Verde</v>
      </c>
      <c r="U259" s="226" t="s">
        <v>25</v>
      </c>
      <c r="V259" s="226" t="s">
        <v>25</v>
      </c>
      <c r="W259" s="226"/>
      <c r="X259" s="226"/>
      <c r="Y259" s="272">
        <v>45657</v>
      </c>
      <c r="Z259" s="225" t="str">
        <f t="shared" ca="1" si="45"/>
        <v>Terminado</v>
      </c>
      <c r="AA259" s="225" t="str">
        <f t="shared" ca="1" si="46"/>
        <v>-</v>
      </c>
      <c r="AB259" s="273" t="s">
        <v>364</v>
      </c>
      <c r="AC259" s="272">
        <v>45657</v>
      </c>
      <c r="AD259" s="227">
        <v>45798</v>
      </c>
      <c r="AE259" s="221" t="s">
        <v>25</v>
      </c>
      <c r="AF259" s="223" t="s">
        <v>341</v>
      </c>
      <c r="AG259" s="223" t="s">
        <v>341</v>
      </c>
      <c r="AH259" s="223" t="s">
        <v>341</v>
      </c>
      <c r="AI259" s="221" t="s">
        <v>341</v>
      </c>
      <c r="AJ259" s="223" t="s">
        <v>341</v>
      </c>
      <c r="AK259" s="223" t="s">
        <v>341</v>
      </c>
      <c r="AL259" s="230" t="s">
        <v>341</v>
      </c>
      <c r="AM259" s="231">
        <v>0</v>
      </c>
      <c r="AN259" s="231">
        <v>0</v>
      </c>
      <c r="AO259" s="231">
        <f t="shared" si="47"/>
        <v>0</v>
      </c>
      <c r="AP259" s="231">
        <v>0</v>
      </c>
      <c r="AQ259" s="231">
        <v>0</v>
      </c>
      <c r="AR259" s="231">
        <v>0</v>
      </c>
      <c r="AS259" s="231">
        <v>0</v>
      </c>
      <c r="AT259" s="231">
        <f t="shared" si="48"/>
        <v>0</v>
      </c>
      <c r="AU259" s="231">
        <v>0</v>
      </c>
      <c r="AV259" s="231">
        <v>0</v>
      </c>
      <c r="AW259" s="232"/>
      <c r="AX259" s="232" t="s">
        <v>2441</v>
      </c>
      <c r="AY259" s="232" t="s">
        <v>1583</v>
      </c>
      <c r="AZ259" s="232"/>
      <c r="BA259" s="221" t="s">
        <v>1625</v>
      </c>
      <c r="BB259" s="221" t="s">
        <v>1626</v>
      </c>
      <c r="BC259" s="233" t="s">
        <v>128</v>
      </c>
      <c r="BF259" s="51"/>
    </row>
    <row r="260" spans="1:58" ht="13.5" customHeight="1">
      <c r="A260" s="220">
        <f t="shared" si="42"/>
        <v>259</v>
      </c>
      <c r="B260" s="221" t="s">
        <v>1573</v>
      </c>
      <c r="C260" s="221" t="s">
        <v>1574</v>
      </c>
      <c r="D260" s="221" t="s">
        <v>365</v>
      </c>
      <c r="E260" s="221" t="s">
        <v>1575</v>
      </c>
      <c r="F260" s="221" t="s">
        <v>1576</v>
      </c>
      <c r="G260" s="222" t="s">
        <v>1627</v>
      </c>
      <c r="H260" s="221" t="s">
        <v>154</v>
      </c>
      <c r="I260" s="221" t="s">
        <v>1474</v>
      </c>
      <c r="J260" s="221" t="s">
        <v>1628</v>
      </c>
      <c r="K260" s="221" t="s">
        <v>1629</v>
      </c>
      <c r="L260" s="221">
        <v>-74.893364982431393</v>
      </c>
      <c r="M260" s="221">
        <v>10.9557280208455</v>
      </c>
      <c r="N260" s="223" t="s">
        <v>126</v>
      </c>
      <c r="O260" s="230" t="s">
        <v>127</v>
      </c>
      <c r="P260" s="224">
        <f t="shared" si="44"/>
        <v>0</v>
      </c>
      <c r="Q260" s="225">
        <v>1</v>
      </c>
      <c r="R260" s="225">
        <v>1</v>
      </c>
      <c r="S260" s="225">
        <f t="shared" si="43"/>
        <v>0</v>
      </c>
      <c r="T260" s="225" t="str" cm="1">
        <f t="array" ref="T260">+_xlfn.IFS($P260&lt;=10000000000,IF(S260&gt;-0.05,"Verde",IF(S260&lt;=-0.1,"Rojo","Amarillo")),$P260&gt;10000000000,IF(S260&gt;-0.03,"Verde",IF(S260&lt;=-0.07,"Rojo","Amarillo")))</f>
        <v>Verde</v>
      </c>
      <c r="U260" s="226" t="s">
        <v>25</v>
      </c>
      <c r="V260" s="226" t="s">
        <v>25</v>
      </c>
      <c r="W260" s="226"/>
      <c r="X260" s="226"/>
      <c r="Y260" s="272">
        <v>45657</v>
      </c>
      <c r="Z260" s="225" t="str">
        <f t="shared" ca="1" si="45"/>
        <v>Terminado</v>
      </c>
      <c r="AA260" s="225" t="str">
        <f t="shared" ca="1" si="46"/>
        <v>-</v>
      </c>
      <c r="AB260" s="273" t="s">
        <v>364</v>
      </c>
      <c r="AC260" s="272">
        <v>45657</v>
      </c>
      <c r="AD260" s="227">
        <v>45798</v>
      </c>
      <c r="AE260" s="221" t="s">
        <v>25</v>
      </c>
      <c r="AF260" s="223" t="s">
        <v>341</v>
      </c>
      <c r="AG260" s="223" t="s">
        <v>341</v>
      </c>
      <c r="AH260" s="223" t="s">
        <v>341</v>
      </c>
      <c r="AI260" s="221" t="s">
        <v>341</v>
      </c>
      <c r="AJ260" s="223" t="s">
        <v>341</v>
      </c>
      <c r="AK260" s="223" t="s">
        <v>341</v>
      </c>
      <c r="AL260" s="230" t="s">
        <v>341</v>
      </c>
      <c r="AM260" s="231">
        <v>0</v>
      </c>
      <c r="AN260" s="231">
        <v>0</v>
      </c>
      <c r="AO260" s="231">
        <f t="shared" si="47"/>
        <v>0</v>
      </c>
      <c r="AP260" s="231">
        <v>0</v>
      </c>
      <c r="AQ260" s="231">
        <v>0</v>
      </c>
      <c r="AR260" s="231">
        <v>0</v>
      </c>
      <c r="AS260" s="231">
        <v>0</v>
      </c>
      <c r="AT260" s="231">
        <f t="shared" si="48"/>
        <v>0</v>
      </c>
      <c r="AU260" s="231">
        <v>0</v>
      </c>
      <c r="AV260" s="231">
        <v>0</v>
      </c>
      <c r="AW260" s="232"/>
      <c r="AX260" s="232" t="s">
        <v>2441</v>
      </c>
      <c r="AY260" s="232" t="s">
        <v>1583</v>
      </c>
      <c r="AZ260" s="232"/>
      <c r="BA260" s="221" t="s">
        <v>1608</v>
      </c>
      <c r="BB260" s="221" t="s">
        <v>1591</v>
      </c>
      <c r="BC260" s="233" t="s">
        <v>128</v>
      </c>
      <c r="BF260" s="51"/>
    </row>
    <row r="261" spans="1:58" ht="13.5" customHeight="1">
      <c r="A261" s="220">
        <f t="shared" si="42"/>
        <v>260</v>
      </c>
      <c r="B261" s="221" t="s">
        <v>1573</v>
      </c>
      <c r="C261" s="221" t="s">
        <v>1574</v>
      </c>
      <c r="D261" s="221" t="s">
        <v>365</v>
      </c>
      <c r="E261" s="221" t="s">
        <v>1575</v>
      </c>
      <c r="F261" s="221" t="s">
        <v>1576</v>
      </c>
      <c r="G261" s="222" t="s">
        <v>1630</v>
      </c>
      <c r="H261" s="221" t="s">
        <v>154</v>
      </c>
      <c r="I261" s="221" t="s">
        <v>1631</v>
      </c>
      <c r="J261" s="221" t="s">
        <v>1632</v>
      </c>
      <c r="K261" s="221" t="s">
        <v>1633</v>
      </c>
      <c r="L261" s="221">
        <v>-74.832219651138104</v>
      </c>
      <c r="M261" s="221">
        <v>10.956414398615999</v>
      </c>
      <c r="N261" s="223" t="s">
        <v>228</v>
      </c>
      <c r="O261" s="230" t="s">
        <v>229</v>
      </c>
      <c r="P261" s="224">
        <f t="shared" si="44"/>
        <v>0</v>
      </c>
      <c r="Q261" s="225">
        <v>0.98</v>
      </c>
      <c r="R261" s="225">
        <v>0.9</v>
      </c>
      <c r="S261" s="225">
        <f t="shared" si="43"/>
        <v>-7.999999999999996E-2</v>
      </c>
      <c r="T261" s="225" t="str" cm="1">
        <f t="array" ref="T261">+_xlfn.IFS($P261&lt;=10000000000,IF(S261&gt;-0.05,"Verde",IF(S261&lt;=-0.1,"Rojo","Amarillo")),$P261&gt;10000000000,IF(S261&gt;-0.03,"Verde",IF(S261&lt;=-0.07,"Rojo","Amarillo")))</f>
        <v>Amarillo</v>
      </c>
      <c r="U261" s="226" t="s">
        <v>25</v>
      </c>
      <c r="V261" s="226" t="s">
        <v>25</v>
      </c>
      <c r="W261" s="226"/>
      <c r="X261" s="226"/>
      <c r="Y261" s="272">
        <v>45657</v>
      </c>
      <c r="Z261" s="225" t="str">
        <f t="shared" ca="1" si="45"/>
        <v>Rojo</v>
      </c>
      <c r="AA261" s="225" t="str">
        <f t="shared" ca="1" si="46"/>
        <v>En_Seguimiento</v>
      </c>
      <c r="AB261" s="273" t="s">
        <v>364</v>
      </c>
      <c r="AC261" s="272">
        <v>45657</v>
      </c>
      <c r="AD261" s="227">
        <v>45467</v>
      </c>
      <c r="AE261" s="221" t="s">
        <v>25</v>
      </c>
      <c r="AF261" s="223" t="s">
        <v>341</v>
      </c>
      <c r="AG261" s="223" t="s">
        <v>341</v>
      </c>
      <c r="AH261" s="223" t="s">
        <v>341</v>
      </c>
      <c r="AI261" s="221" t="s">
        <v>341</v>
      </c>
      <c r="AJ261" s="223" t="s">
        <v>341</v>
      </c>
      <c r="AK261" s="223" t="s">
        <v>341</v>
      </c>
      <c r="AL261" s="230" t="s">
        <v>341</v>
      </c>
      <c r="AM261" s="231">
        <v>0</v>
      </c>
      <c r="AN261" s="231">
        <v>0</v>
      </c>
      <c r="AO261" s="231">
        <f t="shared" si="47"/>
        <v>0</v>
      </c>
      <c r="AP261" s="231">
        <v>0</v>
      </c>
      <c r="AQ261" s="231">
        <v>0</v>
      </c>
      <c r="AR261" s="231">
        <v>0</v>
      </c>
      <c r="AS261" s="231">
        <v>0</v>
      </c>
      <c r="AT261" s="231">
        <f t="shared" si="48"/>
        <v>0</v>
      </c>
      <c r="AU261" s="231">
        <v>0</v>
      </c>
      <c r="AV261" s="231">
        <v>0</v>
      </c>
      <c r="AW261" s="232"/>
      <c r="AX261" s="232" t="s">
        <v>2441</v>
      </c>
      <c r="AY261" s="232" t="s">
        <v>1583</v>
      </c>
      <c r="AZ261" s="232"/>
      <c r="BA261" s="221" t="s">
        <v>1634</v>
      </c>
      <c r="BB261" s="221" t="s">
        <v>1591</v>
      </c>
      <c r="BC261" s="233" t="s">
        <v>128</v>
      </c>
      <c r="BF261" s="51"/>
    </row>
    <row r="262" spans="1:58" ht="13.5" customHeight="1">
      <c r="A262" s="220">
        <f t="shared" si="42"/>
        <v>261</v>
      </c>
      <c r="B262" s="221" t="s">
        <v>1573</v>
      </c>
      <c r="C262" s="221" t="s">
        <v>1574</v>
      </c>
      <c r="D262" s="221" t="s">
        <v>365</v>
      </c>
      <c r="E262" s="221" t="s">
        <v>1575</v>
      </c>
      <c r="F262" s="221" t="s">
        <v>1576</v>
      </c>
      <c r="G262" s="222" t="s">
        <v>1635</v>
      </c>
      <c r="H262" s="221" t="s">
        <v>154</v>
      </c>
      <c r="I262" s="221" t="s">
        <v>1636</v>
      </c>
      <c r="J262" s="221" t="s">
        <v>1637</v>
      </c>
      <c r="K262" s="221" t="s">
        <v>1638</v>
      </c>
      <c r="L262" s="221">
        <v>-74.827937063115698</v>
      </c>
      <c r="M262" s="221">
        <v>10.958521019951901</v>
      </c>
      <c r="N262" s="223" t="s">
        <v>228</v>
      </c>
      <c r="O262" s="230" t="s">
        <v>229</v>
      </c>
      <c r="P262" s="224">
        <f t="shared" si="44"/>
        <v>0</v>
      </c>
      <c r="Q262" s="225">
        <v>0</v>
      </c>
      <c r="R262" s="225">
        <v>0.19</v>
      </c>
      <c r="S262" s="225">
        <f t="shared" si="43"/>
        <v>0.19</v>
      </c>
      <c r="T262" s="225" t="str" cm="1">
        <f t="array" ref="T262">+_xlfn.IFS($P262&lt;=10000000000,IF(S262&gt;-0.05,"Verde",IF(S262&lt;=-0.1,"Rojo","Amarillo")),$P262&gt;10000000000,IF(S262&gt;-0.03,"Verde",IF(S262&lt;=-0.07,"Rojo","Amarillo")))</f>
        <v>Verde</v>
      </c>
      <c r="U262" s="226" t="s">
        <v>25</v>
      </c>
      <c r="V262" s="226" t="s">
        <v>25</v>
      </c>
      <c r="W262" s="226"/>
      <c r="X262" s="226"/>
      <c r="Y262" s="272">
        <v>45657</v>
      </c>
      <c r="Z262" s="225" t="str">
        <f t="shared" ca="1" si="45"/>
        <v>En_Ejecución</v>
      </c>
      <c r="AA262" s="225" t="str">
        <f t="shared" ca="1" si="46"/>
        <v>-</v>
      </c>
      <c r="AB262" s="273" t="s">
        <v>364</v>
      </c>
      <c r="AC262" s="272">
        <v>45657</v>
      </c>
      <c r="AD262" s="227"/>
      <c r="AE262" s="221" t="s">
        <v>25</v>
      </c>
      <c r="AF262" s="223" t="s">
        <v>341</v>
      </c>
      <c r="AG262" s="223" t="s">
        <v>341</v>
      </c>
      <c r="AH262" s="223" t="s">
        <v>341</v>
      </c>
      <c r="AI262" s="221" t="s">
        <v>341</v>
      </c>
      <c r="AJ262" s="223" t="s">
        <v>341</v>
      </c>
      <c r="AK262" s="223" t="s">
        <v>341</v>
      </c>
      <c r="AL262" s="230" t="s">
        <v>341</v>
      </c>
      <c r="AM262" s="231">
        <v>0</v>
      </c>
      <c r="AN262" s="231">
        <v>0</v>
      </c>
      <c r="AO262" s="231">
        <f t="shared" si="47"/>
        <v>0</v>
      </c>
      <c r="AP262" s="231">
        <v>0</v>
      </c>
      <c r="AQ262" s="231">
        <v>0</v>
      </c>
      <c r="AR262" s="231">
        <v>0</v>
      </c>
      <c r="AS262" s="231">
        <v>0</v>
      </c>
      <c r="AT262" s="231">
        <f t="shared" si="48"/>
        <v>0</v>
      </c>
      <c r="AU262" s="231">
        <v>0</v>
      </c>
      <c r="AV262" s="231">
        <v>0</v>
      </c>
      <c r="AW262" s="232"/>
      <c r="AX262" s="232" t="s">
        <v>2441</v>
      </c>
      <c r="AY262" s="232" t="s">
        <v>1639</v>
      </c>
      <c r="AZ262" s="232"/>
      <c r="BA262" s="221" t="s">
        <v>534</v>
      </c>
      <c r="BB262" s="221" t="s">
        <v>1640</v>
      </c>
      <c r="BC262" s="233" t="s">
        <v>128</v>
      </c>
      <c r="BF262" s="51"/>
    </row>
    <row r="263" spans="1:58" ht="13.5" customHeight="1">
      <c r="A263" s="220">
        <f t="shared" si="42"/>
        <v>262</v>
      </c>
      <c r="B263" s="221" t="s">
        <v>1573</v>
      </c>
      <c r="C263" s="221" t="s">
        <v>1574</v>
      </c>
      <c r="D263" s="221" t="s">
        <v>365</v>
      </c>
      <c r="E263" s="221" t="s">
        <v>1575</v>
      </c>
      <c r="F263" s="221" t="s">
        <v>1576</v>
      </c>
      <c r="G263" s="222" t="s">
        <v>1641</v>
      </c>
      <c r="H263" s="221" t="s">
        <v>154</v>
      </c>
      <c r="I263" s="221" t="s">
        <v>1642</v>
      </c>
      <c r="J263" s="221" t="s">
        <v>1643</v>
      </c>
      <c r="K263" s="221" t="s">
        <v>1644</v>
      </c>
      <c r="L263" s="221">
        <v>-74.826606106654793</v>
      </c>
      <c r="M263" s="221">
        <v>10.948412293937199</v>
      </c>
      <c r="N263" s="223" t="s">
        <v>228</v>
      </c>
      <c r="O263" s="230" t="s">
        <v>229</v>
      </c>
      <c r="P263" s="224">
        <f t="shared" si="44"/>
        <v>0</v>
      </c>
      <c r="Q263" s="225">
        <v>1</v>
      </c>
      <c r="R263" s="225">
        <v>0.95</v>
      </c>
      <c r="S263" s="225">
        <f t="shared" si="43"/>
        <v>-5.0000000000000044E-2</v>
      </c>
      <c r="T263" s="225" t="str" cm="1">
        <f t="array" ref="T263">+_xlfn.IFS($P263&lt;=10000000000,IF(S263&gt;-0.05,"Verde",IF(S263&lt;=-0.1,"Rojo","Amarillo")),$P263&gt;10000000000,IF(S263&gt;-0.03,"Verde",IF(S263&lt;=-0.07,"Rojo","Amarillo")))</f>
        <v>Amarillo</v>
      </c>
      <c r="U263" s="226" t="s">
        <v>25</v>
      </c>
      <c r="V263" s="226" t="s">
        <v>25</v>
      </c>
      <c r="W263" s="226"/>
      <c r="X263" s="226"/>
      <c r="Y263" s="272">
        <v>45657</v>
      </c>
      <c r="Z263" s="225" t="str">
        <f t="shared" ca="1" si="45"/>
        <v>Rojo</v>
      </c>
      <c r="AA263" s="225" t="str">
        <f t="shared" ca="1" si="46"/>
        <v>En_Seguimiento</v>
      </c>
      <c r="AB263" s="273" t="s">
        <v>364</v>
      </c>
      <c r="AC263" s="272">
        <v>45657</v>
      </c>
      <c r="AD263" s="227"/>
      <c r="AE263" s="221" t="s">
        <v>25</v>
      </c>
      <c r="AF263" s="223" t="s">
        <v>341</v>
      </c>
      <c r="AG263" s="223" t="s">
        <v>341</v>
      </c>
      <c r="AH263" s="223" t="s">
        <v>341</v>
      </c>
      <c r="AI263" s="221" t="s">
        <v>341</v>
      </c>
      <c r="AJ263" s="223" t="s">
        <v>341</v>
      </c>
      <c r="AK263" s="223" t="s">
        <v>341</v>
      </c>
      <c r="AL263" s="230" t="s">
        <v>341</v>
      </c>
      <c r="AM263" s="231">
        <v>0</v>
      </c>
      <c r="AN263" s="231">
        <v>0</v>
      </c>
      <c r="AO263" s="231">
        <f t="shared" si="47"/>
        <v>0</v>
      </c>
      <c r="AP263" s="231">
        <v>0</v>
      </c>
      <c r="AQ263" s="231">
        <v>0</v>
      </c>
      <c r="AR263" s="231">
        <v>0</v>
      </c>
      <c r="AS263" s="231">
        <v>0</v>
      </c>
      <c r="AT263" s="231">
        <f t="shared" si="48"/>
        <v>0</v>
      </c>
      <c r="AU263" s="231">
        <v>0</v>
      </c>
      <c r="AV263" s="231">
        <v>0</v>
      </c>
      <c r="AW263" s="232"/>
      <c r="AX263" s="232" t="s">
        <v>2441</v>
      </c>
      <c r="AY263" s="232" t="s">
        <v>1583</v>
      </c>
      <c r="AZ263" s="232"/>
      <c r="BA263" s="221" t="s">
        <v>1608</v>
      </c>
      <c r="BB263" s="221" t="s">
        <v>1645</v>
      </c>
      <c r="BC263" s="233" t="s">
        <v>128</v>
      </c>
      <c r="BF263" s="51"/>
    </row>
    <row r="264" spans="1:58" ht="13.5" customHeight="1">
      <c r="A264" s="220">
        <f t="shared" si="42"/>
        <v>263</v>
      </c>
      <c r="B264" s="221" t="s">
        <v>1573</v>
      </c>
      <c r="C264" s="221" t="s">
        <v>1574</v>
      </c>
      <c r="D264" s="221" t="s">
        <v>365</v>
      </c>
      <c r="E264" s="221" t="s">
        <v>1575</v>
      </c>
      <c r="F264" s="221" t="s">
        <v>1576</v>
      </c>
      <c r="G264" s="222" t="s">
        <v>1646</v>
      </c>
      <c r="H264" s="221" t="s">
        <v>582</v>
      </c>
      <c r="I264" s="221" t="s">
        <v>1647</v>
      </c>
      <c r="J264" s="221" t="s">
        <v>1648</v>
      </c>
      <c r="K264" s="221" t="s">
        <v>1649</v>
      </c>
      <c r="L264" s="221">
        <v>-74.781313547773394</v>
      </c>
      <c r="M264" s="221">
        <v>10.9619444161284</v>
      </c>
      <c r="N264" s="223" t="s">
        <v>126</v>
      </c>
      <c r="O264" s="230" t="s">
        <v>127</v>
      </c>
      <c r="P264" s="224">
        <f t="shared" si="44"/>
        <v>0</v>
      </c>
      <c r="Q264" s="225">
        <v>1</v>
      </c>
      <c r="R264" s="225">
        <v>1</v>
      </c>
      <c r="S264" s="225">
        <f t="shared" si="43"/>
        <v>0</v>
      </c>
      <c r="T264" s="225" t="str" cm="1">
        <f t="array" ref="T264">+_xlfn.IFS($P264&lt;=10000000000,IF(S264&gt;-0.05,"Verde",IF(S264&lt;=-0.1,"Rojo","Amarillo")),$P264&gt;10000000000,IF(S264&gt;-0.03,"Verde",IF(S264&lt;=-0.07,"Rojo","Amarillo")))</f>
        <v>Verde</v>
      </c>
      <c r="U264" s="226" t="s">
        <v>25</v>
      </c>
      <c r="V264" s="226" t="s">
        <v>25</v>
      </c>
      <c r="W264" s="226"/>
      <c r="X264" s="226"/>
      <c r="Y264" s="272">
        <v>45657</v>
      </c>
      <c r="Z264" s="225" t="str">
        <f t="shared" ca="1" si="45"/>
        <v>Terminado</v>
      </c>
      <c r="AA264" s="225" t="str">
        <f t="shared" ca="1" si="46"/>
        <v>-</v>
      </c>
      <c r="AB264" s="273" t="s">
        <v>364</v>
      </c>
      <c r="AC264" s="272">
        <v>45657</v>
      </c>
      <c r="AD264" s="227">
        <v>45798</v>
      </c>
      <c r="AE264" s="221" t="s">
        <v>25</v>
      </c>
      <c r="AF264" s="223" t="s">
        <v>341</v>
      </c>
      <c r="AG264" s="223" t="s">
        <v>341</v>
      </c>
      <c r="AH264" s="223" t="s">
        <v>341</v>
      </c>
      <c r="AI264" s="221" t="s">
        <v>341</v>
      </c>
      <c r="AJ264" s="223" t="s">
        <v>341</v>
      </c>
      <c r="AK264" s="223" t="s">
        <v>341</v>
      </c>
      <c r="AL264" s="230" t="s">
        <v>341</v>
      </c>
      <c r="AM264" s="231">
        <v>0</v>
      </c>
      <c r="AN264" s="231">
        <v>0</v>
      </c>
      <c r="AO264" s="231">
        <f t="shared" si="47"/>
        <v>0</v>
      </c>
      <c r="AP264" s="231">
        <v>0</v>
      </c>
      <c r="AQ264" s="231">
        <v>0</v>
      </c>
      <c r="AR264" s="231">
        <v>0</v>
      </c>
      <c r="AS264" s="231">
        <v>0</v>
      </c>
      <c r="AT264" s="231">
        <f t="shared" ref="AT264:AT295" si="52">+AR264+AS264</f>
        <v>0</v>
      </c>
      <c r="AU264" s="231">
        <v>0</v>
      </c>
      <c r="AV264" s="231">
        <v>0</v>
      </c>
      <c r="AW264" s="232"/>
      <c r="AX264" s="232" t="s">
        <v>2441</v>
      </c>
      <c r="AY264" s="232" t="s">
        <v>1583</v>
      </c>
      <c r="AZ264" s="232"/>
      <c r="BA264" s="221" t="s">
        <v>1608</v>
      </c>
      <c r="BB264" s="221" t="s">
        <v>1650</v>
      </c>
      <c r="BC264" s="233" t="s">
        <v>128</v>
      </c>
      <c r="BF264" s="51"/>
    </row>
    <row r="265" spans="1:58" ht="13.5" customHeight="1">
      <c r="A265" s="220">
        <f t="shared" si="42"/>
        <v>264</v>
      </c>
      <c r="B265" s="221" t="s">
        <v>1573</v>
      </c>
      <c r="C265" s="221" t="s">
        <v>1574</v>
      </c>
      <c r="D265" s="221" t="s">
        <v>365</v>
      </c>
      <c r="E265" s="221" t="s">
        <v>1575</v>
      </c>
      <c r="F265" s="221" t="s">
        <v>1576</v>
      </c>
      <c r="G265" s="222" t="s">
        <v>1651</v>
      </c>
      <c r="H265" s="221" t="s">
        <v>163</v>
      </c>
      <c r="I265" s="221" t="s">
        <v>697</v>
      </c>
      <c r="J265" s="221" t="s">
        <v>1652</v>
      </c>
      <c r="K265" s="221" t="s">
        <v>1653</v>
      </c>
      <c r="L265" s="221">
        <v>-74.818405437326007</v>
      </c>
      <c r="M265" s="221">
        <v>10.933249798378601</v>
      </c>
      <c r="N265" s="223" t="s">
        <v>126</v>
      </c>
      <c r="O265" s="230" t="s">
        <v>127</v>
      </c>
      <c r="P265" s="224">
        <v>0</v>
      </c>
      <c r="Q265" s="225">
        <v>1</v>
      </c>
      <c r="R265" s="225">
        <v>1</v>
      </c>
      <c r="S265" s="225">
        <f t="shared" si="43"/>
        <v>0</v>
      </c>
      <c r="T265" s="225" t="str" cm="1">
        <f t="array" ref="T265">+_xlfn.IFS($P265&lt;=10000000000,IF(S265&gt;-0.05,"Verde",IF(S265&lt;=-0.1,"Rojo","Amarillo")),$P265&gt;10000000000,IF(S265&gt;-0.03,"Verde",IF(S265&lt;=-0.07,"Rojo","Amarillo")))</f>
        <v>Verde</v>
      </c>
      <c r="U265" s="226" t="s">
        <v>25</v>
      </c>
      <c r="V265" s="226" t="s">
        <v>25</v>
      </c>
      <c r="W265" s="226"/>
      <c r="X265" s="226"/>
      <c r="Y265" s="272">
        <v>45657</v>
      </c>
      <c r="Z265" s="225" t="str">
        <f t="shared" ca="1" si="45"/>
        <v>Terminado</v>
      </c>
      <c r="AA265" s="225" t="str">
        <f t="shared" ca="1" si="46"/>
        <v>-</v>
      </c>
      <c r="AB265" s="273" t="s">
        <v>128</v>
      </c>
      <c r="AC265" s="272">
        <v>45657</v>
      </c>
      <c r="AD265" s="227">
        <v>45798</v>
      </c>
      <c r="AE265" s="221" t="s">
        <v>25</v>
      </c>
      <c r="AF265" s="223" t="s">
        <v>341</v>
      </c>
      <c r="AG265" s="223" t="s">
        <v>341</v>
      </c>
      <c r="AH265" s="223" t="s">
        <v>341</v>
      </c>
      <c r="AI265" s="221" t="s">
        <v>341</v>
      </c>
      <c r="AJ265" s="223" t="s">
        <v>341</v>
      </c>
      <c r="AK265" s="223" t="s">
        <v>341</v>
      </c>
      <c r="AL265" s="230" t="s">
        <v>341</v>
      </c>
      <c r="AM265" s="231">
        <v>0</v>
      </c>
      <c r="AN265" s="231">
        <v>0</v>
      </c>
      <c r="AO265" s="231">
        <f t="shared" si="47"/>
        <v>0</v>
      </c>
      <c r="AP265" s="231">
        <v>0</v>
      </c>
      <c r="AQ265" s="231">
        <v>0</v>
      </c>
      <c r="AR265" s="231">
        <v>0</v>
      </c>
      <c r="AS265" s="231">
        <v>0</v>
      </c>
      <c r="AT265" s="231">
        <f t="shared" si="52"/>
        <v>0</v>
      </c>
      <c r="AU265" s="231">
        <v>0</v>
      </c>
      <c r="AV265" s="231">
        <v>0</v>
      </c>
      <c r="AW265" s="232"/>
      <c r="AX265" s="232" t="s">
        <v>2441</v>
      </c>
      <c r="AY265" s="232" t="s">
        <v>1583</v>
      </c>
      <c r="AZ265" s="232"/>
      <c r="BA265" s="221" t="s">
        <v>1634</v>
      </c>
      <c r="BB265" s="221" t="s">
        <v>1654</v>
      </c>
      <c r="BC265" s="233" t="s">
        <v>128</v>
      </c>
      <c r="BF265" s="51"/>
    </row>
    <row r="266" spans="1:58" ht="13.5" customHeight="1">
      <c r="A266" s="220">
        <f t="shared" si="42"/>
        <v>265</v>
      </c>
      <c r="B266" s="221" t="s">
        <v>1573</v>
      </c>
      <c r="C266" s="221" t="s">
        <v>1574</v>
      </c>
      <c r="D266" s="221" t="s">
        <v>365</v>
      </c>
      <c r="E266" s="221" t="s">
        <v>1575</v>
      </c>
      <c r="F266" s="221" t="s">
        <v>1576</v>
      </c>
      <c r="G266" s="222" t="s">
        <v>1655</v>
      </c>
      <c r="H266" s="221" t="s">
        <v>582</v>
      </c>
      <c r="I266" s="221" t="s">
        <v>686</v>
      </c>
      <c r="J266" s="221" t="s">
        <v>1656</v>
      </c>
      <c r="K266" s="221" t="s">
        <v>1657</v>
      </c>
      <c r="L266" s="221">
        <v>-74.773413915191497</v>
      </c>
      <c r="M266" s="221">
        <v>10.947717971490601</v>
      </c>
      <c r="N266" s="223" t="s">
        <v>228</v>
      </c>
      <c r="O266" s="230" t="s">
        <v>229</v>
      </c>
      <c r="P266" s="224">
        <f t="shared" ref="P266:P292" si="53">AO266+AT266</f>
        <v>0</v>
      </c>
      <c r="Q266" s="225">
        <v>1</v>
      </c>
      <c r="R266" s="225">
        <v>0.98</v>
      </c>
      <c r="S266" s="225">
        <f t="shared" si="43"/>
        <v>-2.0000000000000018E-2</v>
      </c>
      <c r="T266" s="225" t="str" cm="1">
        <f t="array" ref="T266">+_xlfn.IFS($P266&lt;=10000000000,IF(S266&gt;-0.05,"Verde",IF(S266&lt;=-0.1,"Rojo","Amarillo")),$P266&gt;10000000000,IF(S266&gt;-0.03,"Verde",IF(S266&lt;=-0.07,"Rojo","Amarillo")))</f>
        <v>Verde</v>
      </c>
      <c r="U266" s="226" t="s">
        <v>25</v>
      </c>
      <c r="V266" s="226" t="s">
        <v>25</v>
      </c>
      <c r="W266" s="226"/>
      <c r="X266" s="226"/>
      <c r="Y266" s="272">
        <v>45657</v>
      </c>
      <c r="Z266" s="225" t="str">
        <f t="shared" ca="1" si="45"/>
        <v>En_Ejecución</v>
      </c>
      <c r="AA266" s="225" t="str">
        <f t="shared" ca="1" si="46"/>
        <v>-</v>
      </c>
      <c r="AB266" s="273" t="s">
        <v>364</v>
      </c>
      <c r="AC266" s="272">
        <v>45657</v>
      </c>
      <c r="AD266" s="227">
        <v>45433</v>
      </c>
      <c r="AE266" s="221" t="s">
        <v>25</v>
      </c>
      <c r="AF266" s="223" t="s">
        <v>341</v>
      </c>
      <c r="AG266" s="223" t="s">
        <v>341</v>
      </c>
      <c r="AH266" s="223" t="s">
        <v>341</v>
      </c>
      <c r="AI266" s="221" t="s">
        <v>341</v>
      </c>
      <c r="AJ266" s="223" t="s">
        <v>341</v>
      </c>
      <c r="AK266" s="223" t="s">
        <v>341</v>
      </c>
      <c r="AL266" s="230" t="s">
        <v>341</v>
      </c>
      <c r="AM266" s="231">
        <v>0</v>
      </c>
      <c r="AN266" s="231">
        <v>0</v>
      </c>
      <c r="AO266" s="231">
        <f t="shared" si="47"/>
        <v>0</v>
      </c>
      <c r="AP266" s="231">
        <v>0</v>
      </c>
      <c r="AQ266" s="231">
        <v>0</v>
      </c>
      <c r="AR266" s="231">
        <v>0</v>
      </c>
      <c r="AS266" s="231">
        <v>0</v>
      </c>
      <c r="AT266" s="231">
        <f t="shared" si="52"/>
        <v>0</v>
      </c>
      <c r="AU266" s="231">
        <v>0</v>
      </c>
      <c r="AV266" s="231">
        <v>0</v>
      </c>
      <c r="AW266" s="232"/>
      <c r="AX266" s="232" t="s">
        <v>2441</v>
      </c>
      <c r="AY266" s="232" t="s">
        <v>1583</v>
      </c>
      <c r="AZ266" s="232"/>
      <c r="BA266" s="221" t="s">
        <v>1658</v>
      </c>
      <c r="BB266" s="221"/>
      <c r="BC266" s="233" t="s">
        <v>128</v>
      </c>
      <c r="BF266" s="51"/>
    </row>
    <row r="267" spans="1:58" ht="13.5" customHeight="1">
      <c r="A267" s="220">
        <f t="shared" si="42"/>
        <v>266</v>
      </c>
      <c r="B267" s="221" t="s">
        <v>1573</v>
      </c>
      <c r="C267" s="221" t="s">
        <v>1574</v>
      </c>
      <c r="D267" s="221" t="s">
        <v>365</v>
      </c>
      <c r="E267" s="221" t="s">
        <v>1575</v>
      </c>
      <c r="F267" s="221" t="s">
        <v>1576</v>
      </c>
      <c r="G267" s="222" t="s">
        <v>1659</v>
      </c>
      <c r="H267" s="221" t="s">
        <v>582</v>
      </c>
      <c r="I267" s="221" t="s">
        <v>1660</v>
      </c>
      <c r="J267" s="221" t="s">
        <v>1661</v>
      </c>
      <c r="K267" s="221" t="s">
        <v>1662</v>
      </c>
      <c r="L267" s="221">
        <v>-74.779872376609404</v>
      </c>
      <c r="M267" s="221">
        <v>10.9419275691358</v>
      </c>
      <c r="N267" s="223" t="s">
        <v>126</v>
      </c>
      <c r="O267" s="230" t="s">
        <v>127</v>
      </c>
      <c r="P267" s="224">
        <f t="shared" si="53"/>
        <v>0</v>
      </c>
      <c r="Q267" s="225">
        <v>1</v>
      </c>
      <c r="R267" s="225">
        <v>1</v>
      </c>
      <c r="S267" s="225">
        <f t="shared" si="43"/>
        <v>0</v>
      </c>
      <c r="T267" s="225" t="str" cm="1">
        <f t="array" ref="T267">+_xlfn.IFS($P267&lt;=10000000000,IF(S267&gt;-0.05,"Verde",IF(S267&lt;=-0.1,"Rojo","Amarillo")),$P267&gt;10000000000,IF(S267&gt;-0.03,"Verde",IF(S267&lt;=-0.07,"Rojo","Amarillo")))</f>
        <v>Verde</v>
      </c>
      <c r="U267" s="226" t="s">
        <v>25</v>
      </c>
      <c r="V267" s="226" t="s">
        <v>25</v>
      </c>
      <c r="W267" s="226"/>
      <c r="X267" s="226"/>
      <c r="Y267" s="272">
        <v>45433</v>
      </c>
      <c r="Z267" s="225" t="str">
        <f t="shared" ca="1" si="45"/>
        <v>Terminado</v>
      </c>
      <c r="AA267" s="225" t="str">
        <f t="shared" ca="1" si="46"/>
        <v>-</v>
      </c>
      <c r="AB267" s="273" t="s">
        <v>128</v>
      </c>
      <c r="AC267" s="272"/>
      <c r="AD267" s="227">
        <v>45433</v>
      </c>
      <c r="AE267" s="221" t="s">
        <v>25</v>
      </c>
      <c r="AF267" s="223" t="s">
        <v>341</v>
      </c>
      <c r="AG267" s="223" t="s">
        <v>341</v>
      </c>
      <c r="AH267" s="223" t="s">
        <v>341</v>
      </c>
      <c r="AI267" s="221" t="s">
        <v>341</v>
      </c>
      <c r="AJ267" s="223" t="s">
        <v>341</v>
      </c>
      <c r="AK267" s="223" t="s">
        <v>341</v>
      </c>
      <c r="AL267" s="230" t="s">
        <v>341</v>
      </c>
      <c r="AM267" s="231">
        <v>0</v>
      </c>
      <c r="AN267" s="231">
        <v>0</v>
      </c>
      <c r="AO267" s="231">
        <f t="shared" si="47"/>
        <v>0</v>
      </c>
      <c r="AP267" s="231">
        <v>0</v>
      </c>
      <c r="AQ267" s="231">
        <v>0</v>
      </c>
      <c r="AR267" s="231">
        <v>0</v>
      </c>
      <c r="AS267" s="231">
        <v>0</v>
      </c>
      <c r="AT267" s="231">
        <f t="shared" si="52"/>
        <v>0</v>
      </c>
      <c r="AU267" s="231">
        <v>0</v>
      </c>
      <c r="AV267" s="231">
        <v>0</v>
      </c>
      <c r="AW267" s="232"/>
      <c r="AX267" s="232" t="s">
        <v>2441</v>
      </c>
      <c r="AY267" s="232" t="s">
        <v>1583</v>
      </c>
      <c r="AZ267" s="232"/>
      <c r="BA267" s="221" t="s">
        <v>1663</v>
      </c>
      <c r="BB267" s="221"/>
      <c r="BC267" s="233" t="s">
        <v>128</v>
      </c>
      <c r="BF267" s="51"/>
    </row>
    <row r="268" spans="1:58" ht="13.5" customHeight="1">
      <c r="A268" s="220">
        <f t="shared" si="42"/>
        <v>267</v>
      </c>
      <c r="B268" s="221" t="s">
        <v>1573</v>
      </c>
      <c r="C268" s="221" t="s">
        <v>1574</v>
      </c>
      <c r="D268" s="221" t="s">
        <v>365</v>
      </c>
      <c r="E268" s="221" t="s">
        <v>1575</v>
      </c>
      <c r="F268" s="221" t="s">
        <v>1576</v>
      </c>
      <c r="G268" s="222" t="s">
        <v>1664</v>
      </c>
      <c r="H268" s="221" t="s">
        <v>163</v>
      </c>
      <c r="I268" s="221" t="s">
        <v>1665</v>
      </c>
      <c r="J268" s="221" t="s">
        <v>1666</v>
      </c>
      <c r="K268" s="221" t="s">
        <v>1667</v>
      </c>
      <c r="L268" s="221">
        <v>-74.821461378458196</v>
      </c>
      <c r="M268" s="221">
        <v>10.9435604276712</v>
      </c>
      <c r="N268" s="223" t="s">
        <v>126</v>
      </c>
      <c r="O268" s="230" t="s">
        <v>127</v>
      </c>
      <c r="P268" s="224">
        <f t="shared" si="53"/>
        <v>0</v>
      </c>
      <c r="Q268" s="225">
        <v>1</v>
      </c>
      <c r="R268" s="225">
        <v>1</v>
      </c>
      <c r="S268" s="225">
        <f t="shared" si="43"/>
        <v>0</v>
      </c>
      <c r="T268" s="225" t="str" cm="1">
        <f t="array" ref="T268">+_xlfn.IFS($P268&lt;=10000000000,IF(S268&gt;-0.05,"Verde",IF(S268&lt;=-0.1,"Rojo","Amarillo")),$P268&gt;10000000000,IF(S268&gt;-0.03,"Verde",IF(S268&lt;=-0.07,"Rojo","Amarillo")))</f>
        <v>Verde</v>
      </c>
      <c r="U268" s="226" t="s">
        <v>25</v>
      </c>
      <c r="V268" s="226" t="s">
        <v>25</v>
      </c>
      <c r="W268" s="226"/>
      <c r="X268" s="226"/>
      <c r="Y268" s="272">
        <v>45433</v>
      </c>
      <c r="Z268" s="225" t="str">
        <f t="shared" ca="1" si="45"/>
        <v>Terminado</v>
      </c>
      <c r="AA268" s="225" t="str">
        <f t="shared" ca="1" si="46"/>
        <v>-</v>
      </c>
      <c r="AB268" s="273" t="s">
        <v>128</v>
      </c>
      <c r="AC268" s="272"/>
      <c r="AD268" s="227">
        <v>45433</v>
      </c>
      <c r="AE268" s="221" t="s">
        <v>25</v>
      </c>
      <c r="AF268" s="223" t="s">
        <v>341</v>
      </c>
      <c r="AG268" s="223" t="s">
        <v>341</v>
      </c>
      <c r="AH268" s="223" t="s">
        <v>341</v>
      </c>
      <c r="AI268" s="221" t="s">
        <v>341</v>
      </c>
      <c r="AJ268" s="223" t="s">
        <v>341</v>
      </c>
      <c r="AK268" s="223" t="s">
        <v>341</v>
      </c>
      <c r="AL268" s="230" t="s">
        <v>341</v>
      </c>
      <c r="AM268" s="231">
        <v>0</v>
      </c>
      <c r="AN268" s="231">
        <v>0</v>
      </c>
      <c r="AO268" s="231">
        <f t="shared" si="47"/>
        <v>0</v>
      </c>
      <c r="AP268" s="231">
        <v>0</v>
      </c>
      <c r="AQ268" s="231">
        <v>0</v>
      </c>
      <c r="AR268" s="231">
        <v>0</v>
      </c>
      <c r="AS268" s="231">
        <v>0</v>
      </c>
      <c r="AT268" s="231">
        <f t="shared" si="52"/>
        <v>0</v>
      </c>
      <c r="AU268" s="231">
        <v>0</v>
      </c>
      <c r="AV268" s="231">
        <v>0</v>
      </c>
      <c r="AW268" s="232"/>
      <c r="AX268" s="232" t="s">
        <v>2441</v>
      </c>
      <c r="AY268" s="232" t="s">
        <v>1583</v>
      </c>
      <c r="AZ268" s="232"/>
      <c r="BA268" s="221" t="s">
        <v>1663</v>
      </c>
      <c r="BB268" s="221"/>
      <c r="BC268" s="233" t="s">
        <v>128</v>
      </c>
      <c r="BF268" s="51"/>
    </row>
    <row r="269" spans="1:58" ht="13.5" customHeight="1">
      <c r="A269" s="220">
        <f t="shared" si="42"/>
        <v>268</v>
      </c>
      <c r="B269" s="221" t="s">
        <v>1573</v>
      </c>
      <c r="C269" s="221" t="s">
        <v>1574</v>
      </c>
      <c r="D269" s="221" t="s">
        <v>365</v>
      </c>
      <c r="E269" s="221" t="s">
        <v>1575</v>
      </c>
      <c r="F269" s="221" t="s">
        <v>1576</v>
      </c>
      <c r="G269" s="222" t="s">
        <v>1668</v>
      </c>
      <c r="H269" s="221" t="s">
        <v>582</v>
      </c>
      <c r="I269" s="221" t="s">
        <v>1669</v>
      </c>
      <c r="J269" s="221" t="s">
        <v>1670</v>
      </c>
      <c r="K269" s="221" t="s">
        <v>1671</v>
      </c>
      <c r="L269" s="221">
        <v>-74.777410513742197</v>
      </c>
      <c r="M269" s="221">
        <v>10.953778506943401</v>
      </c>
      <c r="N269" s="223" t="s">
        <v>126</v>
      </c>
      <c r="O269" s="230" t="s">
        <v>127</v>
      </c>
      <c r="P269" s="224">
        <f t="shared" si="53"/>
        <v>0</v>
      </c>
      <c r="Q269" s="225">
        <v>1</v>
      </c>
      <c r="R269" s="225">
        <v>1</v>
      </c>
      <c r="S269" s="225">
        <f t="shared" si="43"/>
        <v>0</v>
      </c>
      <c r="T269" s="225" t="str" cm="1">
        <f t="array" ref="T269">+_xlfn.IFS($P269&lt;=10000000000,IF(S269&gt;-0.05,"Verde",IF(S269&lt;=-0.1,"Rojo","Amarillo")),$P269&gt;10000000000,IF(S269&gt;-0.03,"Verde",IF(S269&lt;=-0.07,"Rojo","Amarillo")))</f>
        <v>Verde</v>
      </c>
      <c r="U269" s="226" t="s">
        <v>25</v>
      </c>
      <c r="V269" s="226" t="s">
        <v>25</v>
      </c>
      <c r="W269" s="226"/>
      <c r="X269" s="226"/>
      <c r="Y269" s="272">
        <v>45433</v>
      </c>
      <c r="Z269" s="225" t="str">
        <f t="shared" ca="1" si="45"/>
        <v>Terminado</v>
      </c>
      <c r="AA269" s="225" t="str">
        <f t="shared" ca="1" si="46"/>
        <v>-</v>
      </c>
      <c r="AB269" s="273" t="s">
        <v>128</v>
      </c>
      <c r="AC269" s="272"/>
      <c r="AD269" s="227">
        <v>45433</v>
      </c>
      <c r="AE269" s="221" t="s">
        <v>25</v>
      </c>
      <c r="AF269" s="223" t="s">
        <v>341</v>
      </c>
      <c r="AG269" s="223" t="s">
        <v>341</v>
      </c>
      <c r="AH269" s="223" t="s">
        <v>341</v>
      </c>
      <c r="AI269" s="221" t="s">
        <v>341</v>
      </c>
      <c r="AJ269" s="223" t="s">
        <v>341</v>
      </c>
      <c r="AK269" s="223" t="s">
        <v>341</v>
      </c>
      <c r="AL269" s="230" t="s">
        <v>341</v>
      </c>
      <c r="AM269" s="231">
        <v>0</v>
      </c>
      <c r="AN269" s="231">
        <v>0</v>
      </c>
      <c r="AO269" s="231">
        <f t="shared" si="47"/>
        <v>0</v>
      </c>
      <c r="AP269" s="231">
        <v>0</v>
      </c>
      <c r="AQ269" s="231">
        <v>0</v>
      </c>
      <c r="AR269" s="231">
        <v>0</v>
      </c>
      <c r="AS269" s="231">
        <v>0</v>
      </c>
      <c r="AT269" s="231">
        <f t="shared" si="52"/>
        <v>0</v>
      </c>
      <c r="AU269" s="231">
        <v>0</v>
      </c>
      <c r="AV269" s="231">
        <v>0</v>
      </c>
      <c r="AW269" s="232"/>
      <c r="AX269" s="232" t="s">
        <v>2441</v>
      </c>
      <c r="AY269" s="232" t="s">
        <v>1583</v>
      </c>
      <c r="AZ269" s="232"/>
      <c r="BA269" s="221" t="s">
        <v>1663</v>
      </c>
      <c r="BB269" s="221"/>
      <c r="BC269" s="233" t="s">
        <v>128</v>
      </c>
      <c r="BF269" s="51"/>
    </row>
    <row r="270" spans="1:58" ht="13.5" customHeight="1">
      <c r="A270" s="220">
        <f t="shared" si="42"/>
        <v>269</v>
      </c>
      <c r="B270" s="221" t="s">
        <v>1573</v>
      </c>
      <c r="C270" s="221" t="s">
        <v>1574</v>
      </c>
      <c r="D270" s="221" t="s">
        <v>365</v>
      </c>
      <c r="E270" s="221" t="s">
        <v>1575</v>
      </c>
      <c r="F270" s="221" t="s">
        <v>1576</v>
      </c>
      <c r="G270" s="222" t="s">
        <v>1672</v>
      </c>
      <c r="H270" s="221" t="s">
        <v>154</v>
      </c>
      <c r="I270" s="221" t="s">
        <v>1673</v>
      </c>
      <c r="J270" s="221" t="s">
        <v>1674</v>
      </c>
      <c r="K270" s="221" t="s">
        <v>1675</v>
      </c>
      <c r="L270" s="221">
        <v>-74.789013149622093</v>
      </c>
      <c r="M270" s="221">
        <v>10.975237106447199</v>
      </c>
      <c r="N270" s="223" t="s">
        <v>228</v>
      </c>
      <c r="O270" s="230" t="s">
        <v>534</v>
      </c>
      <c r="P270" s="224">
        <f t="shared" si="53"/>
        <v>0</v>
      </c>
      <c r="Q270" s="225">
        <v>1</v>
      </c>
      <c r="R270" s="225">
        <v>0.21</v>
      </c>
      <c r="S270" s="225">
        <f t="shared" si="43"/>
        <v>-0.79</v>
      </c>
      <c r="T270" s="225" t="str" cm="1">
        <f t="array" ref="T270">+_xlfn.IFS($P270&lt;=10000000000,IF(S270&gt;-0.05,"Verde",IF(S270&lt;=-0.1,"Rojo","Amarillo")),$P270&gt;10000000000,IF(S270&gt;-0.03,"Verde",IF(S270&lt;=-0.07,"Rojo","Amarillo")))</f>
        <v>Rojo</v>
      </c>
      <c r="U270" s="226" t="s">
        <v>25</v>
      </c>
      <c r="V270" s="226" t="s">
        <v>25</v>
      </c>
      <c r="W270" s="226"/>
      <c r="X270" s="226"/>
      <c r="Y270" s="272">
        <v>45433</v>
      </c>
      <c r="Z270" s="225" t="str">
        <f t="shared" ca="1" si="45"/>
        <v>Suspendido</v>
      </c>
      <c r="AA270" s="225" t="str">
        <f t="shared" ca="1" si="46"/>
        <v>En_Seguimiento</v>
      </c>
      <c r="AB270" s="273" t="s">
        <v>364</v>
      </c>
      <c r="AC270" s="272">
        <v>45667</v>
      </c>
      <c r="AD270" s="227">
        <v>45580</v>
      </c>
      <c r="AE270" s="221" t="s">
        <v>25</v>
      </c>
      <c r="AF270" s="223" t="s">
        <v>341</v>
      </c>
      <c r="AG270" s="223" t="s">
        <v>341</v>
      </c>
      <c r="AH270" s="223" t="s">
        <v>341</v>
      </c>
      <c r="AI270" s="221" t="s">
        <v>341</v>
      </c>
      <c r="AJ270" s="223" t="s">
        <v>341</v>
      </c>
      <c r="AK270" s="223" t="s">
        <v>341</v>
      </c>
      <c r="AL270" s="230" t="s">
        <v>341</v>
      </c>
      <c r="AM270" s="231">
        <v>0</v>
      </c>
      <c r="AN270" s="231">
        <v>0</v>
      </c>
      <c r="AO270" s="231">
        <f t="shared" si="47"/>
        <v>0</v>
      </c>
      <c r="AP270" s="231">
        <v>0</v>
      </c>
      <c r="AQ270" s="231">
        <v>0</v>
      </c>
      <c r="AR270" s="231">
        <v>0</v>
      </c>
      <c r="AS270" s="231">
        <v>0</v>
      </c>
      <c r="AT270" s="231">
        <f t="shared" si="52"/>
        <v>0</v>
      </c>
      <c r="AU270" s="231">
        <v>0</v>
      </c>
      <c r="AV270" s="231">
        <v>0</v>
      </c>
      <c r="AW270" s="232"/>
      <c r="AX270" s="232" t="s">
        <v>2441</v>
      </c>
      <c r="AY270" s="232" t="s">
        <v>124</v>
      </c>
      <c r="AZ270" s="232"/>
      <c r="BA270" s="221" t="s">
        <v>1676</v>
      </c>
      <c r="BB270" s="221" t="s">
        <v>1677</v>
      </c>
      <c r="BC270" s="233" t="s">
        <v>128</v>
      </c>
      <c r="BF270" s="51"/>
    </row>
    <row r="271" spans="1:58" ht="13.5" customHeight="1">
      <c r="A271" s="220">
        <f t="shared" si="42"/>
        <v>270</v>
      </c>
      <c r="B271" s="221" t="s">
        <v>1573</v>
      </c>
      <c r="C271" s="221" t="s">
        <v>1574</v>
      </c>
      <c r="D271" s="221" t="s">
        <v>365</v>
      </c>
      <c r="E271" s="221" t="s">
        <v>1575</v>
      </c>
      <c r="F271" s="221" t="s">
        <v>1576</v>
      </c>
      <c r="G271" s="222" t="s">
        <v>1678</v>
      </c>
      <c r="H271" s="221" t="s">
        <v>163</v>
      </c>
      <c r="I271" s="221" t="s">
        <v>1665</v>
      </c>
      <c r="J271" s="221" t="s">
        <v>1679</v>
      </c>
      <c r="K271" s="221" t="s">
        <v>1680</v>
      </c>
      <c r="L271" s="221">
        <v>-74.8198192054451</v>
      </c>
      <c r="M271" s="221">
        <v>10.9366117027414</v>
      </c>
      <c r="N271" s="223" t="s">
        <v>126</v>
      </c>
      <c r="O271" s="230" t="s">
        <v>127</v>
      </c>
      <c r="P271" s="224">
        <f t="shared" si="53"/>
        <v>0</v>
      </c>
      <c r="Q271" s="225">
        <v>1</v>
      </c>
      <c r="R271" s="225">
        <v>1</v>
      </c>
      <c r="S271" s="225">
        <f t="shared" si="43"/>
        <v>0</v>
      </c>
      <c r="T271" s="225" t="str" cm="1">
        <f t="array" ref="T271">+_xlfn.IFS($P271&lt;=10000000000,IF(S271&gt;-0.05,"Verde",IF(S271&lt;=-0.1,"Rojo","Amarillo")),$P271&gt;10000000000,IF(S271&gt;-0.03,"Verde",IF(S271&lt;=-0.07,"Rojo","Amarillo")))</f>
        <v>Verde</v>
      </c>
      <c r="U271" s="226" t="s">
        <v>25</v>
      </c>
      <c r="V271" s="226" t="s">
        <v>25</v>
      </c>
      <c r="W271" s="226"/>
      <c r="X271" s="226"/>
      <c r="Y271" s="272">
        <v>45433</v>
      </c>
      <c r="Z271" s="225" t="str">
        <f t="shared" ca="1" si="45"/>
        <v>Terminado</v>
      </c>
      <c r="AA271" s="225" t="str">
        <f t="shared" ca="1" si="46"/>
        <v>-</v>
      </c>
      <c r="AB271" s="273" t="s">
        <v>128</v>
      </c>
      <c r="AC271" s="272"/>
      <c r="AD271" s="227">
        <v>45433</v>
      </c>
      <c r="AE271" s="221" t="s">
        <v>25</v>
      </c>
      <c r="AF271" s="223" t="s">
        <v>341</v>
      </c>
      <c r="AG271" s="223" t="s">
        <v>341</v>
      </c>
      <c r="AH271" s="223" t="s">
        <v>341</v>
      </c>
      <c r="AI271" s="221" t="s">
        <v>341</v>
      </c>
      <c r="AJ271" s="223" t="s">
        <v>341</v>
      </c>
      <c r="AK271" s="223" t="s">
        <v>341</v>
      </c>
      <c r="AL271" s="230" t="s">
        <v>341</v>
      </c>
      <c r="AM271" s="231">
        <v>0</v>
      </c>
      <c r="AN271" s="231">
        <v>0</v>
      </c>
      <c r="AO271" s="231">
        <f t="shared" si="47"/>
        <v>0</v>
      </c>
      <c r="AP271" s="231">
        <v>0</v>
      </c>
      <c r="AQ271" s="231">
        <v>0</v>
      </c>
      <c r="AR271" s="231">
        <v>0</v>
      </c>
      <c r="AS271" s="231">
        <v>0</v>
      </c>
      <c r="AT271" s="231">
        <f t="shared" si="52"/>
        <v>0</v>
      </c>
      <c r="AU271" s="231">
        <v>0</v>
      </c>
      <c r="AV271" s="231">
        <v>0</v>
      </c>
      <c r="AW271" s="232"/>
      <c r="AX271" s="232" t="s">
        <v>2441</v>
      </c>
      <c r="AY271" s="232" t="s">
        <v>1583</v>
      </c>
      <c r="AZ271" s="232"/>
      <c r="BA271" s="221" t="s">
        <v>1663</v>
      </c>
      <c r="BB271" s="221"/>
      <c r="BC271" s="233" t="s">
        <v>128</v>
      </c>
      <c r="BF271" s="51"/>
    </row>
    <row r="272" spans="1:58" ht="13.5" customHeight="1">
      <c r="A272" s="220">
        <f t="shared" si="42"/>
        <v>271</v>
      </c>
      <c r="B272" s="221" t="s">
        <v>1573</v>
      </c>
      <c r="C272" s="221" t="s">
        <v>1574</v>
      </c>
      <c r="D272" s="221" t="s">
        <v>365</v>
      </c>
      <c r="E272" s="221" t="s">
        <v>1575</v>
      </c>
      <c r="F272" s="221" t="s">
        <v>1576</v>
      </c>
      <c r="G272" s="222" t="s">
        <v>1681</v>
      </c>
      <c r="H272" s="221" t="s">
        <v>411</v>
      </c>
      <c r="I272" s="221" t="s">
        <v>531</v>
      </c>
      <c r="J272" s="221" t="s">
        <v>1682</v>
      </c>
      <c r="K272" s="221" t="s">
        <v>1683</v>
      </c>
      <c r="L272" s="221">
        <v>-74.830476194314798</v>
      </c>
      <c r="M272" s="221">
        <v>11.034847435782099</v>
      </c>
      <c r="N272" s="223" t="s">
        <v>228</v>
      </c>
      <c r="O272" s="230" t="s">
        <v>534</v>
      </c>
      <c r="P272" s="224">
        <f t="shared" si="53"/>
        <v>0</v>
      </c>
      <c r="Q272" s="225">
        <v>1</v>
      </c>
      <c r="R272" s="225">
        <v>0.18</v>
      </c>
      <c r="S272" s="225">
        <f t="shared" si="43"/>
        <v>-0.82000000000000006</v>
      </c>
      <c r="T272" s="225" t="str" cm="1">
        <f t="array" ref="T272">+_xlfn.IFS($P272&lt;=10000000000,IF(S272&gt;-0.05,"Verde",IF(S272&lt;=-0.1,"Rojo","Amarillo")),$P272&gt;10000000000,IF(S272&gt;-0.03,"Verde",IF(S272&lt;=-0.07,"Rojo","Amarillo")))</f>
        <v>Rojo</v>
      </c>
      <c r="U272" s="226" t="s">
        <v>25</v>
      </c>
      <c r="V272" s="226" t="s">
        <v>25</v>
      </c>
      <c r="W272" s="226"/>
      <c r="X272" s="226"/>
      <c r="Y272" s="272">
        <v>45433</v>
      </c>
      <c r="Z272" s="225" t="str">
        <f t="shared" ca="1" si="45"/>
        <v>Suspendido</v>
      </c>
      <c r="AA272" s="225" t="str">
        <f t="shared" ca="1" si="46"/>
        <v>En_Seguimiento</v>
      </c>
      <c r="AB272" s="273" t="s">
        <v>364</v>
      </c>
      <c r="AC272" s="272">
        <v>45667</v>
      </c>
      <c r="AD272" s="227">
        <v>0</v>
      </c>
      <c r="AE272" s="221" t="s">
        <v>25</v>
      </c>
      <c r="AF272" s="223" t="s">
        <v>341</v>
      </c>
      <c r="AG272" s="223" t="s">
        <v>341</v>
      </c>
      <c r="AH272" s="223" t="s">
        <v>341</v>
      </c>
      <c r="AI272" s="221" t="s">
        <v>341</v>
      </c>
      <c r="AJ272" s="223" t="s">
        <v>341</v>
      </c>
      <c r="AK272" s="223" t="s">
        <v>341</v>
      </c>
      <c r="AL272" s="230" t="s">
        <v>341</v>
      </c>
      <c r="AM272" s="231">
        <v>0</v>
      </c>
      <c r="AN272" s="231">
        <v>0</v>
      </c>
      <c r="AO272" s="231">
        <f t="shared" si="47"/>
        <v>0</v>
      </c>
      <c r="AP272" s="231">
        <v>0</v>
      </c>
      <c r="AQ272" s="231">
        <v>0</v>
      </c>
      <c r="AR272" s="231">
        <v>0</v>
      </c>
      <c r="AS272" s="231">
        <v>0</v>
      </c>
      <c r="AT272" s="231">
        <f t="shared" si="52"/>
        <v>0</v>
      </c>
      <c r="AU272" s="231">
        <v>0</v>
      </c>
      <c r="AV272" s="231">
        <v>0</v>
      </c>
      <c r="AW272" s="232"/>
      <c r="AX272" s="232" t="s">
        <v>2441</v>
      </c>
      <c r="AY272" s="232" t="s">
        <v>124</v>
      </c>
      <c r="AZ272" s="232"/>
      <c r="BA272" s="221" t="s">
        <v>1676</v>
      </c>
      <c r="BB272" s="221" t="s">
        <v>1684</v>
      </c>
      <c r="BC272" s="233" t="s">
        <v>128</v>
      </c>
      <c r="BF272" s="51"/>
    </row>
    <row r="273" spans="1:58" ht="13.5" customHeight="1">
      <c r="A273" s="220">
        <f t="shared" si="42"/>
        <v>272</v>
      </c>
      <c r="B273" s="221" t="s">
        <v>1573</v>
      </c>
      <c r="C273" s="221" t="s">
        <v>1574</v>
      </c>
      <c r="D273" s="221" t="s">
        <v>365</v>
      </c>
      <c r="E273" s="221" t="s">
        <v>1575</v>
      </c>
      <c r="F273" s="221" t="s">
        <v>1576</v>
      </c>
      <c r="G273" s="222" t="s">
        <v>1685</v>
      </c>
      <c r="H273" s="221" t="s">
        <v>154</v>
      </c>
      <c r="I273" s="221" t="s">
        <v>947</v>
      </c>
      <c r="J273" s="221" t="s">
        <v>1686</v>
      </c>
      <c r="K273" s="221" t="s">
        <v>1687</v>
      </c>
      <c r="L273" s="221">
        <v>-74.826659990102002</v>
      </c>
      <c r="M273" s="221">
        <v>10.9794451031424</v>
      </c>
      <c r="N273" s="223" t="s">
        <v>228</v>
      </c>
      <c r="O273" s="230" t="s">
        <v>229</v>
      </c>
      <c r="P273" s="224">
        <f t="shared" si="53"/>
        <v>0</v>
      </c>
      <c r="Q273" s="225">
        <v>1</v>
      </c>
      <c r="R273" s="225">
        <v>0.98</v>
      </c>
      <c r="S273" s="225">
        <f t="shared" si="43"/>
        <v>-2.0000000000000018E-2</v>
      </c>
      <c r="T273" s="225" t="str" cm="1">
        <f t="array" ref="T273">+_xlfn.IFS($P273&lt;=10000000000,IF(S273&gt;-0.05,"Verde",IF(S273&lt;=-0.1,"Rojo","Amarillo")),$P273&gt;10000000000,IF(S273&gt;-0.03,"Verde",IF(S273&lt;=-0.07,"Rojo","Amarillo")))</f>
        <v>Verde</v>
      </c>
      <c r="U273" s="226" t="s">
        <v>25</v>
      </c>
      <c r="V273" s="226" t="s">
        <v>25</v>
      </c>
      <c r="W273" s="226"/>
      <c r="X273" s="226"/>
      <c r="Y273" s="272">
        <v>45433</v>
      </c>
      <c r="Z273" s="225" t="str">
        <f t="shared" ca="1" si="45"/>
        <v>En_Ejecución</v>
      </c>
      <c r="AA273" s="225" t="str">
        <f t="shared" ca="1" si="46"/>
        <v>-</v>
      </c>
      <c r="AB273" s="273" t="s">
        <v>364</v>
      </c>
      <c r="AC273" s="272">
        <v>45667</v>
      </c>
      <c r="AD273" s="227"/>
      <c r="AE273" s="221" t="s">
        <v>25</v>
      </c>
      <c r="AF273" s="223" t="s">
        <v>341</v>
      </c>
      <c r="AG273" s="223" t="s">
        <v>341</v>
      </c>
      <c r="AH273" s="223" t="s">
        <v>341</v>
      </c>
      <c r="AI273" s="221" t="s">
        <v>341</v>
      </c>
      <c r="AJ273" s="223" t="s">
        <v>341</v>
      </c>
      <c r="AK273" s="223" t="s">
        <v>341</v>
      </c>
      <c r="AL273" s="230" t="s">
        <v>341</v>
      </c>
      <c r="AM273" s="231">
        <v>0</v>
      </c>
      <c r="AN273" s="231">
        <v>0</v>
      </c>
      <c r="AO273" s="231">
        <f t="shared" si="47"/>
        <v>0</v>
      </c>
      <c r="AP273" s="231">
        <v>0</v>
      </c>
      <c r="AQ273" s="231">
        <v>0</v>
      </c>
      <c r="AR273" s="231">
        <v>0</v>
      </c>
      <c r="AS273" s="231">
        <v>0</v>
      </c>
      <c r="AT273" s="231">
        <f t="shared" si="52"/>
        <v>0</v>
      </c>
      <c r="AU273" s="231">
        <v>0</v>
      </c>
      <c r="AV273" s="231">
        <v>0</v>
      </c>
      <c r="AW273" s="232"/>
      <c r="AX273" s="232" t="s">
        <v>2441</v>
      </c>
      <c r="AY273" s="232" t="s">
        <v>1583</v>
      </c>
      <c r="AZ273" s="232"/>
      <c r="BA273" s="221" t="s">
        <v>1688</v>
      </c>
      <c r="BB273" s="221"/>
      <c r="BC273" s="233" t="s">
        <v>128</v>
      </c>
      <c r="BF273" s="51"/>
    </row>
    <row r="274" spans="1:58" ht="13.5" customHeight="1">
      <c r="A274" s="220">
        <f t="shared" si="42"/>
        <v>273</v>
      </c>
      <c r="B274" s="221" t="s">
        <v>1573</v>
      </c>
      <c r="C274" s="221" t="s">
        <v>1574</v>
      </c>
      <c r="D274" s="221" t="s">
        <v>365</v>
      </c>
      <c r="E274" s="221" t="s">
        <v>1575</v>
      </c>
      <c r="F274" s="221" t="s">
        <v>1576</v>
      </c>
      <c r="G274" s="222" t="s">
        <v>1689</v>
      </c>
      <c r="H274" s="221" t="s">
        <v>154</v>
      </c>
      <c r="I274" s="221" t="s">
        <v>1487</v>
      </c>
      <c r="J274" s="221" t="s">
        <v>1690</v>
      </c>
      <c r="K274" s="221" t="s">
        <v>1691</v>
      </c>
      <c r="L274" s="221">
        <v>-74.831908663115598</v>
      </c>
      <c r="M274" s="221">
        <v>10.9677607794408</v>
      </c>
      <c r="N274" s="223" t="s">
        <v>228</v>
      </c>
      <c r="O274" s="230" t="s">
        <v>534</v>
      </c>
      <c r="P274" s="224">
        <f t="shared" si="53"/>
        <v>0</v>
      </c>
      <c r="Q274" s="225">
        <v>1</v>
      </c>
      <c r="R274" s="225">
        <v>0.18</v>
      </c>
      <c r="S274" s="225">
        <f t="shared" si="43"/>
        <v>-0.82000000000000006</v>
      </c>
      <c r="T274" s="225" t="str" cm="1">
        <f t="array" ref="T274">+_xlfn.IFS($P274&lt;=10000000000,IF(S274&gt;-0.05,"Verde",IF(S274&lt;=-0.1,"Rojo","Amarillo")),$P274&gt;10000000000,IF(S274&gt;-0.03,"Verde",IF(S274&lt;=-0.07,"Rojo","Amarillo")))</f>
        <v>Rojo</v>
      </c>
      <c r="U274" s="226" t="s">
        <v>25</v>
      </c>
      <c r="V274" s="226" t="s">
        <v>25</v>
      </c>
      <c r="W274" s="226"/>
      <c r="X274" s="226"/>
      <c r="Y274" s="272">
        <v>45433</v>
      </c>
      <c r="Z274" s="225" t="str">
        <f t="shared" ca="1" si="45"/>
        <v>Suspendido</v>
      </c>
      <c r="AA274" s="225" t="str">
        <f t="shared" ca="1" si="46"/>
        <v>En_Seguimiento</v>
      </c>
      <c r="AB274" s="273" t="s">
        <v>364</v>
      </c>
      <c r="AC274" s="272">
        <v>45667</v>
      </c>
      <c r="AD274" s="227">
        <v>0</v>
      </c>
      <c r="AE274" s="221" t="s">
        <v>25</v>
      </c>
      <c r="AF274" s="223" t="s">
        <v>341</v>
      </c>
      <c r="AG274" s="223" t="s">
        <v>341</v>
      </c>
      <c r="AH274" s="223" t="s">
        <v>341</v>
      </c>
      <c r="AI274" s="221" t="s">
        <v>341</v>
      </c>
      <c r="AJ274" s="223" t="s">
        <v>341</v>
      </c>
      <c r="AK274" s="223" t="s">
        <v>341</v>
      </c>
      <c r="AL274" s="230" t="s">
        <v>341</v>
      </c>
      <c r="AM274" s="231">
        <v>0</v>
      </c>
      <c r="AN274" s="231">
        <v>0</v>
      </c>
      <c r="AO274" s="231">
        <f t="shared" si="47"/>
        <v>0</v>
      </c>
      <c r="AP274" s="231">
        <v>0</v>
      </c>
      <c r="AQ274" s="231">
        <v>0</v>
      </c>
      <c r="AR274" s="231">
        <v>0</v>
      </c>
      <c r="AS274" s="231">
        <v>0</v>
      </c>
      <c r="AT274" s="231">
        <f t="shared" si="52"/>
        <v>0</v>
      </c>
      <c r="AU274" s="231">
        <v>0</v>
      </c>
      <c r="AV274" s="231">
        <v>0</v>
      </c>
      <c r="AW274" s="232"/>
      <c r="AX274" s="232" t="s">
        <v>2441</v>
      </c>
      <c r="AY274" s="232" t="s">
        <v>124</v>
      </c>
      <c r="AZ274" s="232"/>
      <c r="BA274" s="221" t="s">
        <v>1676</v>
      </c>
      <c r="BB274" s="221" t="s">
        <v>1692</v>
      </c>
      <c r="BC274" s="233" t="s">
        <v>128</v>
      </c>
      <c r="BF274" s="51"/>
    </row>
    <row r="275" spans="1:58" ht="13.5" customHeight="1">
      <c r="A275" s="220">
        <f t="shared" si="42"/>
        <v>274</v>
      </c>
      <c r="B275" s="221" t="s">
        <v>1573</v>
      </c>
      <c r="C275" s="221" t="s">
        <v>1574</v>
      </c>
      <c r="D275" s="221" t="s">
        <v>365</v>
      </c>
      <c r="E275" s="221" t="s">
        <v>1575</v>
      </c>
      <c r="F275" s="221" t="s">
        <v>1693</v>
      </c>
      <c r="G275" s="222" t="s">
        <v>1694</v>
      </c>
      <c r="H275" s="221" t="s">
        <v>397</v>
      </c>
      <c r="I275" s="221" t="s">
        <v>497</v>
      </c>
      <c r="J275" s="221" t="s">
        <v>1695</v>
      </c>
      <c r="K275" s="221" t="s">
        <v>1696</v>
      </c>
      <c r="L275" s="221">
        <v>-74.786234734279702</v>
      </c>
      <c r="M275" s="221">
        <v>10.9858705980935</v>
      </c>
      <c r="N275" s="223" t="s">
        <v>126</v>
      </c>
      <c r="O275" s="230" t="s">
        <v>127</v>
      </c>
      <c r="P275" s="224">
        <f t="shared" si="53"/>
        <v>0</v>
      </c>
      <c r="Q275" s="225">
        <v>1</v>
      </c>
      <c r="R275" s="225">
        <v>1</v>
      </c>
      <c r="S275" s="225">
        <f t="shared" si="43"/>
        <v>0</v>
      </c>
      <c r="T275" s="225" t="str" cm="1">
        <f t="array" ref="T275">+_xlfn.IFS($P275&lt;=10000000000,IF(S275&gt;-0.05,"Verde",IF(S275&lt;=-0.1,"Rojo","Amarillo")),$P275&gt;10000000000,IF(S275&gt;-0.03,"Verde",IF(S275&lt;=-0.07,"Rojo","Amarillo")))</f>
        <v>Verde</v>
      </c>
      <c r="U275" s="226" t="s">
        <v>25</v>
      </c>
      <c r="V275" s="226" t="s">
        <v>25</v>
      </c>
      <c r="W275" s="226"/>
      <c r="X275" s="226"/>
      <c r="Y275" s="272">
        <v>45412</v>
      </c>
      <c r="Z275" s="225" t="str">
        <f t="shared" ca="1" si="45"/>
        <v>Terminado</v>
      </c>
      <c r="AA275" s="225" t="str">
        <f t="shared" ca="1" si="46"/>
        <v>-</v>
      </c>
      <c r="AB275" s="273"/>
      <c r="AC275" s="272"/>
      <c r="AD275" s="227">
        <v>45412</v>
      </c>
      <c r="AE275" s="221" t="s">
        <v>25</v>
      </c>
      <c r="AF275" s="223" t="s">
        <v>341</v>
      </c>
      <c r="AG275" s="223" t="s">
        <v>341</v>
      </c>
      <c r="AH275" s="223" t="s">
        <v>341</v>
      </c>
      <c r="AI275" s="221" t="s">
        <v>341</v>
      </c>
      <c r="AJ275" s="223" t="s">
        <v>341</v>
      </c>
      <c r="AK275" s="223" t="s">
        <v>341</v>
      </c>
      <c r="AL275" s="230" t="s">
        <v>341</v>
      </c>
      <c r="AM275" s="231">
        <v>0</v>
      </c>
      <c r="AN275" s="231">
        <v>0</v>
      </c>
      <c r="AO275" s="231">
        <f t="shared" si="47"/>
        <v>0</v>
      </c>
      <c r="AP275" s="231">
        <v>0</v>
      </c>
      <c r="AQ275" s="231">
        <v>0</v>
      </c>
      <c r="AR275" s="231">
        <v>0</v>
      </c>
      <c r="AS275" s="231">
        <v>0</v>
      </c>
      <c r="AT275" s="231">
        <f t="shared" si="52"/>
        <v>0</v>
      </c>
      <c r="AU275" s="231">
        <v>0</v>
      </c>
      <c r="AV275" s="231">
        <v>0</v>
      </c>
      <c r="AW275" s="232" t="s">
        <v>1697</v>
      </c>
      <c r="AX275" s="232" t="s">
        <v>1698</v>
      </c>
      <c r="AY275" s="232"/>
      <c r="AZ275" s="232"/>
      <c r="BA275" s="221" t="s">
        <v>1699</v>
      </c>
      <c r="BB275" s="221"/>
      <c r="BC275" s="233" t="s">
        <v>128</v>
      </c>
      <c r="BF275" s="51"/>
    </row>
    <row r="276" spans="1:58" ht="13.5" customHeight="1">
      <c r="A276" s="220">
        <f t="shared" si="42"/>
        <v>275</v>
      </c>
      <c r="B276" s="221" t="s">
        <v>1573</v>
      </c>
      <c r="C276" s="221" t="s">
        <v>1574</v>
      </c>
      <c r="D276" s="221" t="s">
        <v>365</v>
      </c>
      <c r="E276" s="221" t="s">
        <v>1575</v>
      </c>
      <c r="F276" s="221" t="s">
        <v>1693</v>
      </c>
      <c r="G276" s="222" t="s">
        <v>1700</v>
      </c>
      <c r="H276" s="221" t="s">
        <v>397</v>
      </c>
      <c r="I276" s="221" t="s">
        <v>711</v>
      </c>
      <c r="J276" s="221" t="s">
        <v>1701</v>
      </c>
      <c r="K276" s="221" t="s">
        <v>1702</v>
      </c>
      <c r="L276" s="221">
        <v>-7479306346311520</v>
      </c>
      <c r="M276" s="221">
        <v>10.985880427006199</v>
      </c>
      <c r="N276" s="223" t="s">
        <v>126</v>
      </c>
      <c r="O276" s="230" t="s">
        <v>127</v>
      </c>
      <c r="P276" s="224">
        <f t="shared" si="53"/>
        <v>0</v>
      </c>
      <c r="Q276" s="225">
        <v>1</v>
      </c>
      <c r="R276" s="225">
        <v>1</v>
      </c>
      <c r="S276" s="225">
        <f t="shared" si="43"/>
        <v>0</v>
      </c>
      <c r="T276" s="225" t="str" cm="1">
        <f t="array" ref="T276">+_xlfn.IFS($P276&lt;=10000000000,IF(S276&gt;-0.05,"Verde",IF(S276&lt;=-0.1,"Rojo","Amarillo")),$P276&gt;10000000000,IF(S276&gt;-0.03,"Verde",IF(S276&lt;=-0.07,"Rojo","Amarillo")))</f>
        <v>Verde</v>
      </c>
      <c r="U276" s="226" t="s">
        <v>25</v>
      </c>
      <c r="V276" s="226" t="s">
        <v>25</v>
      </c>
      <c r="W276" s="226"/>
      <c r="X276" s="226"/>
      <c r="Y276" s="272">
        <v>45492</v>
      </c>
      <c r="Z276" s="225" t="str">
        <f t="shared" ca="1" si="45"/>
        <v>Terminado</v>
      </c>
      <c r="AA276" s="225" t="str">
        <f t="shared" ca="1" si="46"/>
        <v>-</v>
      </c>
      <c r="AB276" s="273"/>
      <c r="AC276" s="272"/>
      <c r="AD276" s="227">
        <v>45492</v>
      </c>
      <c r="AE276" s="221" t="s">
        <v>25</v>
      </c>
      <c r="AF276" s="223" t="s">
        <v>341</v>
      </c>
      <c r="AG276" s="223" t="s">
        <v>341</v>
      </c>
      <c r="AH276" s="223" t="s">
        <v>341</v>
      </c>
      <c r="AI276" s="221" t="s">
        <v>341</v>
      </c>
      <c r="AJ276" s="223" t="s">
        <v>341</v>
      </c>
      <c r="AK276" s="223" t="s">
        <v>341</v>
      </c>
      <c r="AL276" s="230" t="s">
        <v>341</v>
      </c>
      <c r="AM276" s="231">
        <v>0</v>
      </c>
      <c r="AN276" s="231">
        <v>0</v>
      </c>
      <c r="AO276" s="231">
        <f t="shared" si="47"/>
        <v>0</v>
      </c>
      <c r="AP276" s="231">
        <v>0</v>
      </c>
      <c r="AQ276" s="231">
        <v>0</v>
      </c>
      <c r="AR276" s="231">
        <v>0</v>
      </c>
      <c r="AS276" s="231">
        <v>0</v>
      </c>
      <c r="AT276" s="231">
        <f t="shared" si="52"/>
        <v>0</v>
      </c>
      <c r="AU276" s="231">
        <v>0</v>
      </c>
      <c r="AV276" s="231">
        <v>0</v>
      </c>
      <c r="AW276" s="232" t="s">
        <v>1703</v>
      </c>
      <c r="AX276" s="232" t="s">
        <v>1704</v>
      </c>
      <c r="AY276" s="232"/>
      <c r="AZ276" s="232"/>
      <c r="BA276" s="221" t="s">
        <v>1705</v>
      </c>
      <c r="BB276" s="221"/>
      <c r="BC276" s="233" t="s">
        <v>128</v>
      </c>
      <c r="BF276" s="51"/>
    </row>
    <row r="277" spans="1:58" ht="13.5" customHeight="1">
      <c r="A277" s="220">
        <f t="shared" si="42"/>
        <v>276</v>
      </c>
      <c r="B277" s="221" t="s">
        <v>1573</v>
      </c>
      <c r="C277" s="221" t="s">
        <v>1574</v>
      </c>
      <c r="D277" s="221" t="s">
        <v>365</v>
      </c>
      <c r="E277" s="221" t="s">
        <v>1575</v>
      </c>
      <c r="F277" s="221" t="s">
        <v>1693</v>
      </c>
      <c r="G277" s="222" t="s">
        <v>1706</v>
      </c>
      <c r="H277" s="221" t="s">
        <v>582</v>
      </c>
      <c r="I277" s="221" t="s">
        <v>1669</v>
      </c>
      <c r="J277" s="221" t="s">
        <v>1707</v>
      </c>
      <c r="K277" s="221" t="s">
        <v>1708</v>
      </c>
      <c r="L277" s="221">
        <v>-7477807503428020</v>
      </c>
      <c r="M277" s="221">
        <v>10.958873585671601</v>
      </c>
      <c r="N277" s="223" t="s">
        <v>126</v>
      </c>
      <c r="O277" s="230" t="s">
        <v>127</v>
      </c>
      <c r="P277" s="224">
        <f t="shared" si="53"/>
        <v>0</v>
      </c>
      <c r="Q277" s="225">
        <v>1</v>
      </c>
      <c r="R277" s="225">
        <v>1</v>
      </c>
      <c r="S277" s="225">
        <f t="shared" si="43"/>
        <v>0</v>
      </c>
      <c r="T277" s="225" t="str" cm="1">
        <f t="array" ref="T277">+_xlfn.IFS($P277&lt;=10000000000,IF(S277&gt;-0.05,"Verde",IF(S277&lt;=-0.1,"Rojo","Amarillo")),$P277&gt;10000000000,IF(S277&gt;-0.03,"Verde",IF(S277&lt;=-0.07,"Rojo","Amarillo")))</f>
        <v>Verde</v>
      </c>
      <c r="U277" s="226" t="s">
        <v>25</v>
      </c>
      <c r="V277" s="226" t="s">
        <v>25</v>
      </c>
      <c r="W277" s="226"/>
      <c r="X277" s="226"/>
      <c r="Y277" s="272">
        <v>45495</v>
      </c>
      <c r="Z277" s="225" t="str">
        <f t="shared" ca="1" si="45"/>
        <v>Terminado</v>
      </c>
      <c r="AA277" s="225" t="str">
        <f t="shared" ca="1" si="46"/>
        <v>-</v>
      </c>
      <c r="AB277" s="273"/>
      <c r="AC277" s="272"/>
      <c r="AD277" s="227">
        <v>45498</v>
      </c>
      <c r="AE277" s="221" t="s">
        <v>25</v>
      </c>
      <c r="AF277" s="223" t="s">
        <v>341</v>
      </c>
      <c r="AG277" s="223" t="s">
        <v>341</v>
      </c>
      <c r="AH277" s="223" t="s">
        <v>341</v>
      </c>
      <c r="AI277" s="221" t="s">
        <v>341</v>
      </c>
      <c r="AJ277" s="223" t="s">
        <v>341</v>
      </c>
      <c r="AK277" s="223" t="s">
        <v>341</v>
      </c>
      <c r="AL277" s="230" t="s">
        <v>341</v>
      </c>
      <c r="AM277" s="231">
        <v>0</v>
      </c>
      <c r="AN277" s="231">
        <v>0</v>
      </c>
      <c r="AO277" s="231">
        <f t="shared" si="47"/>
        <v>0</v>
      </c>
      <c r="AP277" s="231">
        <v>0</v>
      </c>
      <c r="AQ277" s="231">
        <v>0</v>
      </c>
      <c r="AR277" s="231">
        <v>0</v>
      </c>
      <c r="AS277" s="231">
        <v>0</v>
      </c>
      <c r="AT277" s="231">
        <f t="shared" si="52"/>
        <v>0</v>
      </c>
      <c r="AU277" s="231">
        <v>0</v>
      </c>
      <c r="AV277" s="231">
        <v>0</v>
      </c>
      <c r="AW277" s="232" t="s">
        <v>1709</v>
      </c>
      <c r="AX277" s="232" t="s">
        <v>1710</v>
      </c>
      <c r="AY277" s="232"/>
      <c r="AZ277" s="232"/>
      <c r="BA277" s="221" t="s">
        <v>1711</v>
      </c>
      <c r="BB277" s="221"/>
      <c r="BC277" s="233" t="s">
        <v>128</v>
      </c>
      <c r="BF277" s="51"/>
    </row>
    <row r="278" spans="1:58" ht="13.5" customHeight="1">
      <c r="A278" s="220">
        <f t="shared" si="42"/>
        <v>277</v>
      </c>
      <c r="B278" s="221" t="s">
        <v>1573</v>
      </c>
      <c r="C278" s="221" t="s">
        <v>1574</v>
      </c>
      <c r="D278" s="221" t="s">
        <v>365</v>
      </c>
      <c r="E278" s="221" t="s">
        <v>1575</v>
      </c>
      <c r="F278" s="221" t="s">
        <v>1693</v>
      </c>
      <c r="G278" s="222" t="s">
        <v>1712</v>
      </c>
      <c r="H278" s="221" t="s">
        <v>154</v>
      </c>
      <c r="I278" s="221" t="s">
        <v>1713</v>
      </c>
      <c r="J278" s="221" t="s">
        <v>1714</v>
      </c>
      <c r="K278" s="221" t="s">
        <v>1715</v>
      </c>
      <c r="L278" s="221">
        <v>-7480954651116970</v>
      </c>
      <c r="M278" s="221">
        <v>10.979407203217299</v>
      </c>
      <c r="N278" s="223" t="s">
        <v>126</v>
      </c>
      <c r="O278" s="230" t="s">
        <v>127</v>
      </c>
      <c r="P278" s="224">
        <f t="shared" si="53"/>
        <v>0</v>
      </c>
      <c r="Q278" s="225">
        <v>1</v>
      </c>
      <c r="R278" s="225">
        <v>1</v>
      </c>
      <c r="S278" s="225">
        <f t="shared" si="43"/>
        <v>0</v>
      </c>
      <c r="T278" s="225" t="str" cm="1">
        <f t="array" ref="T278">+_xlfn.IFS($P278&lt;=10000000000,IF(S278&gt;-0.05,"Verde",IF(S278&lt;=-0.1,"Rojo","Amarillo")),$P278&gt;10000000000,IF(S278&gt;-0.03,"Verde",IF(S278&lt;=-0.07,"Rojo","Amarillo")))</f>
        <v>Verde</v>
      </c>
      <c r="U278" s="226" t="s">
        <v>25</v>
      </c>
      <c r="V278" s="226" t="s">
        <v>25</v>
      </c>
      <c r="W278" s="226"/>
      <c r="X278" s="226"/>
      <c r="Y278" s="272">
        <v>45492</v>
      </c>
      <c r="Z278" s="225" t="str">
        <f t="shared" ca="1" si="45"/>
        <v>Terminado</v>
      </c>
      <c r="AA278" s="225" t="str">
        <f t="shared" ca="1" si="46"/>
        <v>-</v>
      </c>
      <c r="AB278" s="273"/>
      <c r="AC278" s="272"/>
      <c r="AD278" s="227">
        <v>45495</v>
      </c>
      <c r="AE278" s="221" t="s">
        <v>25</v>
      </c>
      <c r="AF278" s="223" t="s">
        <v>341</v>
      </c>
      <c r="AG278" s="223" t="s">
        <v>341</v>
      </c>
      <c r="AH278" s="223" t="s">
        <v>341</v>
      </c>
      <c r="AI278" s="221" t="s">
        <v>341</v>
      </c>
      <c r="AJ278" s="223" t="s">
        <v>341</v>
      </c>
      <c r="AK278" s="223" t="s">
        <v>341</v>
      </c>
      <c r="AL278" s="230" t="s">
        <v>341</v>
      </c>
      <c r="AM278" s="231">
        <v>0</v>
      </c>
      <c r="AN278" s="231">
        <v>0</v>
      </c>
      <c r="AO278" s="231">
        <f t="shared" si="47"/>
        <v>0</v>
      </c>
      <c r="AP278" s="231">
        <v>0</v>
      </c>
      <c r="AQ278" s="231">
        <v>0</v>
      </c>
      <c r="AR278" s="231">
        <v>0</v>
      </c>
      <c r="AS278" s="231">
        <v>0</v>
      </c>
      <c r="AT278" s="231">
        <f t="shared" si="52"/>
        <v>0</v>
      </c>
      <c r="AU278" s="231">
        <v>0</v>
      </c>
      <c r="AV278" s="231">
        <v>0</v>
      </c>
      <c r="AW278" s="232" t="s">
        <v>1716</v>
      </c>
      <c r="AX278" s="232" t="s">
        <v>1717</v>
      </c>
      <c r="AY278" s="232"/>
      <c r="AZ278" s="232"/>
      <c r="BA278" s="221" t="s">
        <v>1718</v>
      </c>
      <c r="BB278" s="221"/>
      <c r="BC278" s="233" t="s">
        <v>364</v>
      </c>
      <c r="BF278" s="51"/>
    </row>
    <row r="279" spans="1:58" ht="13.5" customHeight="1">
      <c r="A279" s="220">
        <f t="shared" si="42"/>
        <v>278</v>
      </c>
      <c r="B279" s="221" t="s">
        <v>1573</v>
      </c>
      <c r="C279" s="221" t="s">
        <v>1574</v>
      </c>
      <c r="D279" s="221" t="s">
        <v>365</v>
      </c>
      <c r="E279" s="221" t="s">
        <v>1575</v>
      </c>
      <c r="F279" s="221" t="s">
        <v>1693</v>
      </c>
      <c r="G279" s="222" t="s">
        <v>1719</v>
      </c>
      <c r="H279" s="221" t="s">
        <v>411</v>
      </c>
      <c r="I279" s="221" t="s">
        <v>1720</v>
      </c>
      <c r="J279" s="221" t="s">
        <v>703</v>
      </c>
      <c r="K279" s="221" t="s">
        <v>1721</v>
      </c>
      <c r="L279" s="221">
        <v>-748071711869342</v>
      </c>
      <c r="M279" s="221">
        <v>11.0236345204911</v>
      </c>
      <c r="N279" s="223" t="s">
        <v>126</v>
      </c>
      <c r="O279" s="230" t="s">
        <v>127</v>
      </c>
      <c r="P279" s="224">
        <f t="shared" si="53"/>
        <v>0</v>
      </c>
      <c r="Q279" s="225">
        <v>1</v>
      </c>
      <c r="R279" s="225">
        <v>1</v>
      </c>
      <c r="S279" s="225">
        <f t="shared" si="43"/>
        <v>0</v>
      </c>
      <c r="T279" s="225" t="str" cm="1">
        <f t="array" ref="T279">+_xlfn.IFS($P279&lt;=10000000000,IF(S279&gt;-0.05,"Verde",IF(S279&lt;=-0.1,"Rojo","Amarillo")),$P279&gt;10000000000,IF(S279&gt;-0.03,"Verde",IF(S279&lt;=-0.07,"Rojo","Amarillo")))</f>
        <v>Verde</v>
      </c>
      <c r="U279" s="226" t="s">
        <v>25</v>
      </c>
      <c r="V279" s="226" t="s">
        <v>25</v>
      </c>
      <c r="W279" s="226"/>
      <c r="X279" s="226"/>
      <c r="Y279" s="272">
        <v>45463</v>
      </c>
      <c r="Z279" s="225" t="str">
        <f t="shared" ca="1" si="45"/>
        <v>Terminado</v>
      </c>
      <c r="AA279" s="225" t="str">
        <f t="shared" ca="1" si="46"/>
        <v>-</v>
      </c>
      <c r="AB279" s="273"/>
      <c r="AC279" s="272"/>
      <c r="AD279" s="227">
        <v>45492</v>
      </c>
      <c r="AE279" s="221" t="s">
        <v>25</v>
      </c>
      <c r="AF279" s="223" t="s">
        <v>341</v>
      </c>
      <c r="AG279" s="223" t="s">
        <v>341</v>
      </c>
      <c r="AH279" s="223" t="s">
        <v>341</v>
      </c>
      <c r="AI279" s="221" t="s">
        <v>341</v>
      </c>
      <c r="AJ279" s="223" t="s">
        <v>341</v>
      </c>
      <c r="AK279" s="223" t="s">
        <v>341</v>
      </c>
      <c r="AL279" s="230" t="s">
        <v>341</v>
      </c>
      <c r="AM279" s="231">
        <v>0</v>
      </c>
      <c r="AN279" s="231">
        <v>0</v>
      </c>
      <c r="AO279" s="231">
        <f t="shared" si="47"/>
        <v>0</v>
      </c>
      <c r="AP279" s="231">
        <v>0</v>
      </c>
      <c r="AQ279" s="231">
        <v>0</v>
      </c>
      <c r="AR279" s="231">
        <v>0</v>
      </c>
      <c r="AS279" s="231">
        <v>0</v>
      </c>
      <c r="AT279" s="231">
        <f t="shared" si="52"/>
        <v>0</v>
      </c>
      <c r="AU279" s="231">
        <v>0</v>
      </c>
      <c r="AV279" s="231">
        <v>0</v>
      </c>
      <c r="AW279" s="232" t="s">
        <v>1722</v>
      </c>
      <c r="AX279" s="232" t="s">
        <v>1723</v>
      </c>
      <c r="AY279" s="232"/>
      <c r="AZ279" s="232"/>
      <c r="BA279" s="221" t="s">
        <v>1705</v>
      </c>
      <c r="BB279" s="221"/>
      <c r="BC279" s="233" t="s">
        <v>364</v>
      </c>
      <c r="BF279" s="51"/>
    </row>
    <row r="280" spans="1:58" ht="13.5" customHeight="1">
      <c r="A280" s="220">
        <f t="shared" si="42"/>
        <v>279</v>
      </c>
      <c r="B280" s="221" t="s">
        <v>1573</v>
      </c>
      <c r="C280" s="221" t="s">
        <v>1574</v>
      </c>
      <c r="D280" s="221" t="s">
        <v>365</v>
      </c>
      <c r="E280" s="221" t="s">
        <v>1575</v>
      </c>
      <c r="F280" s="221" t="s">
        <v>1693</v>
      </c>
      <c r="G280" s="222" t="s">
        <v>1724</v>
      </c>
      <c r="H280" s="221" t="s">
        <v>397</v>
      </c>
      <c r="I280" s="221" t="s">
        <v>1725</v>
      </c>
      <c r="J280" s="221" t="s">
        <v>1726</v>
      </c>
      <c r="K280" s="221" t="s">
        <v>1727</v>
      </c>
      <c r="L280" s="221">
        <v>-748151315511382</v>
      </c>
      <c r="M280" s="221">
        <v>10.988399010560601</v>
      </c>
      <c r="N280" s="223" t="s">
        <v>126</v>
      </c>
      <c r="O280" s="230" t="s">
        <v>127</v>
      </c>
      <c r="P280" s="224">
        <f t="shared" si="53"/>
        <v>0</v>
      </c>
      <c r="Q280" s="225">
        <v>1</v>
      </c>
      <c r="R280" s="225">
        <v>1</v>
      </c>
      <c r="S280" s="225">
        <f t="shared" si="43"/>
        <v>0</v>
      </c>
      <c r="T280" s="225" t="str" cm="1">
        <f t="array" ref="T280">+_xlfn.IFS($P280&lt;=10000000000,IF(S280&gt;-0.05,"Verde",IF(S280&lt;=-0.1,"Rojo","Amarillo")),$P280&gt;10000000000,IF(S280&gt;-0.03,"Verde",IF(S280&lt;=-0.07,"Rojo","Amarillo")))</f>
        <v>Verde</v>
      </c>
      <c r="U280" s="226" t="s">
        <v>25</v>
      </c>
      <c r="V280" s="226" t="s">
        <v>25</v>
      </c>
      <c r="W280" s="226"/>
      <c r="X280" s="226"/>
      <c r="Y280" s="272">
        <v>45499</v>
      </c>
      <c r="Z280" s="225" t="str">
        <f t="shared" ca="1" si="45"/>
        <v>Terminado</v>
      </c>
      <c r="AA280" s="225" t="str">
        <f t="shared" ca="1" si="46"/>
        <v>-</v>
      </c>
      <c r="AB280" s="273"/>
      <c r="AC280" s="272"/>
      <c r="AD280" s="227">
        <v>45497</v>
      </c>
      <c r="AE280" s="221" t="s">
        <v>25</v>
      </c>
      <c r="AF280" s="223" t="s">
        <v>341</v>
      </c>
      <c r="AG280" s="223" t="s">
        <v>341</v>
      </c>
      <c r="AH280" s="223" t="s">
        <v>341</v>
      </c>
      <c r="AI280" s="221" t="s">
        <v>341</v>
      </c>
      <c r="AJ280" s="223" t="s">
        <v>341</v>
      </c>
      <c r="AK280" s="223" t="s">
        <v>341</v>
      </c>
      <c r="AL280" s="230" t="s">
        <v>341</v>
      </c>
      <c r="AM280" s="231">
        <v>0</v>
      </c>
      <c r="AN280" s="231">
        <v>0</v>
      </c>
      <c r="AO280" s="231">
        <f t="shared" si="47"/>
        <v>0</v>
      </c>
      <c r="AP280" s="231">
        <v>0</v>
      </c>
      <c r="AQ280" s="231">
        <v>0</v>
      </c>
      <c r="AR280" s="231">
        <v>0</v>
      </c>
      <c r="AS280" s="231">
        <v>0</v>
      </c>
      <c r="AT280" s="231">
        <f t="shared" si="52"/>
        <v>0</v>
      </c>
      <c r="AU280" s="231">
        <v>0</v>
      </c>
      <c r="AV280" s="231">
        <v>0</v>
      </c>
      <c r="AW280" s="232" t="s">
        <v>1728</v>
      </c>
      <c r="AX280" s="232" t="s">
        <v>1729</v>
      </c>
      <c r="AY280" s="232"/>
      <c r="AZ280" s="232"/>
      <c r="BA280" s="221" t="s">
        <v>1730</v>
      </c>
      <c r="BB280" s="221"/>
      <c r="BC280" s="233" t="s">
        <v>364</v>
      </c>
      <c r="BF280" s="51"/>
    </row>
    <row r="281" spans="1:58" ht="13.5" customHeight="1">
      <c r="A281" s="220">
        <f t="shared" si="42"/>
        <v>280</v>
      </c>
      <c r="B281" s="221" t="s">
        <v>1573</v>
      </c>
      <c r="C281" s="221" t="s">
        <v>1574</v>
      </c>
      <c r="D281" s="221" t="s">
        <v>365</v>
      </c>
      <c r="E281" s="221" t="s">
        <v>1575</v>
      </c>
      <c r="F281" s="221" t="s">
        <v>1693</v>
      </c>
      <c r="G281" s="222" t="s">
        <v>1731</v>
      </c>
      <c r="H281" s="221" t="s">
        <v>154</v>
      </c>
      <c r="I281" s="221" t="s">
        <v>1732</v>
      </c>
      <c r="J281" s="221" t="s">
        <v>1733</v>
      </c>
      <c r="K281" s="221" t="s">
        <v>1734</v>
      </c>
      <c r="L281" s="221">
        <v>-7483929368820220</v>
      </c>
      <c r="M281" s="221">
        <v>10.9722777504325</v>
      </c>
      <c r="N281" s="223" t="s">
        <v>126</v>
      </c>
      <c r="O281" s="230" t="s">
        <v>127</v>
      </c>
      <c r="P281" s="224">
        <f t="shared" si="53"/>
        <v>0</v>
      </c>
      <c r="Q281" s="225">
        <v>1</v>
      </c>
      <c r="R281" s="225">
        <v>1</v>
      </c>
      <c r="S281" s="225">
        <f t="shared" si="43"/>
        <v>0</v>
      </c>
      <c r="T281" s="225" t="str" cm="1">
        <f t="array" ref="T281">+_xlfn.IFS($P281&lt;=10000000000,IF(S281&gt;-0.05,"Verde",IF(S281&lt;=-0.1,"Rojo","Amarillo")),$P281&gt;10000000000,IF(S281&gt;-0.03,"Verde",IF(S281&lt;=-0.07,"Rojo","Amarillo")))</f>
        <v>Verde</v>
      </c>
      <c r="U281" s="226" t="s">
        <v>25</v>
      </c>
      <c r="V281" s="226" t="s">
        <v>25</v>
      </c>
      <c r="W281" s="226"/>
      <c r="X281" s="226"/>
      <c r="Y281" s="272">
        <v>45499</v>
      </c>
      <c r="Z281" s="225" t="str">
        <f t="shared" ca="1" si="45"/>
        <v>Terminado</v>
      </c>
      <c r="AA281" s="225" t="str">
        <f t="shared" ca="1" si="46"/>
        <v>-</v>
      </c>
      <c r="AB281" s="273"/>
      <c r="AC281" s="272"/>
      <c r="AD281" s="227">
        <v>45496</v>
      </c>
      <c r="AE281" s="221" t="s">
        <v>25</v>
      </c>
      <c r="AF281" s="223" t="s">
        <v>341</v>
      </c>
      <c r="AG281" s="223" t="s">
        <v>341</v>
      </c>
      <c r="AH281" s="223" t="s">
        <v>341</v>
      </c>
      <c r="AI281" s="221" t="s">
        <v>341</v>
      </c>
      <c r="AJ281" s="223" t="s">
        <v>341</v>
      </c>
      <c r="AK281" s="223" t="s">
        <v>341</v>
      </c>
      <c r="AL281" s="230" t="s">
        <v>341</v>
      </c>
      <c r="AM281" s="231">
        <v>0</v>
      </c>
      <c r="AN281" s="231">
        <v>0</v>
      </c>
      <c r="AO281" s="231">
        <f t="shared" si="47"/>
        <v>0</v>
      </c>
      <c r="AP281" s="231">
        <v>0</v>
      </c>
      <c r="AQ281" s="231">
        <v>0</v>
      </c>
      <c r="AR281" s="231">
        <v>0</v>
      </c>
      <c r="AS281" s="231">
        <v>0</v>
      </c>
      <c r="AT281" s="231">
        <f t="shared" si="52"/>
        <v>0</v>
      </c>
      <c r="AU281" s="231">
        <v>0</v>
      </c>
      <c r="AV281" s="231">
        <v>0</v>
      </c>
      <c r="AW281" s="232" t="s">
        <v>1735</v>
      </c>
      <c r="AX281" s="232" t="s">
        <v>1736</v>
      </c>
      <c r="AY281" s="232"/>
      <c r="AZ281" s="232"/>
      <c r="BA281" s="221" t="s">
        <v>1737</v>
      </c>
      <c r="BB281" s="221"/>
      <c r="BC281" s="233" t="s">
        <v>364</v>
      </c>
      <c r="BF281" s="51"/>
    </row>
    <row r="282" spans="1:58" ht="13.5" customHeight="1">
      <c r="A282" s="220">
        <f t="shared" si="42"/>
        <v>281</v>
      </c>
      <c r="B282" s="221" t="s">
        <v>1573</v>
      </c>
      <c r="C282" s="221" t="s">
        <v>1574</v>
      </c>
      <c r="D282" s="221" t="s">
        <v>365</v>
      </c>
      <c r="E282" s="221" t="s">
        <v>1575</v>
      </c>
      <c r="F282" s="221" t="s">
        <v>1576</v>
      </c>
      <c r="G282" s="222" t="s">
        <v>1738</v>
      </c>
      <c r="H282" s="221" t="s">
        <v>582</v>
      </c>
      <c r="I282" s="221" t="s">
        <v>686</v>
      </c>
      <c r="J282" s="221" t="s">
        <v>1739</v>
      </c>
      <c r="K282" s="221" t="s">
        <v>1740</v>
      </c>
      <c r="L282" s="221">
        <v>-7478121151117020</v>
      </c>
      <c r="M282" s="221">
        <v>10.942332302546401</v>
      </c>
      <c r="N282" s="223" t="s">
        <v>228</v>
      </c>
      <c r="O282" s="230" t="s">
        <v>229</v>
      </c>
      <c r="P282" s="224">
        <f t="shared" si="53"/>
        <v>0</v>
      </c>
      <c r="Q282" s="225">
        <v>1</v>
      </c>
      <c r="R282" s="225">
        <v>0.95</v>
      </c>
      <c r="S282" s="225">
        <f t="shared" si="43"/>
        <v>-5.0000000000000044E-2</v>
      </c>
      <c r="T282" s="225" t="str" cm="1">
        <f t="array" ref="T282">+_xlfn.IFS($P282&lt;=10000000000,IF(S282&gt;-0.05,"Verde",IF(S282&lt;=-0.1,"Rojo","Amarillo")),$P282&gt;10000000000,IF(S282&gt;-0.03,"Verde",IF(S282&lt;=-0.07,"Rojo","Amarillo")))</f>
        <v>Amarillo</v>
      </c>
      <c r="U282" s="226" t="s">
        <v>25</v>
      </c>
      <c r="V282" s="226" t="s">
        <v>25</v>
      </c>
      <c r="W282" s="226"/>
      <c r="X282" s="226"/>
      <c r="Y282" s="272">
        <v>45657</v>
      </c>
      <c r="Z282" s="225" t="str">
        <f t="shared" ca="1" si="45"/>
        <v>Rojo</v>
      </c>
      <c r="AA282" s="225" t="str">
        <f t="shared" ca="1" si="46"/>
        <v>En_Seguimiento</v>
      </c>
      <c r="AB282" s="273" t="s">
        <v>364</v>
      </c>
      <c r="AC282" s="272">
        <v>45657</v>
      </c>
      <c r="AD282" s="227"/>
      <c r="AE282" s="221" t="s">
        <v>25</v>
      </c>
      <c r="AF282" s="223" t="s">
        <v>341</v>
      </c>
      <c r="AG282" s="223" t="s">
        <v>341</v>
      </c>
      <c r="AH282" s="223" t="s">
        <v>341</v>
      </c>
      <c r="AI282" s="221" t="s">
        <v>341</v>
      </c>
      <c r="AJ282" s="223" t="s">
        <v>341</v>
      </c>
      <c r="AK282" s="223" t="s">
        <v>341</v>
      </c>
      <c r="AL282" s="230" t="s">
        <v>341</v>
      </c>
      <c r="AM282" s="231">
        <v>0</v>
      </c>
      <c r="AN282" s="231">
        <v>0</v>
      </c>
      <c r="AO282" s="231">
        <f t="shared" si="47"/>
        <v>0</v>
      </c>
      <c r="AP282" s="231">
        <v>0</v>
      </c>
      <c r="AQ282" s="231">
        <v>0</v>
      </c>
      <c r="AR282" s="231">
        <v>0</v>
      </c>
      <c r="AS282" s="231">
        <v>0</v>
      </c>
      <c r="AT282" s="231">
        <f t="shared" si="52"/>
        <v>0</v>
      </c>
      <c r="AU282" s="231">
        <v>0</v>
      </c>
      <c r="AV282" s="231">
        <v>0</v>
      </c>
      <c r="AW282" s="232"/>
      <c r="AX282" s="232" t="s">
        <v>2441</v>
      </c>
      <c r="AY282" s="232" t="s">
        <v>1741</v>
      </c>
      <c r="AZ282" s="232"/>
      <c r="BA282" s="221" t="s">
        <v>1742</v>
      </c>
      <c r="BB282" s="221"/>
      <c r="BC282" s="233" t="s">
        <v>128</v>
      </c>
      <c r="BF282" s="51"/>
    </row>
    <row r="283" spans="1:58" ht="13.5" customHeight="1">
      <c r="A283" s="220">
        <f t="shared" si="42"/>
        <v>282</v>
      </c>
      <c r="B283" s="221" t="s">
        <v>1573</v>
      </c>
      <c r="C283" s="221" t="s">
        <v>1574</v>
      </c>
      <c r="D283" s="221" t="s">
        <v>365</v>
      </c>
      <c r="E283" s="221" t="s">
        <v>1575</v>
      </c>
      <c r="F283" s="221" t="s">
        <v>1576</v>
      </c>
      <c r="G283" s="222" t="s">
        <v>1743</v>
      </c>
      <c r="H283" s="221" t="s">
        <v>411</v>
      </c>
      <c r="I283" s="221" t="s">
        <v>531</v>
      </c>
      <c r="J283" s="221" t="s">
        <v>1744</v>
      </c>
      <c r="K283" s="221" t="s">
        <v>1745</v>
      </c>
      <c r="L283" s="221">
        <v>-7481494547037110</v>
      </c>
      <c r="M283" s="221">
        <v>11.027443298963099</v>
      </c>
      <c r="N283" s="223" t="s">
        <v>228</v>
      </c>
      <c r="O283" s="230" t="s">
        <v>229</v>
      </c>
      <c r="P283" s="224">
        <f t="shared" si="53"/>
        <v>0</v>
      </c>
      <c r="Q283" s="225">
        <v>1</v>
      </c>
      <c r="R283" s="225">
        <v>0.95</v>
      </c>
      <c r="S283" s="225">
        <f t="shared" si="43"/>
        <v>-5.0000000000000044E-2</v>
      </c>
      <c r="T283" s="225" t="str" cm="1">
        <f t="array" ref="T283">+_xlfn.IFS($P283&lt;=10000000000,IF(S283&gt;-0.05,"Verde",IF(S283&lt;=-0.1,"Rojo","Amarillo")),$P283&gt;10000000000,IF(S283&gt;-0.03,"Verde",IF(S283&lt;=-0.07,"Rojo","Amarillo")))</f>
        <v>Amarillo</v>
      </c>
      <c r="U283" s="226" t="s">
        <v>25</v>
      </c>
      <c r="V283" s="226" t="s">
        <v>25</v>
      </c>
      <c r="W283" s="226"/>
      <c r="X283" s="226"/>
      <c r="Y283" s="272">
        <v>45657</v>
      </c>
      <c r="Z283" s="225" t="str">
        <f t="shared" ca="1" si="45"/>
        <v>Rojo</v>
      </c>
      <c r="AA283" s="225" t="str">
        <f t="shared" ca="1" si="46"/>
        <v>En_Seguimiento</v>
      </c>
      <c r="AB283" s="273" t="s">
        <v>128</v>
      </c>
      <c r="AC283" s="272">
        <v>45657</v>
      </c>
      <c r="AD283" s="227"/>
      <c r="AE283" s="221" t="s">
        <v>25</v>
      </c>
      <c r="AF283" s="223" t="s">
        <v>341</v>
      </c>
      <c r="AG283" s="223" t="s">
        <v>341</v>
      </c>
      <c r="AH283" s="223" t="s">
        <v>341</v>
      </c>
      <c r="AI283" s="221" t="s">
        <v>341</v>
      </c>
      <c r="AJ283" s="223" t="s">
        <v>341</v>
      </c>
      <c r="AK283" s="223" t="s">
        <v>341</v>
      </c>
      <c r="AL283" s="230" t="s">
        <v>341</v>
      </c>
      <c r="AM283" s="231">
        <v>0</v>
      </c>
      <c r="AN283" s="231">
        <v>0</v>
      </c>
      <c r="AO283" s="231">
        <f t="shared" si="47"/>
        <v>0</v>
      </c>
      <c r="AP283" s="231">
        <v>0</v>
      </c>
      <c r="AQ283" s="231">
        <v>0</v>
      </c>
      <c r="AR283" s="231">
        <v>0</v>
      </c>
      <c r="AS283" s="231">
        <v>0</v>
      </c>
      <c r="AT283" s="231">
        <f t="shared" si="52"/>
        <v>0</v>
      </c>
      <c r="AU283" s="231">
        <v>0</v>
      </c>
      <c r="AV283" s="231">
        <v>0</v>
      </c>
      <c r="AW283" s="232"/>
      <c r="AX283" s="232" t="s">
        <v>2441</v>
      </c>
      <c r="AY283" s="232" t="s">
        <v>1583</v>
      </c>
      <c r="AZ283" s="232"/>
      <c r="BA283" s="221" t="s">
        <v>1746</v>
      </c>
      <c r="BB283" s="221"/>
      <c r="BC283" s="233" t="s">
        <v>128</v>
      </c>
      <c r="BF283" s="51"/>
    </row>
    <row r="284" spans="1:58" ht="13.5" customHeight="1">
      <c r="A284" s="220">
        <f t="shared" si="42"/>
        <v>283</v>
      </c>
      <c r="B284" s="221" t="s">
        <v>1573</v>
      </c>
      <c r="C284" s="221" t="s">
        <v>1574</v>
      </c>
      <c r="D284" s="221" t="s">
        <v>365</v>
      </c>
      <c r="E284" s="221" t="s">
        <v>1575</v>
      </c>
      <c r="F284" s="221" t="s">
        <v>1576</v>
      </c>
      <c r="G284" s="222" t="s">
        <v>1747</v>
      </c>
      <c r="H284" s="221" t="s">
        <v>163</v>
      </c>
      <c r="I284" s="221" t="s">
        <v>697</v>
      </c>
      <c r="J284" s="221" t="s">
        <v>698</v>
      </c>
      <c r="K284" s="221" t="s">
        <v>1748</v>
      </c>
      <c r="L284" s="221">
        <v>-7482149231522030</v>
      </c>
      <c r="M284" s="221">
        <v>10.9311915198117</v>
      </c>
      <c r="N284" s="223" t="s">
        <v>228</v>
      </c>
      <c r="O284" s="230" t="s">
        <v>229</v>
      </c>
      <c r="P284" s="224">
        <f t="shared" si="53"/>
        <v>0</v>
      </c>
      <c r="Q284" s="225">
        <v>0.98</v>
      </c>
      <c r="R284" s="225">
        <v>0.92</v>
      </c>
      <c r="S284" s="225">
        <f t="shared" si="43"/>
        <v>-5.9999999999999942E-2</v>
      </c>
      <c r="T284" s="225" t="str" cm="1">
        <f t="array" ref="T284">+_xlfn.IFS($P284&lt;=10000000000,IF(S284&gt;-0.05,"Verde",IF(S284&lt;=-0.1,"Rojo","Amarillo")),$P284&gt;10000000000,IF(S284&gt;-0.03,"Verde",IF(S284&lt;=-0.07,"Rojo","Amarillo")))</f>
        <v>Amarillo</v>
      </c>
      <c r="U284" s="226" t="s">
        <v>25</v>
      </c>
      <c r="V284" s="226" t="s">
        <v>25</v>
      </c>
      <c r="W284" s="226"/>
      <c r="X284" s="226"/>
      <c r="Y284" s="272">
        <v>45657</v>
      </c>
      <c r="Z284" s="225" t="str">
        <f t="shared" ca="1" si="45"/>
        <v>Rojo</v>
      </c>
      <c r="AA284" s="225" t="str">
        <f t="shared" ca="1" si="46"/>
        <v>En_Seguimiento</v>
      </c>
      <c r="AB284" s="273" t="s">
        <v>364</v>
      </c>
      <c r="AC284" s="272">
        <v>45657</v>
      </c>
      <c r="AD284" s="227"/>
      <c r="AE284" s="221" t="s">
        <v>25</v>
      </c>
      <c r="AF284" s="223" t="s">
        <v>341</v>
      </c>
      <c r="AG284" s="223" t="s">
        <v>341</v>
      </c>
      <c r="AH284" s="223" t="s">
        <v>341</v>
      </c>
      <c r="AI284" s="221" t="s">
        <v>341</v>
      </c>
      <c r="AJ284" s="223" t="s">
        <v>341</v>
      </c>
      <c r="AK284" s="223" t="s">
        <v>341</v>
      </c>
      <c r="AL284" s="230" t="s">
        <v>341</v>
      </c>
      <c r="AM284" s="231">
        <v>0</v>
      </c>
      <c r="AN284" s="231">
        <v>0</v>
      </c>
      <c r="AO284" s="231">
        <f t="shared" si="47"/>
        <v>0</v>
      </c>
      <c r="AP284" s="231">
        <v>0</v>
      </c>
      <c r="AQ284" s="231">
        <v>0</v>
      </c>
      <c r="AR284" s="231">
        <v>0</v>
      </c>
      <c r="AS284" s="231">
        <v>0</v>
      </c>
      <c r="AT284" s="231">
        <f t="shared" si="52"/>
        <v>0</v>
      </c>
      <c r="AU284" s="231">
        <v>0</v>
      </c>
      <c r="AV284" s="231">
        <v>0</v>
      </c>
      <c r="AW284" s="232"/>
      <c r="AX284" s="232" t="s">
        <v>2441</v>
      </c>
      <c r="AY284" s="232" t="s">
        <v>1583</v>
      </c>
      <c r="AZ284" s="232"/>
      <c r="BA284" s="221" t="s">
        <v>1749</v>
      </c>
      <c r="BB284" s="221"/>
      <c r="BC284" s="233" t="s">
        <v>128</v>
      </c>
      <c r="BF284" s="51"/>
    </row>
    <row r="285" spans="1:58" ht="13.5" customHeight="1">
      <c r="A285" s="220">
        <f t="shared" si="42"/>
        <v>284</v>
      </c>
      <c r="B285" s="221" t="s">
        <v>1573</v>
      </c>
      <c r="C285" s="221" t="s">
        <v>1574</v>
      </c>
      <c r="D285" s="221" t="s">
        <v>365</v>
      </c>
      <c r="E285" s="221" t="s">
        <v>1575</v>
      </c>
      <c r="F285" s="221" t="s">
        <v>1576</v>
      </c>
      <c r="G285" s="222" t="s">
        <v>1750</v>
      </c>
      <c r="H285" s="221" t="s">
        <v>154</v>
      </c>
      <c r="I285" s="221" t="s">
        <v>1751</v>
      </c>
      <c r="J285" s="221" t="s">
        <v>1752</v>
      </c>
      <c r="K285" s="221" t="s">
        <v>1753</v>
      </c>
      <c r="L285" s="221">
        <v>-7482029892832070</v>
      </c>
      <c r="M285" s="221">
        <v>10.963926817303999</v>
      </c>
      <c r="N285" s="223" t="s">
        <v>126</v>
      </c>
      <c r="O285" s="230" t="s">
        <v>127</v>
      </c>
      <c r="P285" s="224">
        <f t="shared" si="53"/>
        <v>0</v>
      </c>
      <c r="Q285" s="225">
        <v>1</v>
      </c>
      <c r="R285" s="225">
        <v>1</v>
      </c>
      <c r="S285" s="225">
        <f t="shared" si="43"/>
        <v>0</v>
      </c>
      <c r="T285" s="225" t="str" cm="1">
        <f t="array" ref="T285">+_xlfn.IFS($P285&lt;=10000000000,IF(S285&gt;-0.05,"Verde",IF(S285&lt;=-0.1,"Rojo","Amarillo")),$P285&gt;10000000000,IF(S285&gt;-0.03,"Verde",IF(S285&lt;=-0.07,"Rojo","Amarillo")))</f>
        <v>Verde</v>
      </c>
      <c r="U285" s="226" t="s">
        <v>25</v>
      </c>
      <c r="V285" s="226" t="s">
        <v>25</v>
      </c>
      <c r="W285" s="226"/>
      <c r="X285" s="226"/>
      <c r="Y285" s="272">
        <v>45657</v>
      </c>
      <c r="Z285" s="225" t="str">
        <f t="shared" ca="1" si="45"/>
        <v>Terminado</v>
      </c>
      <c r="AA285" s="225" t="str">
        <f t="shared" ca="1" si="46"/>
        <v>-</v>
      </c>
      <c r="AB285" s="273" t="s">
        <v>364</v>
      </c>
      <c r="AC285" s="272" t="s">
        <v>1754</v>
      </c>
      <c r="AD285" s="227">
        <v>45841</v>
      </c>
      <c r="AE285" s="221" t="s">
        <v>25</v>
      </c>
      <c r="AF285" s="223" t="s">
        <v>341</v>
      </c>
      <c r="AG285" s="223" t="s">
        <v>341</v>
      </c>
      <c r="AH285" s="223" t="s">
        <v>341</v>
      </c>
      <c r="AI285" s="221" t="s">
        <v>341</v>
      </c>
      <c r="AJ285" s="223" t="s">
        <v>341</v>
      </c>
      <c r="AK285" s="223" t="s">
        <v>341</v>
      </c>
      <c r="AL285" s="230" t="s">
        <v>341</v>
      </c>
      <c r="AM285" s="231">
        <v>0</v>
      </c>
      <c r="AN285" s="231">
        <v>0</v>
      </c>
      <c r="AO285" s="231">
        <f t="shared" si="47"/>
        <v>0</v>
      </c>
      <c r="AP285" s="231">
        <v>0</v>
      </c>
      <c r="AQ285" s="231">
        <v>0</v>
      </c>
      <c r="AR285" s="231">
        <v>0</v>
      </c>
      <c r="AS285" s="231">
        <v>0</v>
      </c>
      <c r="AT285" s="231">
        <f t="shared" si="52"/>
        <v>0</v>
      </c>
      <c r="AU285" s="231">
        <v>0</v>
      </c>
      <c r="AV285" s="231">
        <v>0</v>
      </c>
      <c r="AW285" s="232"/>
      <c r="AX285" s="232" t="s">
        <v>2441</v>
      </c>
      <c r="AY285" s="232" t="s">
        <v>1583</v>
      </c>
      <c r="AZ285" s="232"/>
      <c r="BA285" s="221" t="s">
        <v>1746</v>
      </c>
      <c r="BB285" s="221"/>
      <c r="BC285" s="233" t="s">
        <v>128</v>
      </c>
      <c r="BF285" s="51"/>
    </row>
    <row r="286" spans="1:58" ht="13.5" customHeight="1">
      <c r="A286" s="220">
        <f t="shared" si="42"/>
        <v>285</v>
      </c>
      <c r="B286" s="221" t="s">
        <v>1573</v>
      </c>
      <c r="C286" s="221" t="s">
        <v>1574</v>
      </c>
      <c r="D286" s="221" t="s">
        <v>365</v>
      </c>
      <c r="E286" s="221" t="s">
        <v>1575</v>
      </c>
      <c r="F286" s="221" t="s">
        <v>1576</v>
      </c>
      <c r="G286" s="222" t="s">
        <v>1755</v>
      </c>
      <c r="H286" s="221" t="s">
        <v>163</v>
      </c>
      <c r="I286" s="221" t="s">
        <v>1756</v>
      </c>
      <c r="J286" s="221" t="s">
        <v>1757</v>
      </c>
      <c r="K286" s="221" t="s">
        <v>1758</v>
      </c>
      <c r="L286" s="221">
        <v>-7481141861112830</v>
      </c>
      <c r="M286" s="221">
        <v>10.9247472708222</v>
      </c>
      <c r="N286" s="223" t="s">
        <v>228</v>
      </c>
      <c r="O286" s="230" t="s">
        <v>229</v>
      </c>
      <c r="P286" s="224">
        <f t="shared" si="53"/>
        <v>0</v>
      </c>
      <c r="Q286" s="225">
        <v>0.98</v>
      </c>
      <c r="R286" s="225">
        <v>0.92</v>
      </c>
      <c r="S286" s="225">
        <f t="shared" si="43"/>
        <v>-5.9999999999999942E-2</v>
      </c>
      <c r="T286" s="225" t="str" cm="1">
        <f t="array" ref="T286">+_xlfn.IFS($P286&lt;=10000000000,IF(S286&gt;-0.05,"Verde",IF(S286&lt;=-0.1,"Rojo","Amarillo")),$P286&gt;10000000000,IF(S286&gt;-0.03,"Verde",IF(S286&lt;=-0.07,"Rojo","Amarillo")))</f>
        <v>Amarillo</v>
      </c>
      <c r="U286" s="226" t="s">
        <v>25</v>
      </c>
      <c r="V286" s="226" t="s">
        <v>25</v>
      </c>
      <c r="W286" s="226"/>
      <c r="X286" s="226"/>
      <c r="Y286" s="272">
        <v>45657</v>
      </c>
      <c r="Z286" s="225" t="str">
        <f t="shared" ca="1" si="45"/>
        <v>Rojo</v>
      </c>
      <c r="AA286" s="225" t="str">
        <f t="shared" ca="1" si="46"/>
        <v>En_Seguimiento</v>
      </c>
      <c r="AB286" s="273" t="s">
        <v>364</v>
      </c>
      <c r="AC286" s="272">
        <v>45657</v>
      </c>
      <c r="AD286" s="227"/>
      <c r="AE286" s="221" t="s">
        <v>25</v>
      </c>
      <c r="AF286" s="223" t="s">
        <v>341</v>
      </c>
      <c r="AG286" s="223" t="s">
        <v>341</v>
      </c>
      <c r="AH286" s="223" t="s">
        <v>341</v>
      </c>
      <c r="AI286" s="221" t="s">
        <v>341</v>
      </c>
      <c r="AJ286" s="223" t="s">
        <v>341</v>
      </c>
      <c r="AK286" s="223" t="s">
        <v>341</v>
      </c>
      <c r="AL286" s="230" t="s">
        <v>341</v>
      </c>
      <c r="AM286" s="231">
        <v>0</v>
      </c>
      <c r="AN286" s="231">
        <v>0</v>
      </c>
      <c r="AO286" s="231">
        <f t="shared" si="47"/>
        <v>0</v>
      </c>
      <c r="AP286" s="231">
        <v>0</v>
      </c>
      <c r="AQ286" s="231">
        <v>0</v>
      </c>
      <c r="AR286" s="231">
        <v>0</v>
      </c>
      <c r="AS286" s="231">
        <v>0</v>
      </c>
      <c r="AT286" s="231">
        <f t="shared" si="52"/>
        <v>0</v>
      </c>
      <c r="AU286" s="231">
        <v>0</v>
      </c>
      <c r="AV286" s="231">
        <v>0</v>
      </c>
      <c r="AW286" s="232"/>
      <c r="AX286" s="232" t="s">
        <v>2441</v>
      </c>
      <c r="AY286" s="232" t="s">
        <v>1583</v>
      </c>
      <c r="AZ286" s="232"/>
      <c r="BA286" s="221" t="s">
        <v>1746</v>
      </c>
      <c r="BB286" s="221"/>
      <c r="BC286" s="233" t="s">
        <v>128</v>
      </c>
      <c r="BF286" s="51"/>
    </row>
    <row r="287" spans="1:58" ht="13.5" customHeight="1">
      <c r="A287" s="220">
        <f t="shared" si="42"/>
        <v>286</v>
      </c>
      <c r="B287" s="221" t="s">
        <v>1573</v>
      </c>
      <c r="C287" s="221" t="s">
        <v>1574</v>
      </c>
      <c r="D287" s="221" t="s">
        <v>365</v>
      </c>
      <c r="E287" s="221" t="s">
        <v>1575</v>
      </c>
      <c r="F287" s="221" t="s">
        <v>1693</v>
      </c>
      <c r="G287" s="222" t="s">
        <v>1759</v>
      </c>
      <c r="H287" s="221" t="s">
        <v>397</v>
      </c>
      <c r="I287" s="221" t="s">
        <v>1760</v>
      </c>
      <c r="J287" s="221" t="s">
        <v>1761</v>
      </c>
      <c r="K287" s="221" t="s">
        <v>1762</v>
      </c>
      <c r="L287" s="221">
        <v>-748054345784575</v>
      </c>
      <c r="M287" s="221">
        <v>10.986192658936099</v>
      </c>
      <c r="N287" s="223" t="s">
        <v>126</v>
      </c>
      <c r="O287" s="230" t="s">
        <v>127</v>
      </c>
      <c r="P287" s="224">
        <f t="shared" si="53"/>
        <v>0</v>
      </c>
      <c r="Q287" s="225">
        <v>1</v>
      </c>
      <c r="R287" s="225">
        <v>1</v>
      </c>
      <c r="S287" s="225">
        <f t="shared" si="43"/>
        <v>0</v>
      </c>
      <c r="T287" s="225" t="str" cm="1">
        <f t="array" ref="T287">+_xlfn.IFS($P287&lt;=10000000000,IF(S287&gt;-0.05,"Verde",IF(S287&lt;=-0.1,"Rojo","Amarillo")),$P287&gt;10000000000,IF(S287&gt;-0.03,"Verde",IF(S287&lt;=-0.07,"Rojo","Amarillo")))</f>
        <v>Verde</v>
      </c>
      <c r="U287" s="226" t="s">
        <v>25</v>
      </c>
      <c r="V287" s="226" t="s">
        <v>25</v>
      </c>
      <c r="W287" s="226"/>
      <c r="X287" s="226"/>
      <c r="Y287" s="272">
        <v>45543</v>
      </c>
      <c r="Z287" s="225" t="str">
        <f t="shared" ca="1" si="45"/>
        <v>Terminado</v>
      </c>
      <c r="AA287" s="225" t="str">
        <f t="shared" ca="1" si="46"/>
        <v>-</v>
      </c>
      <c r="AB287" s="273"/>
      <c r="AC287" s="272"/>
      <c r="AD287" s="227">
        <v>45497</v>
      </c>
      <c r="AE287" s="221" t="s">
        <v>25</v>
      </c>
      <c r="AF287" s="223" t="s">
        <v>341</v>
      </c>
      <c r="AG287" s="223" t="s">
        <v>341</v>
      </c>
      <c r="AH287" s="223" t="s">
        <v>341</v>
      </c>
      <c r="AI287" s="221" t="s">
        <v>341</v>
      </c>
      <c r="AJ287" s="223" t="s">
        <v>341</v>
      </c>
      <c r="AK287" s="223" t="s">
        <v>341</v>
      </c>
      <c r="AL287" s="230" t="s">
        <v>341</v>
      </c>
      <c r="AM287" s="231">
        <v>0</v>
      </c>
      <c r="AN287" s="231">
        <v>0</v>
      </c>
      <c r="AO287" s="231">
        <f t="shared" si="47"/>
        <v>0</v>
      </c>
      <c r="AP287" s="231">
        <v>0</v>
      </c>
      <c r="AQ287" s="231">
        <v>0</v>
      </c>
      <c r="AR287" s="231">
        <v>0</v>
      </c>
      <c r="AS287" s="231">
        <v>0</v>
      </c>
      <c r="AT287" s="231">
        <f t="shared" si="52"/>
        <v>0</v>
      </c>
      <c r="AU287" s="231">
        <v>0</v>
      </c>
      <c r="AV287" s="231">
        <v>0</v>
      </c>
      <c r="AW287" s="232"/>
      <c r="AX287" s="232" t="s">
        <v>1763</v>
      </c>
      <c r="AY287" s="232"/>
      <c r="AZ287" s="232"/>
      <c r="BA287" s="221" t="s">
        <v>1730</v>
      </c>
      <c r="BB287" s="221"/>
      <c r="BC287" s="233" t="s">
        <v>128</v>
      </c>
      <c r="BF287" s="51"/>
    </row>
    <row r="288" spans="1:58" ht="13.5" customHeight="1">
      <c r="A288" s="220">
        <f t="shared" si="42"/>
        <v>287</v>
      </c>
      <c r="B288" s="221" t="s">
        <v>1573</v>
      </c>
      <c r="C288" s="221" t="s">
        <v>1574</v>
      </c>
      <c r="D288" s="221" t="s">
        <v>365</v>
      </c>
      <c r="E288" s="221" t="s">
        <v>1575</v>
      </c>
      <c r="F288" s="221" t="s">
        <v>1693</v>
      </c>
      <c r="G288" s="222" t="s">
        <v>1764</v>
      </c>
      <c r="H288" s="221" t="s">
        <v>154</v>
      </c>
      <c r="I288" s="221" t="s">
        <v>630</v>
      </c>
      <c r="J288" s="221" t="s">
        <v>631</v>
      </c>
      <c r="K288" s="221" t="s">
        <v>1765</v>
      </c>
      <c r="L288" s="221">
        <v>-7480821541116980</v>
      </c>
      <c r="M288" s="221">
        <v>1097461547645900</v>
      </c>
      <c r="N288" s="223" t="s">
        <v>126</v>
      </c>
      <c r="O288" s="230" t="s">
        <v>127</v>
      </c>
      <c r="P288" s="224">
        <f t="shared" si="53"/>
        <v>0</v>
      </c>
      <c r="Q288" s="225">
        <v>1</v>
      </c>
      <c r="R288" s="225">
        <v>1</v>
      </c>
      <c r="S288" s="225">
        <f t="shared" si="43"/>
        <v>0</v>
      </c>
      <c r="T288" s="225" t="str" cm="1">
        <f t="array" ref="T288">+_xlfn.IFS($P288&lt;=10000000000,IF(S288&gt;-0.05,"Verde",IF(S288&lt;=-0.1,"Rojo","Amarillo")),$P288&gt;10000000000,IF(S288&gt;-0.03,"Verde",IF(S288&lt;=-0.07,"Rojo","Amarillo")))</f>
        <v>Verde</v>
      </c>
      <c r="U288" s="226" t="s">
        <v>25</v>
      </c>
      <c r="V288" s="226" t="s">
        <v>25</v>
      </c>
      <c r="W288" s="226"/>
      <c r="X288" s="226"/>
      <c r="Y288" s="272">
        <v>45543</v>
      </c>
      <c r="Z288" s="225" t="str">
        <f t="shared" ca="1" si="45"/>
        <v>Terminado</v>
      </c>
      <c r="AA288" s="225" t="str">
        <f t="shared" ca="1" si="46"/>
        <v>-</v>
      </c>
      <c r="AB288" s="273"/>
      <c r="AC288" s="272"/>
      <c r="AD288" s="227">
        <v>45497</v>
      </c>
      <c r="AE288" s="221" t="s">
        <v>25</v>
      </c>
      <c r="AF288" s="223" t="s">
        <v>341</v>
      </c>
      <c r="AG288" s="223" t="s">
        <v>341</v>
      </c>
      <c r="AH288" s="223" t="s">
        <v>341</v>
      </c>
      <c r="AI288" s="221" t="s">
        <v>341</v>
      </c>
      <c r="AJ288" s="223" t="s">
        <v>341</v>
      </c>
      <c r="AK288" s="223" t="s">
        <v>341</v>
      </c>
      <c r="AL288" s="230" t="s">
        <v>341</v>
      </c>
      <c r="AM288" s="231">
        <v>0</v>
      </c>
      <c r="AN288" s="231">
        <v>0</v>
      </c>
      <c r="AO288" s="231">
        <f t="shared" si="47"/>
        <v>0</v>
      </c>
      <c r="AP288" s="231">
        <v>0</v>
      </c>
      <c r="AQ288" s="231">
        <v>0</v>
      </c>
      <c r="AR288" s="231">
        <v>0</v>
      </c>
      <c r="AS288" s="231">
        <v>0</v>
      </c>
      <c r="AT288" s="231">
        <f t="shared" si="52"/>
        <v>0</v>
      </c>
      <c r="AU288" s="231">
        <v>0</v>
      </c>
      <c r="AV288" s="231">
        <v>0</v>
      </c>
      <c r="AW288" s="232"/>
      <c r="AX288" s="232" t="s">
        <v>1736</v>
      </c>
      <c r="AY288" s="232"/>
      <c r="AZ288" s="232"/>
      <c r="BA288" s="221" t="s">
        <v>1766</v>
      </c>
      <c r="BB288" s="221"/>
      <c r="BC288" s="233" t="s">
        <v>128</v>
      </c>
      <c r="BF288" s="51"/>
    </row>
    <row r="289" spans="1:58" ht="13.5" customHeight="1">
      <c r="A289" s="220">
        <f t="shared" si="42"/>
        <v>288</v>
      </c>
      <c r="B289" s="221" t="s">
        <v>1573</v>
      </c>
      <c r="C289" s="221" t="s">
        <v>1574</v>
      </c>
      <c r="D289" s="221" t="s">
        <v>365</v>
      </c>
      <c r="E289" s="221" t="s">
        <v>1575</v>
      </c>
      <c r="F289" s="221" t="s">
        <v>1576</v>
      </c>
      <c r="G289" s="222" t="s">
        <v>1767</v>
      </c>
      <c r="H289" s="221" t="s">
        <v>154</v>
      </c>
      <c r="I289" s="221" t="s">
        <v>1768</v>
      </c>
      <c r="J289" s="221" t="s">
        <v>1769</v>
      </c>
      <c r="K289" s="221" t="s">
        <v>1770</v>
      </c>
      <c r="L289" s="221">
        <v>-748409468706492</v>
      </c>
      <c r="M289" s="221">
        <v>10.971669776557199</v>
      </c>
      <c r="N289" s="223" t="s">
        <v>228</v>
      </c>
      <c r="O289" s="230" t="s">
        <v>229</v>
      </c>
      <c r="P289" s="224">
        <f t="shared" si="53"/>
        <v>0</v>
      </c>
      <c r="Q289" s="225">
        <v>1</v>
      </c>
      <c r="R289" s="225">
        <v>0.95</v>
      </c>
      <c r="S289" s="225">
        <f t="shared" si="43"/>
        <v>-5.0000000000000044E-2</v>
      </c>
      <c r="T289" s="225" t="str" cm="1">
        <f t="array" ref="T289">+_xlfn.IFS($P289&lt;=10000000000,IF(S289&gt;-0.05,"Verde",IF(S289&lt;=-0.1,"Rojo","Amarillo")),$P289&gt;10000000000,IF(S289&gt;-0.03,"Verde",IF(S289&lt;=-0.07,"Rojo","Amarillo")))</f>
        <v>Amarillo</v>
      </c>
      <c r="U289" s="226" t="s">
        <v>25</v>
      </c>
      <c r="V289" s="226" t="s">
        <v>25</v>
      </c>
      <c r="W289" s="226"/>
      <c r="X289" s="226"/>
      <c r="Y289" s="272">
        <v>45657</v>
      </c>
      <c r="Z289" s="225" t="str">
        <f t="shared" ca="1" si="45"/>
        <v>Rojo</v>
      </c>
      <c r="AA289" s="225" t="str">
        <f t="shared" ca="1" si="46"/>
        <v>En_Seguimiento</v>
      </c>
      <c r="AB289" s="273" t="s">
        <v>364</v>
      </c>
      <c r="AC289" s="272">
        <v>45657</v>
      </c>
      <c r="AD289" s="227"/>
      <c r="AE289" s="221" t="s">
        <v>25</v>
      </c>
      <c r="AF289" s="223" t="s">
        <v>341</v>
      </c>
      <c r="AG289" s="223" t="s">
        <v>341</v>
      </c>
      <c r="AH289" s="223" t="s">
        <v>341</v>
      </c>
      <c r="AI289" s="221" t="s">
        <v>341</v>
      </c>
      <c r="AJ289" s="223" t="s">
        <v>341</v>
      </c>
      <c r="AK289" s="223" t="s">
        <v>341</v>
      </c>
      <c r="AL289" s="230" t="s">
        <v>341</v>
      </c>
      <c r="AM289" s="231">
        <v>0</v>
      </c>
      <c r="AN289" s="231">
        <v>0</v>
      </c>
      <c r="AO289" s="231">
        <f t="shared" si="47"/>
        <v>0</v>
      </c>
      <c r="AP289" s="231">
        <v>0</v>
      </c>
      <c r="AQ289" s="231">
        <v>0</v>
      </c>
      <c r="AR289" s="231">
        <v>0</v>
      </c>
      <c r="AS289" s="231">
        <v>0</v>
      </c>
      <c r="AT289" s="231">
        <f t="shared" si="52"/>
        <v>0</v>
      </c>
      <c r="AU289" s="231">
        <v>0</v>
      </c>
      <c r="AV289" s="231">
        <v>0</v>
      </c>
      <c r="AW289" s="232"/>
      <c r="AX289" s="232" t="s">
        <v>2441</v>
      </c>
      <c r="AY289" s="232" t="s">
        <v>1583</v>
      </c>
      <c r="AZ289" s="232"/>
      <c r="BA289" s="221" t="s">
        <v>1746</v>
      </c>
      <c r="BB289" s="221"/>
      <c r="BC289" s="233" t="s">
        <v>128</v>
      </c>
      <c r="BF289" s="51"/>
    </row>
    <row r="290" spans="1:58" ht="13.5" customHeight="1">
      <c r="A290" s="220">
        <f t="shared" si="42"/>
        <v>289</v>
      </c>
      <c r="B290" s="221" t="s">
        <v>1573</v>
      </c>
      <c r="C290" s="221" t="s">
        <v>1574</v>
      </c>
      <c r="D290" s="221" t="s">
        <v>365</v>
      </c>
      <c r="E290" s="221" t="s">
        <v>1575</v>
      </c>
      <c r="F290" s="221" t="s">
        <v>1576</v>
      </c>
      <c r="G290" s="222" t="s">
        <v>1771</v>
      </c>
      <c r="H290" s="221" t="s">
        <v>163</v>
      </c>
      <c r="I290" s="221" t="s">
        <v>1772</v>
      </c>
      <c r="J290" s="221" t="s">
        <v>1773</v>
      </c>
      <c r="K290" s="221" t="s">
        <v>1774</v>
      </c>
      <c r="L290" s="221">
        <v>-7482794388229240</v>
      </c>
      <c r="M290" s="221">
        <v>10.935588371590599</v>
      </c>
      <c r="N290" s="223" t="s">
        <v>228</v>
      </c>
      <c r="O290" s="230" t="s">
        <v>229</v>
      </c>
      <c r="P290" s="224">
        <f t="shared" si="53"/>
        <v>0</v>
      </c>
      <c r="Q290" s="225">
        <v>1</v>
      </c>
      <c r="R290" s="225">
        <v>0.95</v>
      </c>
      <c r="S290" s="225">
        <f t="shared" si="43"/>
        <v>-5.0000000000000044E-2</v>
      </c>
      <c r="T290" s="225" t="str" cm="1">
        <f t="array" ref="T290">+_xlfn.IFS($P290&lt;=10000000000,IF(S290&gt;-0.05,"Verde",IF(S290&lt;=-0.1,"Rojo","Amarillo")),$P290&gt;10000000000,IF(S290&gt;-0.03,"Verde",IF(S290&lt;=-0.07,"Rojo","Amarillo")))</f>
        <v>Amarillo</v>
      </c>
      <c r="U290" s="226" t="s">
        <v>25</v>
      </c>
      <c r="V290" s="226" t="s">
        <v>25</v>
      </c>
      <c r="W290" s="226"/>
      <c r="X290" s="226"/>
      <c r="Y290" s="272">
        <v>45657</v>
      </c>
      <c r="Z290" s="225" t="str">
        <f t="shared" ca="1" si="45"/>
        <v>Rojo</v>
      </c>
      <c r="AA290" s="225" t="str">
        <f t="shared" ca="1" si="46"/>
        <v>En_Seguimiento</v>
      </c>
      <c r="AB290" s="273" t="s">
        <v>364</v>
      </c>
      <c r="AC290" s="272">
        <v>45657</v>
      </c>
      <c r="AD290" s="227"/>
      <c r="AE290" s="221" t="s">
        <v>25</v>
      </c>
      <c r="AF290" s="223" t="s">
        <v>341</v>
      </c>
      <c r="AG290" s="223" t="s">
        <v>341</v>
      </c>
      <c r="AH290" s="223" t="s">
        <v>341</v>
      </c>
      <c r="AI290" s="221" t="s">
        <v>341</v>
      </c>
      <c r="AJ290" s="223" t="s">
        <v>341</v>
      </c>
      <c r="AK290" s="223" t="s">
        <v>341</v>
      </c>
      <c r="AL290" s="230" t="s">
        <v>341</v>
      </c>
      <c r="AM290" s="231">
        <v>0</v>
      </c>
      <c r="AN290" s="231">
        <v>0</v>
      </c>
      <c r="AO290" s="231">
        <f t="shared" si="47"/>
        <v>0</v>
      </c>
      <c r="AP290" s="231">
        <v>0</v>
      </c>
      <c r="AQ290" s="231">
        <v>0</v>
      </c>
      <c r="AR290" s="231">
        <v>0</v>
      </c>
      <c r="AS290" s="231">
        <v>0</v>
      </c>
      <c r="AT290" s="231">
        <f t="shared" si="52"/>
        <v>0</v>
      </c>
      <c r="AU290" s="231">
        <v>0</v>
      </c>
      <c r="AV290" s="231">
        <v>0</v>
      </c>
      <c r="AW290" s="232"/>
      <c r="AX290" s="232" t="s">
        <v>2441</v>
      </c>
      <c r="AY290" s="232" t="s">
        <v>1583</v>
      </c>
      <c r="AZ290" s="232"/>
      <c r="BA290" s="221" t="s">
        <v>1746</v>
      </c>
      <c r="BB290" s="221"/>
      <c r="BC290" s="233" t="s">
        <v>128</v>
      </c>
      <c r="BF290" s="51"/>
    </row>
    <row r="291" spans="1:58" ht="13.5" customHeight="1">
      <c r="A291" s="220">
        <f t="shared" si="42"/>
        <v>290</v>
      </c>
      <c r="B291" s="221" t="s">
        <v>1573</v>
      </c>
      <c r="C291" s="221" t="s">
        <v>1574</v>
      </c>
      <c r="D291" s="221" t="s">
        <v>365</v>
      </c>
      <c r="E291" s="221" t="s">
        <v>1575</v>
      </c>
      <c r="F291" s="221" t="s">
        <v>1576</v>
      </c>
      <c r="G291" s="222" t="s">
        <v>1775</v>
      </c>
      <c r="H291" s="221" t="s">
        <v>154</v>
      </c>
      <c r="I291" s="221" t="s">
        <v>951</v>
      </c>
      <c r="J291" s="221" t="s">
        <v>1776</v>
      </c>
      <c r="K291" s="221" t="s">
        <v>1777</v>
      </c>
      <c r="L291" s="221">
        <v>-7481224169763480</v>
      </c>
      <c r="M291" s="221">
        <v>10.968214677724101</v>
      </c>
      <c r="N291" s="223" t="s">
        <v>228</v>
      </c>
      <c r="O291" s="230" t="s">
        <v>534</v>
      </c>
      <c r="P291" s="224">
        <f t="shared" si="53"/>
        <v>0</v>
      </c>
      <c r="Q291" s="225">
        <v>0.97</v>
      </c>
      <c r="R291" s="225">
        <v>0.86299999999999999</v>
      </c>
      <c r="S291" s="225">
        <f t="shared" si="43"/>
        <v>-0.10699999999999998</v>
      </c>
      <c r="T291" s="225" t="str" cm="1">
        <f t="array" ref="T291">+_xlfn.IFS($P291&lt;=10000000000,IF(S291&gt;-0.05,"Verde",IF(S291&lt;=-0.1,"Rojo","Amarillo")),$P291&gt;10000000000,IF(S291&gt;-0.03,"Verde",IF(S291&lt;=-0.07,"Rojo","Amarillo")))</f>
        <v>Rojo</v>
      </c>
      <c r="U291" s="226" t="s">
        <v>25</v>
      </c>
      <c r="V291" s="226" t="s">
        <v>25</v>
      </c>
      <c r="W291" s="226"/>
      <c r="X291" s="226"/>
      <c r="Y291" s="272">
        <v>45657</v>
      </c>
      <c r="Z291" s="225" t="str">
        <f t="shared" ca="1" si="45"/>
        <v>Suspendido</v>
      </c>
      <c r="AA291" s="225" t="str">
        <f t="shared" ca="1" si="46"/>
        <v>En_Seguimiento</v>
      </c>
      <c r="AB291" s="273" t="s">
        <v>364</v>
      </c>
      <c r="AC291" s="272">
        <v>45657</v>
      </c>
      <c r="AD291" s="227"/>
      <c r="AE291" s="221" t="s">
        <v>25</v>
      </c>
      <c r="AF291" s="223" t="s">
        <v>341</v>
      </c>
      <c r="AG291" s="223" t="s">
        <v>341</v>
      </c>
      <c r="AH291" s="223" t="s">
        <v>341</v>
      </c>
      <c r="AI291" s="221" t="s">
        <v>341</v>
      </c>
      <c r="AJ291" s="223" t="s">
        <v>341</v>
      </c>
      <c r="AK291" s="223" t="s">
        <v>341</v>
      </c>
      <c r="AL291" s="230" t="s">
        <v>341</v>
      </c>
      <c r="AM291" s="231">
        <v>0</v>
      </c>
      <c r="AN291" s="231">
        <v>0</v>
      </c>
      <c r="AO291" s="231">
        <f t="shared" si="47"/>
        <v>0</v>
      </c>
      <c r="AP291" s="231">
        <v>0</v>
      </c>
      <c r="AQ291" s="231">
        <v>0</v>
      </c>
      <c r="AR291" s="231">
        <v>0</v>
      </c>
      <c r="AS291" s="231">
        <v>0</v>
      </c>
      <c r="AT291" s="231">
        <f t="shared" si="52"/>
        <v>0</v>
      </c>
      <c r="AU291" s="231">
        <v>0</v>
      </c>
      <c r="AV291" s="231">
        <v>0</v>
      </c>
      <c r="AW291" s="232"/>
      <c r="AX291" s="232" t="s">
        <v>2441</v>
      </c>
      <c r="AY291" s="232" t="s">
        <v>1583</v>
      </c>
      <c r="AZ291" s="232"/>
      <c r="BA291" s="221" t="s">
        <v>1746</v>
      </c>
      <c r="BB291" s="221"/>
      <c r="BC291" s="233" t="s">
        <v>128</v>
      </c>
      <c r="BF291" s="51"/>
    </row>
    <row r="292" spans="1:58" ht="13.5" customHeight="1">
      <c r="A292" s="220">
        <f t="shared" si="42"/>
        <v>291</v>
      </c>
      <c r="B292" s="221" t="s">
        <v>1573</v>
      </c>
      <c r="C292" s="221" t="s">
        <v>1574</v>
      </c>
      <c r="D292" s="221" t="s">
        <v>365</v>
      </c>
      <c r="E292" s="221" t="s">
        <v>1575</v>
      </c>
      <c r="F292" s="221" t="s">
        <v>1576</v>
      </c>
      <c r="G292" s="222" t="s">
        <v>1778</v>
      </c>
      <c r="H292" s="221" t="s">
        <v>411</v>
      </c>
      <c r="I292" s="221" t="s">
        <v>702</v>
      </c>
      <c r="J292" s="221" t="s">
        <v>1779</v>
      </c>
      <c r="K292" s="221" t="s">
        <v>1780</v>
      </c>
      <c r="L292" s="221">
        <v>-7480371595530550</v>
      </c>
      <c r="M292" s="221">
        <v>11.025148883000901</v>
      </c>
      <c r="N292" s="223" t="s">
        <v>126</v>
      </c>
      <c r="O292" s="230" t="s">
        <v>127</v>
      </c>
      <c r="P292" s="224">
        <f t="shared" si="53"/>
        <v>0</v>
      </c>
      <c r="Q292" s="225">
        <v>1</v>
      </c>
      <c r="R292" s="225">
        <v>1</v>
      </c>
      <c r="S292" s="225">
        <f t="shared" si="43"/>
        <v>0</v>
      </c>
      <c r="T292" s="225" t="str" cm="1">
        <f t="array" ref="T292">+_xlfn.IFS($P292&lt;=10000000000,IF(S292&gt;-0.05,"Verde",IF(S292&lt;=-0.1,"Rojo","Amarillo")),$P292&gt;10000000000,IF(S292&gt;-0.03,"Verde",IF(S292&lt;=-0.07,"Rojo","Amarillo")))</f>
        <v>Verde</v>
      </c>
      <c r="U292" s="226" t="s">
        <v>25</v>
      </c>
      <c r="V292" s="226" t="s">
        <v>25</v>
      </c>
      <c r="W292" s="226"/>
      <c r="X292" s="226"/>
      <c r="Y292" s="272">
        <v>45657</v>
      </c>
      <c r="Z292" s="225" t="str">
        <f t="shared" ca="1" si="45"/>
        <v>Terminado</v>
      </c>
      <c r="AA292" s="225" t="str">
        <f t="shared" ca="1" si="46"/>
        <v>-</v>
      </c>
      <c r="AB292" s="273" t="s">
        <v>364</v>
      </c>
      <c r="AC292" s="272">
        <v>45657</v>
      </c>
      <c r="AD292" s="227">
        <v>45841</v>
      </c>
      <c r="AE292" s="221" t="s">
        <v>25</v>
      </c>
      <c r="AF292" s="223" t="s">
        <v>341</v>
      </c>
      <c r="AG292" s="223" t="s">
        <v>341</v>
      </c>
      <c r="AH292" s="223" t="s">
        <v>341</v>
      </c>
      <c r="AI292" s="221" t="s">
        <v>341</v>
      </c>
      <c r="AJ292" s="223" t="s">
        <v>341</v>
      </c>
      <c r="AK292" s="223" t="s">
        <v>341</v>
      </c>
      <c r="AL292" s="230" t="s">
        <v>341</v>
      </c>
      <c r="AM292" s="231">
        <v>0</v>
      </c>
      <c r="AN292" s="231">
        <v>0</v>
      </c>
      <c r="AO292" s="231">
        <f t="shared" si="47"/>
        <v>0</v>
      </c>
      <c r="AP292" s="231">
        <v>0</v>
      </c>
      <c r="AQ292" s="231">
        <v>0</v>
      </c>
      <c r="AR292" s="231">
        <v>0</v>
      </c>
      <c r="AS292" s="231">
        <v>0</v>
      </c>
      <c r="AT292" s="231">
        <f t="shared" si="52"/>
        <v>0</v>
      </c>
      <c r="AU292" s="231">
        <v>0</v>
      </c>
      <c r="AV292" s="231">
        <v>0</v>
      </c>
      <c r="AW292" s="232"/>
      <c r="AX292" s="232" t="s">
        <v>2441</v>
      </c>
      <c r="AY292" s="232" t="s">
        <v>1583</v>
      </c>
      <c r="AZ292" s="232"/>
      <c r="BA292" s="221" t="s">
        <v>1781</v>
      </c>
      <c r="BB292" s="221"/>
      <c r="BC292" s="233" t="s">
        <v>128</v>
      </c>
      <c r="BF292" s="51"/>
    </row>
    <row r="293" spans="1:58" ht="13.5" customHeight="1">
      <c r="A293" s="220">
        <f t="shared" si="42"/>
        <v>292</v>
      </c>
      <c r="B293" s="221" t="s">
        <v>1573</v>
      </c>
      <c r="C293" s="221" t="s">
        <v>1574</v>
      </c>
      <c r="D293" s="221" t="s">
        <v>365</v>
      </c>
      <c r="E293" s="221" t="s">
        <v>1575</v>
      </c>
      <c r="F293" s="221" t="s">
        <v>1576</v>
      </c>
      <c r="G293" s="222" t="s">
        <v>1782</v>
      </c>
      <c r="H293" s="221" t="s">
        <v>411</v>
      </c>
      <c r="I293" s="221" t="s">
        <v>1102</v>
      </c>
      <c r="J293" s="221" t="s">
        <v>1783</v>
      </c>
      <c r="K293" s="221" t="s">
        <v>1784</v>
      </c>
      <c r="L293" s="221">
        <v>-7481434353996270</v>
      </c>
      <c r="M293" s="221">
        <v>1.10204195399468E+16</v>
      </c>
      <c r="N293" s="223" t="s">
        <v>228</v>
      </c>
      <c r="O293" s="230" t="s">
        <v>229</v>
      </c>
      <c r="P293" s="224">
        <v>0</v>
      </c>
      <c r="Q293" s="225">
        <v>1</v>
      </c>
      <c r="R293" s="225">
        <v>0.95</v>
      </c>
      <c r="S293" s="225">
        <f t="shared" si="43"/>
        <v>-5.0000000000000044E-2</v>
      </c>
      <c r="T293" s="225" t="str" cm="1">
        <f t="array" ref="T293">+_xlfn.IFS($P293&lt;=10000000000,IF(S293&gt;-0.05,"Verde",IF(S293&lt;=-0.1,"Rojo","Amarillo")),$P293&gt;10000000000,IF(S293&gt;-0.03,"Verde",IF(S293&lt;=-0.07,"Rojo","Amarillo")))</f>
        <v>Amarillo</v>
      </c>
      <c r="U293" s="226" t="s">
        <v>25</v>
      </c>
      <c r="V293" s="226" t="s">
        <v>25</v>
      </c>
      <c r="W293" s="226"/>
      <c r="X293" s="226"/>
      <c r="Y293" s="272">
        <v>45657</v>
      </c>
      <c r="Z293" s="225" t="str">
        <f t="shared" ca="1" si="45"/>
        <v>Rojo</v>
      </c>
      <c r="AA293" s="225" t="str">
        <f t="shared" ca="1" si="46"/>
        <v>En_Seguimiento</v>
      </c>
      <c r="AB293" s="273" t="s">
        <v>364</v>
      </c>
      <c r="AC293" s="272">
        <v>45657</v>
      </c>
      <c r="AD293" s="227"/>
      <c r="AE293" s="221" t="s">
        <v>25</v>
      </c>
      <c r="AF293" s="223" t="s">
        <v>341</v>
      </c>
      <c r="AG293" s="223" t="s">
        <v>341</v>
      </c>
      <c r="AH293" s="223" t="s">
        <v>341</v>
      </c>
      <c r="AI293" s="221" t="s">
        <v>341</v>
      </c>
      <c r="AJ293" s="223" t="s">
        <v>341</v>
      </c>
      <c r="AK293" s="223" t="s">
        <v>341</v>
      </c>
      <c r="AL293" s="230" t="s">
        <v>341</v>
      </c>
      <c r="AM293" s="231">
        <v>0</v>
      </c>
      <c r="AN293" s="231">
        <v>0</v>
      </c>
      <c r="AO293" s="231">
        <f t="shared" si="47"/>
        <v>0</v>
      </c>
      <c r="AP293" s="231">
        <v>0</v>
      </c>
      <c r="AQ293" s="231">
        <v>0</v>
      </c>
      <c r="AR293" s="231">
        <v>0</v>
      </c>
      <c r="AS293" s="231">
        <v>0</v>
      </c>
      <c r="AT293" s="231">
        <f t="shared" si="52"/>
        <v>0</v>
      </c>
      <c r="AU293" s="231">
        <v>0</v>
      </c>
      <c r="AV293" s="231">
        <v>0</v>
      </c>
      <c r="AW293" s="232"/>
      <c r="AX293" s="232" t="s">
        <v>2441</v>
      </c>
      <c r="AY293" s="232" t="s">
        <v>1583</v>
      </c>
      <c r="AZ293" s="232"/>
      <c r="BA293" s="221" t="s">
        <v>1746</v>
      </c>
      <c r="BB293" s="221"/>
      <c r="BC293" s="233" t="s">
        <v>128</v>
      </c>
      <c r="BF293" s="51"/>
    </row>
    <row r="294" spans="1:58" ht="13.5" customHeight="1">
      <c r="A294" s="220">
        <f t="shared" si="42"/>
        <v>293</v>
      </c>
      <c r="B294" s="221" t="s">
        <v>1573</v>
      </c>
      <c r="C294" s="221" t="s">
        <v>1574</v>
      </c>
      <c r="D294" s="221" t="s">
        <v>365</v>
      </c>
      <c r="E294" s="221" t="s">
        <v>1575</v>
      </c>
      <c r="F294" s="221" t="s">
        <v>1576</v>
      </c>
      <c r="G294" s="222" t="s">
        <v>1785</v>
      </c>
      <c r="H294" s="221" t="s">
        <v>154</v>
      </c>
      <c r="I294" s="221" t="s">
        <v>1786</v>
      </c>
      <c r="J294" s="221" t="s">
        <v>1787</v>
      </c>
      <c r="K294" s="221" t="s">
        <v>1788</v>
      </c>
      <c r="L294" s="221">
        <v>-7480251164959910</v>
      </c>
      <c r="M294" s="221">
        <v>1.0971506809376E+16</v>
      </c>
      <c r="N294" s="223" t="s">
        <v>126</v>
      </c>
      <c r="O294" s="230" t="s">
        <v>127</v>
      </c>
      <c r="P294" s="224">
        <v>0</v>
      </c>
      <c r="Q294" s="225">
        <v>1</v>
      </c>
      <c r="R294" s="225">
        <v>1</v>
      </c>
      <c r="S294" s="225">
        <f t="shared" si="43"/>
        <v>0</v>
      </c>
      <c r="T294" s="225" t="str" cm="1">
        <f t="array" ref="T294">+_xlfn.IFS($P294&lt;=10000000000,IF(S294&gt;-0.05,"Verde",IF(S294&lt;=-0.1,"Rojo","Amarillo")),$P294&gt;10000000000,IF(S294&gt;-0.03,"Verde",IF(S294&lt;=-0.07,"Rojo","Amarillo")))</f>
        <v>Verde</v>
      </c>
      <c r="U294" s="226" t="s">
        <v>25</v>
      </c>
      <c r="V294" s="226" t="s">
        <v>25</v>
      </c>
      <c r="W294" s="226"/>
      <c r="X294" s="226"/>
      <c r="Y294" s="272">
        <v>45657</v>
      </c>
      <c r="Z294" s="225" t="str">
        <f t="shared" ca="1" si="45"/>
        <v>Terminado</v>
      </c>
      <c r="AA294" s="225" t="str">
        <f t="shared" ca="1" si="46"/>
        <v>-</v>
      </c>
      <c r="AB294" s="273" t="s">
        <v>364</v>
      </c>
      <c r="AC294" s="272">
        <v>45657</v>
      </c>
      <c r="AD294" s="227">
        <v>45841</v>
      </c>
      <c r="AE294" s="221" t="s">
        <v>25</v>
      </c>
      <c r="AF294" s="223" t="s">
        <v>341</v>
      </c>
      <c r="AG294" s="223" t="s">
        <v>341</v>
      </c>
      <c r="AH294" s="223" t="s">
        <v>341</v>
      </c>
      <c r="AI294" s="221" t="s">
        <v>341</v>
      </c>
      <c r="AJ294" s="223" t="s">
        <v>341</v>
      </c>
      <c r="AK294" s="223" t="s">
        <v>341</v>
      </c>
      <c r="AL294" s="230" t="s">
        <v>341</v>
      </c>
      <c r="AM294" s="231">
        <v>0</v>
      </c>
      <c r="AN294" s="231">
        <v>0</v>
      </c>
      <c r="AO294" s="231">
        <f t="shared" si="47"/>
        <v>0</v>
      </c>
      <c r="AP294" s="231">
        <v>0</v>
      </c>
      <c r="AQ294" s="231">
        <v>0</v>
      </c>
      <c r="AR294" s="231">
        <v>0</v>
      </c>
      <c r="AS294" s="231">
        <v>0</v>
      </c>
      <c r="AT294" s="231">
        <f t="shared" si="52"/>
        <v>0</v>
      </c>
      <c r="AU294" s="231">
        <v>0</v>
      </c>
      <c r="AV294" s="231">
        <v>0</v>
      </c>
      <c r="AW294" s="232"/>
      <c r="AX294" s="232" t="s">
        <v>2441</v>
      </c>
      <c r="AY294" s="232" t="s">
        <v>1583</v>
      </c>
      <c r="AZ294" s="232"/>
      <c r="BA294" s="221" t="s">
        <v>1789</v>
      </c>
      <c r="BB294" s="221"/>
      <c r="BC294" s="233" t="s">
        <v>128</v>
      </c>
      <c r="BF294" s="51"/>
    </row>
    <row r="295" spans="1:58" ht="13.5" customHeight="1">
      <c r="A295" s="220">
        <f t="shared" si="42"/>
        <v>294</v>
      </c>
      <c r="B295" s="221" t="s">
        <v>1573</v>
      </c>
      <c r="C295" s="221" t="s">
        <v>1574</v>
      </c>
      <c r="D295" s="221" t="s">
        <v>365</v>
      </c>
      <c r="E295" s="221" t="s">
        <v>1575</v>
      </c>
      <c r="F295" s="221" t="s">
        <v>1576</v>
      </c>
      <c r="G295" s="222" t="s">
        <v>1790</v>
      </c>
      <c r="H295" s="221" t="s">
        <v>411</v>
      </c>
      <c r="I295" s="221" t="s">
        <v>1720</v>
      </c>
      <c r="J295" s="221" t="s">
        <v>703</v>
      </c>
      <c r="K295" s="221" t="s">
        <v>1721</v>
      </c>
      <c r="L295" s="221">
        <v>-748071711869342</v>
      </c>
      <c r="M295" s="221">
        <v>11.0236345204911</v>
      </c>
      <c r="N295" s="223" t="s">
        <v>228</v>
      </c>
      <c r="O295" s="230" t="s">
        <v>229</v>
      </c>
      <c r="P295" s="224">
        <v>0</v>
      </c>
      <c r="Q295" s="225">
        <v>1</v>
      </c>
      <c r="R295" s="225">
        <v>0.95</v>
      </c>
      <c r="S295" s="225">
        <f t="shared" si="43"/>
        <v>-5.0000000000000044E-2</v>
      </c>
      <c r="T295" s="225" t="str" cm="1">
        <f t="array" ref="T295">+_xlfn.IFS($P295&lt;=10000000000,IF(S295&gt;-0.05,"Verde",IF(S295&lt;=-0.1,"Rojo","Amarillo")),$P295&gt;10000000000,IF(S295&gt;-0.03,"Verde",IF(S295&lt;=-0.07,"Rojo","Amarillo")))</f>
        <v>Amarillo</v>
      </c>
      <c r="U295" s="226" t="s">
        <v>25</v>
      </c>
      <c r="V295" s="226" t="s">
        <v>25</v>
      </c>
      <c r="W295" s="226"/>
      <c r="X295" s="226"/>
      <c r="Y295" s="272">
        <v>45657</v>
      </c>
      <c r="Z295" s="225" t="str">
        <f t="shared" ca="1" si="45"/>
        <v>Rojo</v>
      </c>
      <c r="AA295" s="225"/>
      <c r="AB295" s="273" t="s">
        <v>364</v>
      </c>
      <c r="AC295" s="272">
        <v>45657</v>
      </c>
      <c r="AD295" s="227"/>
      <c r="AE295" s="221" t="s">
        <v>25</v>
      </c>
      <c r="AF295" s="223" t="s">
        <v>341</v>
      </c>
      <c r="AG295" s="223" t="s">
        <v>341</v>
      </c>
      <c r="AH295" s="223" t="s">
        <v>341</v>
      </c>
      <c r="AI295" s="221" t="s">
        <v>341</v>
      </c>
      <c r="AJ295" s="223" t="s">
        <v>341</v>
      </c>
      <c r="AK295" s="223" t="s">
        <v>341</v>
      </c>
      <c r="AL295" s="230" t="s">
        <v>341</v>
      </c>
      <c r="AM295" s="231">
        <v>0</v>
      </c>
      <c r="AN295" s="231">
        <v>0</v>
      </c>
      <c r="AO295" s="231">
        <f t="shared" si="47"/>
        <v>0</v>
      </c>
      <c r="AP295" s="231">
        <v>0</v>
      </c>
      <c r="AQ295" s="231">
        <v>0</v>
      </c>
      <c r="AR295" s="231">
        <v>0</v>
      </c>
      <c r="AS295" s="231">
        <v>0</v>
      </c>
      <c r="AT295" s="231">
        <f t="shared" si="52"/>
        <v>0</v>
      </c>
      <c r="AU295" s="231">
        <v>0</v>
      </c>
      <c r="AV295" s="231">
        <v>0</v>
      </c>
      <c r="AW295" s="232"/>
      <c r="AX295" s="232" t="s">
        <v>2441</v>
      </c>
      <c r="AY295" s="232" t="s">
        <v>1583</v>
      </c>
      <c r="AZ295" s="232"/>
      <c r="BA295" s="221" t="s">
        <v>1791</v>
      </c>
      <c r="BB295" s="221"/>
      <c r="BC295" s="233" t="s">
        <v>128</v>
      </c>
      <c r="BF295" s="51"/>
    </row>
    <row r="296" spans="1:58" ht="13.5" customHeight="1">
      <c r="A296" s="220">
        <f t="shared" ref="A296:A325" si="54">+A295+1</f>
        <v>295</v>
      </c>
      <c r="B296" s="221" t="s">
        <v>1573</v>
      </c>
      <c r="C296" s="221" t="s">
        <v>1574</v>
      </c>
      <c r="D296" s="221" t="s">
        <v>365</v>
      </c>
      <c r="E296" s="221" t="s">
        <v>1575</v>
      </c>
      <c r="F296" s="221" t="s">
        <v>1576</v>
      </c>
      <c r="G296" s="222" t="s">
        <v>1792</v>
      </c>
      <c r="H296" s="221" t="s">
        <v>397</v>
      </c>
      <c r="I296" s="221" t="s">
        <v>1793</v>
      </c>
      <c r="J296" s="221" t="s">
        <v>1794</v>
      </c>
      <c r="K296" s="221" t="s">
        <v>1795</v>
      </c>
      <c r="L296" s="221">
        <v>-748148812956546</v>
      </c>
      <c r="M296" s="221">
        <v>1098301540188550</v>
      </c>
      <c r="N296" s="223" t="s">
        <v>126</v>
      </c>
      <c r="O296" s="230" t="s">
        <v>127</v>
      </c>
      <c r="P296" s="224">
        <v>0</v>
      </c>
      <c r="Q296" s="225">
        <v>1</v>
      </c>
      <c r="R296" s="225">
        <v>1</v>
      </c>
      <c r="S296" s="225">
        <f t="shared" si="43"/>
        <v>0</v>
      </c>
      <c r="T296" s="225" t="str" cm="1">
        <f t="array" ref="T296">+_xlfn.IFS($P296&lt;=10000000000,IF(S296&gt;-0.05,"Verde",IF(S296&lt;=-0.1,"Rojo","Amarillo")),$P296&gt;10000000000,IF(S296&gt;-0.03,"Verde",IF(S296&lt;=-0.07,"Rojo","Amarillo")))</f>
        <v>Verde</v>
      </c>
      <c r="U296" s="226" t="s">
        <v>25</v>
      </c>
      <c r="V296" s="226" t="s">
        <v>25</v>
      </c>
      <c r="W296" s="226"/>
      <c r="X296" s="226"/>
      <c r="Y296" s="272">
        <v>45672</v>
      </c>
      <c r="Z296" s="225" t="str">
        <f t="shared" ca="1" si="45"/>
        <v>Terminado</v>
      </c>
      <c r="AA296" s="225" t="str">
        <f t="shared" ref="AA296:AA311" ca="1" si="55">+IF(AND(Z296="Amarillo",T296="Rojo"),"En_Seguimiento",IF(AND(Z296="Rojo",T296="Amarillo"),"En_Seguimiento",IF(AND(Z296="Rojo",T296="Rojo"),"En_Seguimiento",IF(AND(Z296="Suspendido",T296="Amarillo"),"En_Seguimiento",IF(AND(Z296="Suspendido",T296="Rojo"),"En_Seguimiento","-")))))</f>
        <v>-</v>
      </c>
      <c r="AB296" s="273" t="s">
        <v>128</v>
      </c>
      <c r="AC296" s="272"/>
      <c r="AD296" s="227">
        <v>45841</v>
      </c>
      <c r="AE296" s="221" t="s">
        <v>25</v>
      </c>
      <c r="AF296" s="223" t="s">
        <v>341</v>
      </c>
      <c r="AG296" s="223" t="s">
        <v>341</v>
      </c>
      <c r="AH296" s="223" t="s">
        <v>341</v>
      </c>
      <c r="AI296" s="221" t="s">
        <v>341</v>
      </c>
      <c r="AJ296" s="223" t="s">
        <v>341</v>
      </c>
      <c r="AK296" s="223" t="s">
        <v>341</v>
      </c>
      <c r="AL296" s="230" t="s">
        <v>341</v>
      </c>
      <c r="AM296" s="231">
        <v>0</v>
      </c>
      <c r="AN296" s="231">
        <v>0</v>
      </c>
      <c r="AO296" s="231">
        <f t="shared" si="47"/>
        <v>0</v>
      </c>
      <c r="AP296" s="231">
        <v>0</v>
      </c>
      <c r="AQ296" s="231">
        <v>0</v>
      </c>
      <c r="AR296" s="231">
        <v>0</v>
      </c>
      <c r="AS296" s="231">
        <v>0</v>
      </c>
      <c r="AT296" s="231">
        <f t="shared" ref="AT296:AT325" si="56">+AR296+AS296</f>
        <v>0</v>
      </c>
      <c r="AU296" s="231">
        <v>0</v>
      </c>
      <c r="AV296" s="231">
        <v>0</v>
      </c>
      <c r="AW296" s="232"/>
      <c r="AX296" s="232" t="s">
        <v>2441</v>
      </c>
      <c r="AY296" s="232" t="s">
        <v>1796</v>
      </c>
      <c r="AZ296" s="232"/>
      <c r="BA296" s="221" t="s">
        <v>1797</v>
      </c>
      <c r="BB296" s="221"/>
      <c r="BC296" s="233" t="s">
        <v>128</v>
      </c>
      <c r="BF296" s="51"/>
    </row>
    <row r="297" spans="1:58" ht="13.5" customHeight="1">
      <c r="A297" s="220">
        <f t="shared" si="54"/>
        <v>296</v>
      </c>
      <c r="B297" s="221" t="s">
        <v>1573</v>
      </c>
      <c r="C297" s="221" t="s">
        <v>1574</v>
      </c>
      <c r="D297" s="221" t="s">
        <v>365</v>
      </c>
      <c r="E297" s="221" t="s">
        <v>1575</v>
      </c>
      <c r="F297" s="221" t="s">
        <v>1576</v>
      </c>
      <c r="G297" s="222" t="s">
        <v>1798</v>
      </c>
      <c r="H297" s="221" t="s">
        <v>397</v>
      </c>
      <c r="I297" s="221" t="s">
        <v>1793</v>
      </c>
      <c r="J297" s="221" t="s">
        <v>1799</v>
      </c>
      <c r="K297" s="221" t="s">
        <v>1800</v>
      </c>
      <c r="L297" s="221">
        <v>-748134653840171</v>
      </c>
      <c r="M297" s="221">
        <v>1.09840229011477E+16</v>
      </c>
      <c r="N297" s="223" t="s">
        <v>228</v>
      </c>
      <c r="O297" s="230" t="s">
        <v>229</v>
      </c>
      <c r="P297" s="224">
        <v>0</v>
      </c>
      <c r="Q297" s="225">
        <v>0.98</v>
      </c>
      <c r="R297" s="225">
        <v>0.88</v>
      </c>
      <c r="S297" s="225">
        <f t="shared" ref="S297:S325" si="57">+R297-Q297</f>
        <v>-9.9999999999999978E-2</v>
      </c>
      <c r="T297" s="225" t="str" cm="1">
        <f t="array" ref="T297">+_xlfn.IFS($P297&lt;=10000000000,IF(S297&gt;-0.05,"Verde",IF(S297&lt;=-0.1,"Rojo","Amarillo")),$P297&gt;10000000000,IF(S297&gt;-0.03,"Verde",IF(S297&lt;=-0.07,"Rojo","Amarillo")))</f>
        <v>Rojo</v>
      </c>
      <c r="U297" s="226" t="s">
        <v>25</v>
      </c>
      <c r="V297" s="226" t="s">
        <v>25</v>
      </c>
      <c r="W297" s="226"/>
      <c r="X297" s="226"/>
      <c r="Y297" s="272">
        <v>45657</v>
      </c>
      <c r="Z297" s="225" t="str">
        <f t="shared" ca="1" si="45"/>
        <v>Rojo</v>
      </c>
      <c r="AA297" s="225" t="str">
        <f t="shared" ca="1" si="55"/>
        <v>En_Seguimiento</v>
      </c>
      <c r="AB297" s="273" t="s">
        <v>128</v>
      </c>
      <c r="AC297" s="272"/>
      <c r="AD297" s="227"/>
      <c r="AE297" s="221" t="s">
        <v>25</v>
      </c>
      <c r="AF297" s="223" t="s">
        <v>341</v>
      </c>
      <c r="AG297" s="223" t="s">
        <v>341</v>
      </c>
      <c r="AH297" s="223" t="s">
        <v>341</v>
      </c>
      <c r="AI297" s="221" t="s">
        <v>341</v>
      </c>
      <c r="AJ297" s="223" t="s">
        <v>341</v>
      </c>
      <c r="AK297" s="223" t="s">
        <v>341</v>
      </c>
      <c r="AL297" s="230" t="s">
        <v>341</v>
      </c>
      <c r="AM297" s="231">
        <v>0</v>
      </c>
      <c r="AN297" s="231">
        <v>0</v>
      </c>
      <c r="AO297" s="231">
        <f t="shared" si="47"/>
        <v>0</v>
      </c>
      <c r="AP297" s="231">
        <v>0</v>
      </c>
      <c r="AQ297" s="231">
        <v>0</v>
      </c>
      <c r="AR297" s="231">
        <v>0</v>
      </c>
      <c r="AS297" s="231">
        <v>0</v>
      </c>
      <c r="AT297" s="231">
        <f t="shared" si="56"/>
        <v>0</v>
      </c>
      <c r="AU297" s="231">
        <v>0</v>
      </c>
      <c r="AV297" s="231">
        <v>0</v>
      </c>
      <c r="AW297" s="232"/>
      <c r="AX297" s="232" t="s">
        <v>2441</v>
      </c>
      <c r="AY297" s="232" t="s">
        <v>1801</v>
      </c>
      <c r="AZ297" s="232"/>
      <c r="BA297" s="221" t="s">
        <v>1802</v>
      </c>
      <c r="BB297" s="221" t="s">
        <v>1803</v>
      </c>
      <c r="BC297" s="233" t="s">
        <v>128</v>
      </c>
      <c r="BF297" s="51"/>
    </row>
    <row r="298" spans="1:58" ht="13.5" customHeight="1">
      <c r="A298" s="220">
        <f t="shared" si="54"/>
        <v>297</v>
      </c>
      <c r="B298" s="221" t="s">
        <v>1573</v>
      </c>
      <c r="C298" s="221" t="s">
        <v>1574</v>
      </c>
      <c r="D298" s="221" t="s">
        <v>365</v>
      </c>
      <c r="E298" s="221" t="s">
        <v>1575</v>
      </c>
      <c r="F298" s="221" t="s">
        <v>1576</v>
      </c>
      <c r="G298" s="222" t="s">
        <v>1804</v>
      </c>
      <c r="H298" s="221" t="s">
        <v>582</v>
      </c>
      <c r="I298" s="221" t="s">
        <v>1669</v>
      </c>
      <c r="J298" s="221" t="s">
        <v>1805</v>
      </c>
      <c r="K298" s="221" t="s">
        <v>1806</v>
      </c>
      <c r="L298" s="221">
        <v>-7477622838216370</v>
      </c>
      <c r="M298" s="221">
        <v>1.0953415657077E+16</v>
      </c>
      <c r="N298" s="223" t="s">
        <v>228</v>
      </c>
      <c r="O298" s="230" t="s">
        <v>229</v>
      </c>
      <c r="P298" s="224"/>
      <c r="Q298" s="225">
        <v>1</v>
      </c>
      <c r="R298" s="225">
        <v>0.95</v>
      </c>
      <c r="S298" s="225">
        <f t="shared" si="57"/>
        <v>-5.0000000000000044E-2</v>
      </c>
      <c r="T298" s="225" t="str" cm="1">
        <f t="array" ref="T298">+_xlfn.IFS($P298&lt;=10000000000,IF(S298&gt;-0.05,"Verde",IF(S298&lt;=-0.1,"Rojo","Amarillo")),$P298&gt;10000000000,IF(S298&gt;-0.03,"Verde",IF(S298&lt;=-0.07,"Rojo","Amarillo")))</f>
        <v>Amarillo</v>
      </c>
      <c r="U298" s="226" t="s">
        <v>25</v>
      </c>
      <c r="V298" s="226" t="s">
        <v>25</v>
      </c>
      <c r="W298" s="226"/>
      <c r="X298" s="226"/>
      <c r="Y298" s="272">
        <v>45698</v>
      </c>
      <c r="Z298" s="225" t="str">
        <f t="shared" ref="Z298:Z311" ca="1" si="58">+IF(AND(O298="En_Ejecución",OR(T298="Rojo",T298="Amarillo")),IF(($Y298-(TODAY())&lt;15),"Rojo",IF(($Y298-TODAY())&gt;=45,"Verde","Amarillo")),O298)</f>
        <v>Rojo</v>
      </c>
      <c r="AA298" s="225" t="str">
        <f t="shared" ca="1" si="55"/>
        <v>En_Seguimiento</v>
      </c>
      <c r="AB298" s="273" t="s">
        <v>128</v>
      </c>
      <c r="AC298" s="272"/>
      <c r="AD298" s="227"/>
      <c r="AE298" s="221" t="s">
        <v>25</v>
      </c>
      <c r="AF298" s="223" t="s">
        <v>341</v>
      </c>
      <c r="AG298" s="223" t="s">
        <v>341</v>
      </c>
      <c r="AH298" s="223" t="s">
        <v>341</v>
      </c>
      <c r="AI298" s="221" t="s">
        <v>341</v>
      </c>
      <c r="AJ298" s="223" t="s">
        <v>341</v>
      </c>
      <c r="AK298" s="223" t="s">
        <v>341</v>
      </c>
      <c r="AL298" s="230" t="s">
        <v>341</v>
      </c>
      <c r="AM298" s="231">
        <v>0</v>
      </c>
      <c r="AN298" s="231">
        <v>0</v>
      </c>
      <c r="AO298" s="231">
        <f t="shared" ref="AO298:AO325" si="59">AM298+AN298</f>
        <v>0</v>
      </c>
      <c r="AP298" s="231">
        <v>0</v>
      </c>
      <c r="AQ298" s="231">
        <v>0</v>
      </c>
      <c r="AR298" s="231">
        <v>0</v>
      </c>
      <c r="AS298" s="231">
        <v>0</v>
      </c>
      <c r="AT298" s="231">
        <f t="shared" si="56"/>
        <v>0</v>
      </c>
      <c r="AU298" s="231">
        <v>0</v>
      </c>
      <c r="AV298" s="231">
        <v>0</v>
      </c>
      <c r="AW298" s="232"/>
      <c r="AX298" s="232" t="s">
        <v>2441</v>
      </c>
      <c r="AY298" s="232" t="s">
        <v>1807</v>
      </c>
      <c r="AZ298" s="232"/>
      <c r="BA298" s="221" t="s">
        <v>1808</v>
      </c>
      <c r="BB298" s="221"/>
      <c r="BC298" s="233" t="s">
        <v>128</v>
      </c>
      <c r="BF298" s="51"/>
    </row>
    <row r="299" spans="1:58" ht="13.5" customHeight="1">
      <c r="A299" s="220">
        <f t="shared" si="54"/>
        <v>298</v>
      </c>
      <c r="B299" s="221" t="s">
        <v>1573</v>
      </c>
      <c r="C299" s="221" t="s">
        <v>1574</v>
      </c>
      <c r="D299" s="221" t="s">
        <v>365</v>
      </c>
      <c r="E299" s="221" t="s">
        <v>1575</v>
      </c>
      <c r="F299" s="221" t="s">
        <v>1576</v>
      </c>
      <c r="G299" s="222" t="s">
        <v>1809</v>
      </c>
      <c r="H299" s="221" t="s">
        <v>582</v>
      </c>
      <c r="I299" s="221" t="s">
        <v>1810</v>
      </c>
      <c r="J299" s="221" t="s">
        <v>1811</v>
      </c>
      <c r="K299" s="221" t="s">
        <v>1812</v>
      </c>
      <c r="L299" s="221">
        <v>-7477307417417370</v>
      </c>
      <c r="M299" s="221">
        <v>1.09479930920474E+16</v>
      </c>
      <c r="N299" s="223" t="s">
        <v>126</v>
      </c>
      <c r="O299" s="230" t="s">
        <v>127</v>
      </c>
      <c r="P299" s="224">
        <v>0</v>
      </c>
      <c r="Q299" s="225">
        <v>1</v>
      </c>
      <c r="R299" s="225">
        <v>1</v>
      </c>
      <c r="S299" s="225">
        <f t="shared" si="57"/>
        <v>0</v>
      </c>
      <c r="T299" s="225" t="str" cm="1">
        <f t="array" ref="T299">+_xlfn.IFS($P299&lt;=10000000000,IF(S299&gt;-0.05,"Verde",IF(S299&lt;=-0.1,"Rojo","Amarillo")),$P299&gt;10000000000,IF(S299&gt;-0.03,"Verde",IF(S299&lt;=-0.07,"Rojo","Amarillo")))</f>
        <v>Verde</v>
      </c>
      <c r="U299" s="226" t="s">
        <v>25</v>
      </c>
      <c r="V299" s="226" t="s">
        <v>25</v>
      </c>
      <c r="W299" s="226"/>
      <c r="X299" s="226"/>
      <c r="Y299" s="272">
        <v>45709</v>
      </c>
      <c r="Z299" s="225" t="str">
        <f t="shared" ca="1" si="58"/>
        <v>Terminado</v>
      </c>
      <c r="AA299" s="225" t="str">
        <f t="shared" ca="1" si="55"/>
        <v>-</v>
      </c>
      <c r="AB299" s="273" t="s">
        <v>128</v>
      </c>
      <c r="AC299" s="272"/>
      <c r="AD299" s="227">
        <v>45841</v>
      </c>
      <c r="AE299" s="221" t="s">
        <v>25</v>
      </c>
      <c r="AF299" s="223" t="s">
        <v>341</v>
      </c>
      <c r="AG299" s="223" t="s">
        <v>341</v>
      </c>
      <c r="AH299" s="223" t="s">
        <v>341</v>
      </c>
      <c r="AI299" s="221" t="s">
        <v>341</v>
      </c>
      <c r="AJ299" s="223" t="s">
        <v>341</v>
      </c>
      <c r="AK299" s="223" t="s">
        <v>341</v>
      </c>
      <c r="AL299" s="230" t="s">
        <v>341</v>
      </c>
      <c r="AM299" s="231">
        <v>0</v>
      </c>
      <c r="AN299" s="231">
        <v>0</v>
      </c>
      <c r="AO299" s="231">
        <f t="shared" si="59"/>
        <v>0</v>
      </c>
      <c r="AP299" s="231">
        <v>0</v>
      </c>
      <c r="AQ299" s="231">
        <v>0</v>
      </c>
      <c r="AR299" s="231">
        <v>0</v>
      </c>
      <c r="AS299" s="231">
        <v>0</v>
      </c>
      <c r="AT299" s="231">
        <f t="shared" si="56"/>
        <v>0</v>
      </c>
      <c r="AU299" s="231">
        <v>0</v>
      </c>
      <c r="AV299" s="231">
        <v>0</v>
      </c>
      <c r="AW299" s="232"/>
      <c r="AX299" s="232" t="s">
        <v>2441</v>
      </c>
      <c r="AY299" s="232" t="s">
        <v>1583</v>
      </c>
      <c r="AZ299" s="232"/>
      <c r="BA299" s="221" t="s">
        <v>1813</v>
      </c>
      <c r="BB299" s="221"/>
      <c r="BC299" s="233" t="s">
        <v>128</v>
      </c>
      <c r="BF299" s="51"/>
    </row>
    <row r="300" spans="1:58" ht="13.5" customHeight="1">
      <c r="A300" s="220">
        <f t="shared" si="54"/>
        <v>299</v>
      </c>
      <c r="B300" s="221" t="s">
        <v>1573</v>
      </c>
      <c r="C300" s="221" t="s">
        <v>1574</v>
      </c>
      <c r="D300" s="221" t="s">
        <v>365</v>
      </c>
      <c r="E300" s="221" t="s">
        <v>1575</v>
      </c>
      <c r="F300" s="221" t="s">
        <v>1576</v>
      </c>
      <c r="G300" s="222" t="s">
        <v>1814</v>
      </c>
      <c r="H300" s="221" t="s">
        <v>582</v>
      </c>
      <c r="I300" s="221" t="s">
        <v>1815</v>
      </c>
      <c r="J300" s="221" t="s">
        <v>1816</v>
      </c>
      <c r="K300" s="221" t="s">
        <v>1817</v>
      </c>
      <c r="L300" s="221">
        <v>-7479360523324180</v>
      </c>
      <c r="M300" s="221">
        <v>1.0935445569633E+16</v>
      </c>
      <c r="N300" s="223" t="s">
        <v>228</v>
      </c>
      <c r="O300" s="230" t="s">
        <v>229</v>
      </c>
      <c r="P300" s="224">
        <v>0</v>
      </c>
      <c r="Q300" s="225">
        <v>1</v>
      </c>
      <c r="R300" s="225">
        <v>0.95</v>
      </c>
      <c r="S300" s="225">
        <f t="shared" si="57"/>
        <v>-5.0000000000000044E-2</v>
      </c>
      <c r="T300" s="225" t="str" cm="1">
        <f t="array" ref="T300">+_xlfn.IFS($P300&lt;=10000000000,IF(S300&gt;-0.05,"Verde",IF(S300&lt;=-0.1,"Rojo","Amarillo")),$P300&gt;10000000000,IF(S300&gt;-0.03,"Verde",IF(S300&lt;=-0.07,"Rojo","Amarillo")))</f>
        <v>Amarillo</v>
      </c>
      <c r="U300" s="226" t="s">
        <v>25</v>
      </c>
      <c r="V300" s="226" t="s">
        <v>25</v>
      </c>
      <c r="W300" s="226"/>
      <c r="X300" s="226"/>
      <c r="Y300" s="272">
        <v>45696</v>
      </c>
      <c r="Z300" s="225" t="str">
        <f t="shared" ca="1" si="58"/>
        <v>Rojo</v>
      </c>
      <c r="AA300" s="225" t="str">
        <f t="shared" ca="1" si="55"/>
        <v>En_Seguimiento</v>
      </c>
      <c r="AB300" s="273" t="s">
        <v>128</v>
      </c>
      <c r="AC300" s="272"/>
      <c r="AD300" s="227"/>
      <c r="AE300" s="221" t="s">
        <v>25</v>
      </c>
      <c r="AF300" s="223" t="s">
        <v>341</v>
      </c>
      <c r="AG300" s="223" t="s">
        <v>341</v>
      </c>
      <c r="AH300" s="223" t="s">
        <v>341</v>
      </c>
      <c r="AI300" s="221" t="s">
        <v>341</v>
      </c>
      <c r="AJ300" s="223" t="s">
        <v>341</v>
      </c>
      <c r="AK300" s="223" t="s">
        <v>341</v>
      </c>
      <c r="AL300" s="230" t="s">
        <v>341</v>
      </c>
      <c r="AM300" s="231">
        <v>0</v>
      </c>
      <c r="AN300" s="231">
        <v>0</v>
      </c>
      <c r="AO300" s="231">
        <f t="shared" si="59"/>
        <v>0</v>
      </c>
      <c r="AP300" s="231">
        <v>0</v>
      </c>
      <c r="AQ300" s="231">
        <v>0</v>
      </c>
      <c r="AR300" s="231">
        <v>0</v>
      </c>
      <c r="AS300" s="231">
        <v>0</v>
      </c>
      <c r="AT300" s="231">
        <f t="shared" si="56"/>
        <v>0</v>
      </c>
      <c r="AU300" s="231">
        <v>0</v>
      </c>
      <c r="AV300" s="231">
        <v>0</v>
      </c>
      <c r="AW300" s="232"/>
      <c r="AX300" s="232" t="s">
        <v>2441</v>
      </c>
      <c r="AY300" s="232" t="s">
        <v>1818</v>
      </c>
      <c r="AZ300" s="232"/>
      <c r="BA300" s="221" t="s">
        <v>1819</v>
      </c>
      <c r="BB300" s="221"/>
      <c r="BC300" s="233" t="s">
        <v>128</v>
      </c>
      <c r="BF300" s="51"/>
    </row>
    <row r="301" spans="1:58" ht="13.5" customHeight="1">
      <c r="A301" s="220">
        <f t="shared" si="54"/>
        <v>300</v>
      </c>
      <c r="B301" s="221" t="s">
        <v>1573</v>
      </c>
      <c r="C301" s="221" t="s">
        <v>1574</v>
      </c>
      <c r="D301" s="221" t="s">
        <v>365</v>
      </c>
      <c r="E301" s="221" t="s">
        <v>1575</v>
      </c>
      <c r="F301" s="221" t="s">
        <v>1576</v>
      </c>
      <c r="G301" s="222" t="s">
        <v>1820</v>
      </c>
      <c r="H301" s="221" t="s">
        <v>582</v>
      </c>
      <c r="I301" s="221" t="s">
        <v>1821</v>
      </c>
      <c r="J301" s="221" t="s">
        <v>1822</v>
      </c>
      <c r="K301" s="221" t="s">
        <v>1823</v>
      </c>
      <c r="L301" s="221">
        <v>-7476668349686810</v>
      </c>
      <c r="M301" s="221">
        <v>1.09474038250284E+16</v>
      </c>
      <c r="N301" s="223" t="s">
        <v>228</v>
      </c>
      <c r="O301" s="230" t="s">
        <v>229</v>
      </c>
      <c r="P301" s="224">
        <v>0</v>
      </c>
      <c r="Q301" s="225">
        <v>0.98</v>
      </c>
      <c r="R301" s="225">
        <v>0.88</v>
      </c>
      <c r="S301" s="225">
        <f t="shared" si="57"/>
        <v>-9.9999999999999978E-2</v>
      </c>
      <c r="T301" s="225" t="str" cm="1">
        <f t="array" ref="T301">+_xlfn.IFS($P301&lt;=10000000000,IF(S301&gt;-0.05,"Verde",IF(S301&lt;=-0.1,"Rojo","Amarillo")),$P301&gt;10000000000,IF(S301&gt;-0.03,"Verde",IF(S301&lt;=-0.07,"Rojo","Amarillo")))</f>
        <v>Rojo</v>
      </c>
      <c r="U301" s="226" t="s">
        <v>25</v>
      </c>
      <c r="V301" s="226" t="s">
        <v>25</v>
      </c>
      <c r="W301" s="226"/>
      <c r="X301" s="226"/>
      <c r="Y301" s="272">
        <v>45709</v>
      </c>
      <c r="Z301" s="225" t="str">
        <f t="shared" ca="1" si="58"/>
        <v>Rojo</v>
      </c>
      <c r="AA301" s="225" t="str">
        <f t="shared" ca="1" si="55"/>
        <v>En_Seguimiento</v>
      </c>
      <c r="AB301" s="273" t="s">
        <v>128</v>
      </c>
      <c r="AC301" s="272"/>
      <c r="AD301" s="227"/>
      <c r="AE301" s="221" t="s">
        <v>25</v>
      </c>
      <c r="AF301" s="223" t="s">
        <v>341</v>
      </c>
      <c r="AG301" s="223" t="s">
        <v>341</v>
      </c>
      <c r="AH301" s="223" t="s">
        <v>341</v>
      </c>
      <c r="AI301" s="221" t="s">
        <v>341</v>
      </c>
      <c r="AJ301" s="223" t="s">
        <v>341</v>
      </c>
      <c r="AK301" s="223" t="s">
        <v>341</v>
      </c>
      <c r="AL301" s="230" t="s">
        <v>341</v>
      </c>
      <c r="AM301" s="231"/>
      <c r="AN301" s="231"/>
      <c r="AO301" s="231">
        <f t="shared" si="59"/>
        <v>0</v>
      </c>
      <c r="AP301" s="231"/>
      <c r="AQ301" s="231"/>
      <c r="AR301" s="231"/>
      <c r="AS301" s="231"/>
      <c r="AT301" s="231">
        <f t="shared" si="56"/>
        <v>0</v>
      </c>
      <c r="AU301" s="231"/>
      <c r="AV301" s="231"/>
      <c r="AW301" s="232"/>
      <c r="AX301" s="232" t="s">
        <v>2441</v>
      </c>
      <c r="AY301" s="232" t="s">
        <v>1824</v>
      </c>
      <c r="AZ301" s="232"/>
      <c r="BA301" s="221" t="s">
        <v>1825</v>
      </c>
      <c r="BB301" s="221"/>
      <c r="BC301" s="233" t="s">
        <v>128</v>
      </c>
      <c r="BF301" s="51"/>
    </row>
    <row r="302" spans="1:58" ht="13.5" customHeight="1">
      <c r="A302" s="220">
        <f t="shared" si="54"/>
        <v>301</v>
      </c>
      <c r="B302" s="221" t="s">
        <v>1573</v>
      </c>
      <c r="C302" s="221" t="s">
        <v>1574</v>
      </c>
      <c r="D302" s="221" t="s">
        <v>365</v>
      </c>
      <c r="E302" s="221" t="s">
        <v>1575</v>
      </c>
      <c r="F302" s="221" t="s">
        <v>1576</v>
      </c>
      <c r="G302" s="222" t="s">
        <v>1826</v>
      </c>
      <c r="H302" s="221" t="s">
        <v>582</v>
      </c>
      <c r="I302" s="221" t="s">
        <v>1593</v>
      </c>
      <c r="J302" s="221" t="s">
        <v>1827</v>
      </c>
      <c r="K302" s="221" t="s">
        <v>1828</v>
      </c>
      <c r="L302" s="221">
        <v>-7478946848650680</v>
      </c>
      <c r="M302" s="221">
        <v>1.09445874728157E+16</v>
      </c>
      <c r="N302" s="223" t="s">
        <v>228</v>
      </c>
      <c r="O302" s="230" t="s">
        <v>229</v>
      </c>
      <c r="P302" s="224">
        <f t="shared" ref="P302:P325" si="60">AO302+AT302</f>
        <v>0</v>
      </c>
      <c r="Q302" s="225">
        <v>0.2</v>
      </c>
      <c r="R302" s="225">
        <v>0.17699999999999999</v>
      </c>
      <c r="S302" s="225">
        <f t="shared" si="57"/>
        <v>-2.300000000000002E-2</v>
      </c>
      <c r="T302" s="225" t="str" cm="1">
        <f t="array" ref="T302">+_xlfn.IFS($P302&lt;=10000000000,IF(S302&gt;-0.05,"Verde",IF(S302&lt;=-0.1,"Rojo","Amarillo")),$P302&gt;10000000000,IF(S302&gt;-0.03,"Verde",IF(S302&lt;=-0.07,"Rojo","Amarillo")))</f>
        <v>Verde</v>
      </c>
      <c r="U302" s="226" t="s">
        <v>25</v>
      </c>
      <c r="V302" s="226" t="s">
        <v>25</v>
      </c>
      <c r="W302" s="226"/>
      <c r="X302" s="226"/>
      <c r="Y302" s="272">
        <v>45901</v>
      </c>
      <c r="Z302" s="225" t="str">
        <f t="shared" ca="1" si="58"/>
        <v>En_Ejecución</v>
      </c>
      <c r="AA302" s="225" t="str">
        <f t="shared" ca="1" si="55"/>
        <v>-</v>
      </c>
      <c r="AB302" s="273" t="s">
        <v>128</v>
      </c>
      <c r="AC302" s="272"/>
      <c r="AD302" s="227">
        <v>45901</v>
      </c>
      <c r="AE302" s="221" t="s">
        <v>25</v>
      </c>
      <c r="AF302" s="223" t="s">
        <v>341</v>
      </c>
      <c r="AG302" s="223" t="s">
        <v>341</v>
      </c>
      <c r="AH302" s="223" t="s">
        <v>341</v>
      </c>
      <c r="AI302" s="221" t="s">
        <v>341</v>
      </c>
      <c r="AJ302" s="223" t="s">
        <v>341</v>
      </c>
      <c r="AK302" s="223" t="s">
        <v>341</v>
      </c>
      <c r="AL302" s="230" t="s">
        <v>341</v>
      </c>
      <c r="AM302" s="231"/>
      <c r="AN302" s="231"/>
      <c r="AO302" s="231">
        <f t="shared" si="59"/>
        <v>0</v>
      </c>
      <c r="AP302" s="231"/>
      <c r="AQ302" s="231"/>
      <c r="AR302" s="231"/>
      <c r="AS302" s="231"/>
      <c r="AT302" s="231">
        <f t="shared" si="56"/>
        <v>0</v>
      </c>
      <c r="AU302" s="231"/>
      <c r="AV302" s="231"/>
      <c r="AW302" s="232"/>
      <c r="AX302" s="232" t="s">
        <v>2441</v>
      </c>
      <c r="AY302" s="232" t="s">
        <v>1829</v>
      </c>
      <c r="AZ302" s="232"/>
      <c r="BA302" s="221" t="s">
        <v>1830</v>
      </c>
      <c r="BB302" s="221"/>
      <c r="BC302" s="233"/>
      <c r="BF302" s="51"/>
    </row>
    <row r="303" spans="1:58" ht="13.5" customHeight="1">
      <c r="A303" s="220">
        <f t="shared" si="54"/>
        <v>302</v>
      </c>
      <c r="B303" s="221" t="s">
        <v>1573</v>
      </c>
      <c r="C303" s="221" t="s">
        <v>1574</v>
      </c>
      <c r="D303" s="221" t="s">
        <v>365</v>
      </c>
      <c r="E303" s="221" t="s">
        <v>1575</v>
      </c>
      <c r="F303" s="221" t="s">
        <v>1576</v>
      </c>
      <c r="G303" s="222" t="s">
        <v>1831</v>
      </c>
      <c r="H303" s="221" t="s">
        <v>582</v>
      </c>
      <c r="I303" s="221" t="s">
        <v>1610</v>
      </c>
      <c r="J303" s="221" t="s">
        <v>1832</v>
      </c>
      <c r="K303" s="221" t="s">
        <v>1833</v>
      </c>
      <c r="L303" s="221">
        <v>-7479051559166170</v>
      </c>
      <c r="M303" s="221">
        <v>1.09610137514233E+16</v>
      </c>
      <c r="N303" s="223" t="s">
        <v>228</v>
      </c>
      <c r="O303" s="230" t="s">
        <v>229</v>
      </c>
      <c r="P303" s="224">
        <f t="shared" si="60"/>
        <v>0</v>
      </c>
      <c r="Q303" s="225">
        <v>0.6</v>
      </c>
      <c r="R303" s="225">
        <v>0.54900000000000004</v>
      </c>
      <c r="S303" s="225">
        <f t="shared" si="57"/>
        <v>-5.0999999999999934E-2</v>
      </c>
      <c r="T303" s="225" t="str" cm="1">
        <f t="array" ref="T303">+_xlfn.IFS($P303&lt;=10000000000,IF(S303&gt;-0.05,"Verde",IF(S303&lt;=-0.1,"Rojo","Amarillo")),$P303&gt;10000000000,IF(S303&gt;-0.03,"Verde",IF(S303&lt;=-0.07,"Rojo","Amarillo")))</f>
        <v>Amarillo</v>
      </c>
      <c r="U303" s="226" t="s">
        <v>25</v>
      </c>
      <c r="V303" s="226" t="s">
        <v>25</v>
      </c>
      <c r="W303" s="226"/>
      <c r="X303" s="226"/>
      <c r="Y303" s="272">
        <v>45904</v>
      </c>
      <c r="Z303" s="225" t="str">
        <f t="shared" ca="1" si="58"/>
        <v>Rojo</v>
      </c>
      <c r="AA303" s="225" t="str">
        <f t="shared" ca="1" si="55"/>
        <v>En_Seguimiento</v>
      </c>
      <c r="AB303" s="273" t="s">
        <v>128</v>
      </c>
      <c r="AC303" s="272"/>
      <c r="AD303" s="227">
        <v>45904</v>
      </c>
      <c r="AE303" s="221" t="s">
        <v>25</v>
      </c>
      <c r="AF303" s="223" t="s">
        <v>341</v>
      </c>
      <c r="AG303" s="223" t="s">
        <v>341</v>
      </c>
      <c r="AH303" s="223" t="s">
        <v>341</v>
      </c>
      <c r="AI303" s="221" t="s">
        <v>341</v>
      </c>
      <c r="AJ303" s="223" t="s">
        <v>341</v>
      </c>
      <c r="AK303" s="223" t="s">
        <v>341</v>
      </c>
      <c r="AL303" s="230" t="s">
        <v>341</v>
      </c>
      <c r="AM303" s="231"/>
      <c r="AN303" s="231"/>
      <c r="AO303" s="231">
        <f t="shared" si="59"/>
        <v>0</v>
      </c>
      <c r="AP303" s="231"/>
      <c r="AQ303" s="231"/>
      <c r="AR303" s="231"/>
      <c r="AS303" s="231"/>
      <c r="AT303" s="231">
        <f t="shared" si="56"/>
        <v>0</v>
      </c>
      <c r="AU303" s="231"/>
      <c r="AV303" s="231"/>
      <c r="AW303" s="232"/>
      <c r="AX303" s="232" t="s">
        <v>2441</v>
      </c>
      <c r="AY303" s="232" t="s">
        <v>1834</v>
      </c>
      <c r="AZ303" s="232"/>
      <c r="BA303" s="221" t="s">
        <v>1835</v>
      </c>
      <c r="BB303" s="221"/>
      <c r="BC303" s="233"/>
      <c r="BF303" s="51"/>
    </row>
    <row r="304" spans="1:58" ht="13.5" customHeight="1">
      <c r="A304" s="220">
        <f t="shared" si="54"/>
        <v>303</v>
      </c>
      <c r="B304" s="221" t="s">
        <v>1573</v>
      </c>
      <c r="C304" s="221" t="s">
        <v>1574</v>
      </c>
      <c r="D304" s="221" t="s">
        <v>365</v>
      </c>
      <c r="E304" s="221" t="s">
        <v>1575</v>
      </c>
      <c r="F304" s="221" t="s">
        <v>1576</v>
      </c>
      <c r="G304" s="222" t="s">
        <v>1836</v>
      </c>
      <c r="H304" s="221" t="s">
        <v>163</v>
      </c>
      <c r="I304" s="221" t="s">
        <v>1837</v>
      </c>
      <c r="J304" s="221" t="s">
        <v>1838</v>
      </c>
      <c r="K304" s="221" t="s">
        <v>1839</v>
      </c>
      <c r="L304" s="221">
        <v>-7483158083399070</v>
      </c>
      <c r="M304" s="221">
        <v>1.09490406605804E+16</v>
      </c>
      <c r="N304" s="223" t="s">
        <v>228</v>
      </c>
      <c r="O304" s="230" t="s">
        <v>229</v>
      </c>
      <c r="P304" s="224">
        <f t="shared" si="60"/>
        <v>0</v>
      </c>
      <c r="Q304" s="225">
        <v>0.57099999999999995</v>
      </c>
      <c r="R304" s="225">
        <v>0.41699999999999998</v>
      </c>
      <c r="S304" s="225">
        <f t="shared" si="57"/>
        <v>-0.15399999999999997</v>
      </c>
      <c r="T304" s="225" t="str" cm="1">
        <f t="array" ref="T304">+_xlfn.IFS($P304&lt;=10000000000,IF(S304&gt;-0.05,"Verde",IF(S304&lt;=-0.1,"Rojo","Amarillo")),$P304&gt;10000000000,IF(S304&gt;-0.03,"Verde",IF(S304&lt;=-0.07,"Rojo","Amarillo")))</f>
        <v>Rojo</v>
      </c>
      <c r="U304" s="226" t="s">
        <v>25</v>
      </c>
      <c r="V304" s="226" t="s">
        <v>25</v>
      </c>
      <c r="W304" s="226"/>
      <c r="X304" s="226"/>
      <c r="Y304" s="272">
        <v>45905</v>
      </c>
      <c r="Z304" s="225" t="str">
        <f t="shared" ca="1" si="58"/>
        <v>Rojo</v>
      </c>
      <c r="AA304" s="225" t="str">
        <f t="shared" ca="1" si="55"/>
        <v>En_Seguimiento</v>
      </c>
      <c r="AB304" s="273" t="s">
        <v>128</v>
      </c>
      <c r="AC304" s="272"/>
      <c r="AD304" s="227">
        <v>45905</v>
      </c>
      <c r="AE304" s="221" t="s">
        <v>25</v>
      </c>
      <c r="AF304" s="223" t="s">
        <v>341</v>
      </c>
      <c r="AG304" s="223" t="s">
        <v>341</v>
      </c>
      <c r="AH304" s="223" t="s">
        <v>341</v>
      </c>
      <c r="AI304" s="221" t="s">
        <v>341</v>
      </c>
      <c r="AJ304" s="223" t="s">
        <v>341</v>
      </c>
      <c r="AK304" s="223" t="s">
        <v>341</v>
      </c>
      <c r="AL304" s="230" t="s">
        <v>341</v>
      </c>
      <c r="AM304" s="231"/>
      <c r="AN304" s="231"/>
      <c r="AO304" s="231">
        <f t="shared" si="59"/>
        <v>0</v>
      </c>
      <c r="AP304" s="231"/>
      <c r="AQ304" s="231"/>
      <c r="AR304" s="231"/>
      <c r="AS304" s="231"/>
      <c r="AT304" s="231">
        <f t="shared" si="56"/>
        <v>0</v>
      </c>
      <c r="AU304" s="231"/>
      <c r="AV304" s="231"/>
      <c r="AW304" s="232"/>
      <c r="AX304" s="232" t="s">
        <v>2441</v>
      </c>
      <c r="AY304" s="232" t="s">
        <v>1840</v>
      </c>
      <c r="AZ304" s="232"/>
      <c r="BA304" s="221" t="s">
        <v>1835</v>
      </c>
      <c r="BB304" s="221"/>
      <c r="BC304" s="233"/>
      <c r="BF304" s="51"/>
    </row>
    <row r="305" spans="1:58" ht="13.5" customHeight="1">
      <c r="A305" s="220">
        <f t="shared" si="54"/>
        <v>304</v>
      </c>
      <c r="B305" s="221" t="s">
        <v>1573</v>
      </c>
      <c r="C305" s="221" t="s">
        <v>1574</v>
      </c>
      <c r="D305" s="221" t="s">
        <v>365</v>
      </c>
      <c r="E305" s="221" t="s">
        <v>1575</v>
      </c>
      <c r="F305" s="221" t="s">
        <v>1576</v>
      </c>
      <c r="G305" s="222" t="s">
        <v>1841</v>
      </c>
      <c r="H305" s="221" t="s">
        <v>397</v>
      </c>
      <c r="I305" s="221" t="s">
        <v>1842</v>
      </c>
      <c r="J305" s="221" t="s">
        <v>1843</v>
      </c>
      <c r="K305" s="221" t="s">
        <v>1844</v>
      </c>
      <c r="L305" s="221">
        <v>-7478939743068490</v>
      </c>
      <c r="M305" s="221">
        <v>1.09966312005108E+16</v>
      </c>
      <c r="N305" s="223" t="s">
        <v>228</v>
      </c>
      <c r="O305" s="230" t="s">
        <v>229</v>
      </c>
      <c r="P305" s="224">
        <f t="shared" si="60"/>
        <v>0</v>
      </c>
      <c r="Q305" s="225">
        <v>0.55000000000000004</v>
      </c>
      <c r="R305" s="225">
        <v>0.53600000000000003</v>
      </c>
      <c r="S305" s="225">
        <f t="shared" si="57"/>
        <v>-1.4000000000000012E-2</v>
      </c>
      <c r="T305" s="225" t="str" cm="1">
        <f t="array" ref="T305">+_xlfn.IFS($P305&lt;=10000000000,IF(S305&gt;-0.05,"Verde",IF(S305&lt;=-0.1,"Rojo","Amarillo")),$P305&gt;10000000000,IF(S305&gt;-0.03,"Verde",IF(S305&lt;=-0.07,"Rojo","Amarillo")))</f>
        <v>Verde</v>
      </c>
      <c r="U305" s="226" t="s">
        <v>25</v>
      </c>
      <c r="V305" s="226" t="s">
        <v>25</v>
      </c>
      <c r="W305" s="226"/>
      <c r="X305" s="226"/>
      <c r="Y305" s="272">
        <v>45903</v>
      </c>
      <c r="Z305" s="225" t="str">
        <f t="shared" ca="1" si="58"/>
        <v>En_Ejecución</v>
      </c>
      <c r="AA305" s="225" t="str">
        <f t="shared" ca="1" si="55"/>
        <v>-</v>
      </c>
      <c r="AB305" s="273" t="s">
        <v>128</v>
      </c>
      <c r="AC305" s="272"/>
      <c r="AD305" s="227">
        <v>45903</v>
      </c>
      <c r="AE305" s="221" t="s">
        <v>25</v>
      </c>
      <c r="AF305" s="223" t="s">
        <v>341</v>
      </c>
      <c r="AG305" s="223" t="s">
        <v>341</v>
      </c>
      <c r="AH305" s="223" t="s">
        <v>341</v>
      </c>
      <c r="AI305" s="221" t="s">
        <v>341</v>
      </c>
      <c r="AJ305" s="223" t="s">
        <v>341</v>
      </c>
      <c r="AK305" s="223" t="s">
        <v>341</v>
      </c>
      <c r="AL305" s="230" t="s">
        <v>341</v>
      </c>
      <c r="AM305" s="231"/>
      <c r="AN305" s="231"/>
      <c r="AO305" s="231">
        <f t="shared" si="59"/>
        <v>0</v>
      </c>
      <c r="AP305" s="231"/>
      <c r="AQ305" s="231"/>
      <c r="AR305" s="231"/>
      <c r="AS305" s="231"/>
      <c r="AT305" s="231">
        <f t="shared" si="56"/>
        <v>0</v>
      </c>
      <c r="AU305" s="231"/>
      <c r="AV305" s="231"/>
      <c r="AW305" s="232"/>
      <c r="AX305" s="232" t="s">
        <v>2441</v>
      </c>
      <c r="AY305" s="232" t="s">
        <v>1845</v>
      </c>
      <c r="AZ305" s="232"/>
      <c r="BA305" s="221" t="s">
        <v>1835</v>
      </c>
      <c r="BB305" s="221"/>
      <c r="BC305" s="233"/>
      <c r="BF305" s="51"/>
    </row>
    <row r="306" spans="1:58" ht="13.5" customHeight="1">
      <c r="A306" s="220">
        <f t="shared" si="54"/>
        <v>305</v>
      </c>
      <c r="B306" s="221" t="s">
        <v>1573</v>
      </c>
      <c r="C306" s="221" t="s">
        <v>1574</v>
      </c>
      <c r="D306" s="221" t="s">
        <v>365</v>
      </c>
      <c r="E306" s="221" t="s">
        <v>1575</v>
      </c>
      <c r="F306" s="221" t="s">
        <v>1693</v>
      </c>
      <c r="G306" s="222" t="s">
        <v>1846</v>
      </c>
      <c r="H306" s="221" t="s">
        <v>163</v>
      </c>
      <c r="I306" s="221" t="s">
        <v>635</v>
      </c>
      <c r="J306" s="221" t="s">
        <v>1847</v>
      </c>
      <c r="K306" s="221" t="s">
        <v>1848</v>
      </c>
      <c r="L306" s="221">
        <v>-7480925448650730</v>
      </c>
      <c r="M306" s="221">
        <v>1.09362941818037E+16</v>
      </c>
      <c r="N306" s="223" t="s">
        <v>126</v>
      </c>
      <c r="O306" s="230" t="s">
        <v>127</v>
      </c>
      <c r="P306" s="224">
        <f t="shared" si="60"/>
        <v>0</v>
      </c>
      <c r="Q306" s="225">
        <v>1</v>
      </c>
      <c r="R306" s="225">
        <v>1</v>
      </c>
      <c r="S306" s="225">
        <f t="shared" si="57"/>
        <v>0</v>
      </c>
      <c r="T306" s="225" t="str" cm="1">
        <f t="array" ref="T306">+_xlfn.IFS($P306&lt;=10000000000,IF(S306&gt;-0.05,"Verde",IF(S306&lt;=-0.1,"Rojo","Amarillo")),$P306&gt;10000000000,IF(S306&gt;-0.03,"Verde",IF(S306&lt;=-0.07,"Rojo","Amarillo")))</f>
        <v>Verde</v>
      </c>
      <c r="U306" s="226" t="s">
        <v>25</v>
      </c>
      <c r="V306" s="226" t="s">
        <v>25</v>
      </c>
      <c r="W306" s="226"/>
      <c r="X306" s="226"/>
      <c r="Y306" s="272">
        <v>45861</v>
      </c>
      <c r="Z306" s="225" t="str">
        <f t="shared" ca="1" si="58"/>
        <v>Terminado</v>
      </c>
      <c r="AA306" s="225" t="str">
        <f t="shared" ca="1" si="55"/>
        <v>-</v>
      </c>
      <c r="AB306" s="273" t="s">
        <v>128</v>
      </c>
      <c r="AC306" s="272"/>
      <c r="AD306" s="227">
        <v>45861</v>
      </c>
      <c r="AE306" s="221" t="s">
        <v>25</v>
      </c>
      <c r="AF306" s="223" t="s">
        <v>341</v>
      </c>
      <c r="AG306" s="223" t="s">
        <v>341</v>
      </c>
      <c r="AH306" s="223" t="s">
        <v>341</v>
      </c>
      <c r="AI306" s="221" t="s">
        <v>341</v>
      </c>
      <c r="AJ306" s="223" t="s">
        <v>341</v>
      </c>
      <c r="AK306" s="223" t="s">
        <v>341</v>
      </c>
      <c r="AL306" s="230" t="s">
        <v>341</v>
      </c>
      <c r="AM306" s="231"/>
      <c r="AN306" s="231"/>
      <c r="AO306" s="231">
        <f t="shared" si="59"/>
        <v>0</v>
      </c>
      <c r="AP306" s="231"/>
      <c r="AQ306" s="231"/>
      <c r="AR306" s="231"/>
      <c r="AS306" s="231"/>
      <c r="AT306" s="231">
        <f t="shared" si="56"/>
        <v>0</v>
      </c>
      <c r="AU306" s="231"/>
      <c r="AV306" s="231"/>
      <c r="AW306" s="232"/>
      <c r="AX306" s="232" t="s">
        <v>1849</v>
      </c>
      <c r="AY306" s="232"/>
      <c r="AZ306" s="232"/>
      <c r="BA306" s="221"/>
      <c r="BB306" s="221"/>
      <c r="BC306" s="233"/>
      <c r="BF306" s="51"/>
    </row>
    <row r="307" spans="1:58" ht="13.5" customHeight="1">
      <c r="A307" s="220">
        <f t="shared" si="54"/>
        <v>306</v>
      </c>
      <c r="B307" s="221" t="s">
        <v>1573</v>
      </c>
      <c r="C307" s="221" t="s">
        <v>1574</v>
      </c>
      <c r="D307" s="221" t="s">
        <v>365</v>
      </c>
      <c r="E307" s="221" t="s">
        <v>1575</v>
      </c>
      <c r="F307" s="221" t="s">
        <v>1693</v>
      </c>
      <c r="G307" s="222" t="s">
        <v>1850</v>
      </c>
      <c r="H307" s="221" t="s">
        <v>163</v>
      </c>
      <c r="I307" s="221" t="s">
        <v>1851</v>
      </c>
      <c r="J307" s="221" t="s">
        <v>1852</v>
      </c>
      <c r="K307" s="221" t="s">
        <v>1853</v>
      </c>
      <c r="L307" s="221">
        <v>-7480776902883560</v>
      </c>
      <c r="M307" s="221">
        <v>1.09315159515292E+16</v>
      </c>
      <c r="N307" s="223" t="s">
        <v>126</v>
      </c>
      <c r="O307" s="230" t="s">
        <v>127</v>
      </c>
      <c r="P307" s="224">
        <f t="shared" si="60"/>
        <v>0</v>
      </c>
      <c r="Q307" s="225">
        <v>1</v>
      </c>
      <c r="R307" s="225">
        <v>1</v>
      </c>
      <c r="S307" s="225">
        <f t="shared" si="57"/>
        <v>0</v>
      </c>
      <c r="T307" s="225" t="str" cm="1">
        <f t="array" ref="T307">+_xlfn.IFS($P307&lt;=10000000000,IF(S307&gt;-0.05,"Verde",IF(S307&lt;=-0.1,"Rojo","Amarillo")),$P307&gt;10000000000,IF(S307&gt;-0.03,"Verde",IF(S307&lt;=-0.07,"Rojo","Amarillo")))</f>
        <v>Verde</v>
      </c>
      <c r="U307" s="226" t="s">
        <v>25</v>
      </c>
      <c r="V307" s="226" t="s">
        <v>25</v>
      </c>
      <c r="W307" s="226"/>
      <c r="X307" s="226"/>
      <c r="Y307" s="272">
        <v>45861</v>
      </c>
      <c r="Z307" s="225" t="str">
        <f t="shared" ca="1" si="58"/>
        <v>Terminado</v>
      </c>
      <c r="AA307" s="225" t="str">
        <f t="shared" ca="1" si="55"/>
        <v>-</v>
      </c>
      <c r="AB307" s="273" t="s">
        <v>128</v>
      </c>
      <c r="AC307" s="272"/>
      <c r="AD307" s="227">
        <v>45861</v>
      </c>
      <c r="AE307" s="221" t="s">
        <v>25</v>
      </c>
      <c r="AF307" s="223" t="s">
        <v>341</v>
      </c>
      <c r="AG307" s="223" t="s">
        <v>341</v>
      </c>
      <c r="AH307" s="223" t="s">
        <v>341</v>
      </c>
      <c r="AI307" s="221" t="s">
        <v>341</v>
      </c>
      <c r="AJ307" s="223" t="s">
        <v>341</v>
      </c>
      <c r="AK307" s="223" t="s">
        <v>341</v>
      </c>
      <c r="AL307" s="230" t="s">
        <v>341</v>
      </c>
      <c r="AM307" s="231"/>
      <c r="AN307" s="231"/>
      <c r="AO307" s="231">
        <f t="shared" si="59"/>
        <v>0</v>
      </c>
      <c r="AP307" s="231"/>
      <c r="AQ307" s="231"/>
      <c r="AR307" s="231"/>
      <c r="AS307" s="231"/>
      <c r="AT307" s="231">
        <f t="shared" si="56"/>
        <v>0</v>
      </c>
      <c r="AU307" s="231"/>
      <c r="AV307" s="231"/>
      <c r="AW307" s="232"/>
      <c r="AX307" s="232" t="s">
        <v>1854</v>
      </c>
      <c r="AY307" s="232"/>
      <c r="AZ307" s="232"/>
      <c r="BA307" s="221"/>
      <c r="BB307" s="221"/>
      <c r="BC307" s="233"/>
      <c r="BF307" s="51"/>
    </row>
    <row r="308" spans="1:58" ht="13.5" customHeight="1">
      <c r="A308" s="220">
        <f t="shared" si="54"/>
        <v>307</v>
      </c>
      <c r="B308" s="221" t="s">
        <v>1573</v>
      </c>
      <c r="C308" s="221" t="s">
        <v>1574</v>
      </c>
      <c r="D308" s="221" t="s">
        <v>365</v>
      </c>
      <c r="E308" s="221" t="s">
        <v>1575</v>
      </c>
      <c r="F308" s="221" t="s">
        <v>1693</v>
      </c>
      <c r="G308" s="222" t="s">
        <v>1855</v>
      </c>
      <c r="H308" s="221" t="s">
        <v>397</v>
      </c>
      <c r="I308" s="221" t="s">
        <v>497</v>
      </c>
      <c r="J308" s="221" t="s">
        <v>1856</v>
      </c>
      <c r="K308" s="221" t="s">
        <v>1857</v>
      </c>
      <c r="L308" s="221">
        <v>-7478727892883560</v>
      </c>
      <c r="M308" s="221">
        <v>1.0983357478616E+16</v>
      </c>
      <c r="N308" s="223" t="s">
        <v>126</v>
      </c>
      <c r="O308" s="230" t="s">
        <v>127</v>
      </c>
      <c r="P308" s="224">
        <f t="shared" si="60"/>
        <v>0</v>
      </c>
      <c r="Q308" s="225">
        <v>1</v>
      </c>
      <c r="R308" s="225">
        <v>1</v>
      </c>
      <c r="S308" s="225">
        <f t="shared" si="57"/>
        <v>0</v>
      </c>
      <c r="T308" s="225" t="str" cm="1">
        <f t="array" ref="T308">+_xlfn.IFS($P308&lt;=10000000000,IF(S308&gt;-0.05,"Verde",IF(S308&lt;=-0.1,"Rojo","Amarillo")),$P308&gt;10000000000,IF(S308&gt;-0.03,"Verde",IF(S308&lt;=-0.07,"Rojo","Amarillo")))</f>
        <v>Verde</v>
      </c>
      <c r="U308" s="226" t="s">
        <v>25</v>
      </c>
      <c r="V308" s="226" t="s">
        <v>25</v>
      </c>
      <c r="W308" s="226"/>
      <c r="X308" s="226"/>
      <c r="Y308" s="272">
        <v>45861</v>
      </c>
      <c r="Z308" s="225" t="str">
        <f t="shared" ca="1" si="58"/>
        <v>Terminado</v>
      </c>
      <c r="AA308" s="225" t="str">
        <f t="shared" ca="1" si="55"/>
        <v>-</v>
      </c>
      <c r="AB308" s="273" t="s">
        <v>128</v>
      </c>
      <c r="AC308" s="272"/>
      <c r="AD308" s="227">
        <v>45861</v>
      </c>
      <c r="AE308" s="221" t="s">
        <v>25</v>
      </c>
      <c r="AF308" s="223" t="s">
        <v>341</v>
      </c>
      <c r="AG308" s="223" t="s">
        <v>341</v>
      </c>
      <c r="AH308" s="223" t="s">
        <v>341</v>
      </c>
      <c r="AI308" s="221" t="s">
        <v>341</v>
      </c>
      <c r="AJ308" s="223" t="s">
        <v>341</v>
      </c>
      <c r="AK308" s="223" t="s">
        <v>341</v>
      </c>
      <c r="AL308" s="230" t="s">
        <v>341</v>
      </c>
      <c r="AM308" s="231"/>
      <c r="AN308" s="231"/>
      <c r="AO308" s="231">
        <f t="shared" si="59"/>
        <v>0</v>
      </c>
      <c r="AP308" s="231"/>
      <c r="AQ308" s="231"/>
      <c r="AR308" s="231"/>
      <c r="AS308" s="231"/>
      <c r="AT308" s="231">
        <f t="shared" si="56"/>
        <v>0</v>
      </c>
      <c r="AU308" s="231"/>
      <c r="AV308" s="231"/>
      <c r="AW308" s="232"/>
      <c r="AX308" s="232" t="s">
        <v>1858</v>
      </c>
      <c r="AY308" s="232"/>
      <c r="AZ308" s="232"/>
      <c r="BA308" s="221"/>
      <c r="BB308" s="221"/>
      <c r="BC308" s="233"/>
      <c r="BF308" s="51"/>
    </row>
    <row r="309" spans="1:58" ht="13.5" customHeight="1">
      <c r="A309" s="220">
        <f t="shared" si="54"/>
        <v>308</v>
      </c>
      <c r="B309" s="221" t="s">
        <v>1573</v>
      </c>
      <c r="C309" s="221" t="s">
        <v>25</v>
      </c>
      <c r="D309" s="221" t="s">
        <v>365</v>
      </c>
      <c r="E309" s="221" t="s">
        <v>1575</v>
      </c>
      <c r="F309" s="221" t="s">
        <v>1576</v>
      </c>
      <c r="G309" s="222" t="s">
        <v>1859</v>
      </c>
      <c r="H309" s="221" t="s">
        <v>154</v>
      </c>
      <c r="I309" s="221" t="s">
        <v>1860</v>
      </c>
      <c r="J309" s="221" t="s">
        <v>1475</v>
      </c>
      <c r="K309" s="221" t="s">
        <v>1861</v>
      </c>
      <c r="L309" s="221">
        <v>-74.886353387097799</v>
      </c>
      <c r="M309" s="221">
        <v>10.954943402735999</v>
      </c>
      <c r="N309" s="223" t="s">
        <v>228</v>
      </c>
      <c r="O309" s="230" t="s">
        <v>229</v>
      </c>
      <c r="P309" s="224">
        <f t="shared" si="60"/>
        <v>23005388855</v>
      </c>
      <c r="Q309" s="225">
        <v>0.45029999999999998</v>
      </c>
      <c r="R309" s="225">
        <v>0.2944</v>
      </c>
      <c r="S309" s="225">
        <f t="shared" si="57"/>
        <v>-0.15589999999999998</v>
      </c>
      <c r="T309" s="225" t="str" cm="1">
        <f t="array" ref="T309">+_xlfn.IFS($P309&lt;=10000000000,IF(S309&gt;-0.05,"Verde",IF(S309&lt;=-0.1,"Rojo","Amarillo")),$P309&gt;10000000000,IF(S309&gt;-0.03,"Verde",IF(S309&lt;=-0.07,"Rojo","Amarillo")))</f>
        <v>Rojo</v>
      </c>
      <c r="U309" s="226"/>
      <c r="V309" s="226"/>
      <c r="W309" s="226"/>
      <c r="X309" s="226"/>
      <c r="Y309" s="272">
        <v>46387</v>
      </c>
      <c r="Z309" s="225" t="str">
        <f t="shared" ca="1" si="58"/>
        <v>Verde</v>
      </c>
      <c r="AA309" s="225" t="str">
        <f t="shared" ca="1" si="55"/>
        <v>-</v>
      </c>
      <c r="AB309" s="273" t="s">
        <v>364</v>
      </c>
      <c r="AC309" s="272">
        <v>46387</v>
      </c>
      <c r="AD309" s="227"/>
      <c r="AE309" s="221" t="s">
        <v>25</v>
      </c>
      <c r="AF309" s="223" t="s">
        <v>341</v>
      </c>
      <c r="AG309" s="223" t="s">
        <v>341</v>
      </c>
      <c r="AH309" s="223" t="s">
        <v>341</v>
      </c>
      <c r="AI309" s="221" t="s">
        <v>341</v>
      </c>
      <c r="AJ309" s="223" t="s">
        <v>341</v>
      </c>
      <c r="AK309" s="223" t="s">
        <v>341</v>
      </c>
      <c r="AL309" s="230" t="s">
        <v>341</v>
      </c>
      <c r="AM309" s="231">
        <v>23005388855</v>
      </c>
      <c r="AN309" s="231">
        <v>0</v>
      </c>
      <c r="AO309" s="231">
        <f t="shared" si="59"/>
        <v>23005388855</v>
      </c>
      <c r="AP309" s="231">
        <v>0</v>
      </c>
      <c r="AQ309" s="231">
        <v>0</v>
      </c>
      <c r="AR309" s="231">
        <v>0</v>
      </c>
      <c r="AS309" s="231">
        <v>0</v>
      </c>
      <c r="AT309" s="231">
        <f t="shared" si="56"/>
        <v>0</v>
      </c>
      <c r="AU309" s="231">
        <v>0</v>
      </c>
      <c r="AV309" s="231">
        <v>0</v>
      </c>
      <c r="AW309" s="232"/>
      <c r="AX309" s="232" t="s">
        <v>25</v>
      </c>
      <c r="AY309" s="232" t="s">
        <v>25</v>
      </c>
      <c r="AZ309" s="232"/>
      <c r="BA309" s="221" t="s">
        <v>1862</v>
      </c>
      <c r="BB309" s="221" t="s">
        <v>1863</v>
      </c>
      <c r="BC309" s="233" t="s">
        <v>128</v>
      </c>
      <c r="BF309" s="51"/>
    </row>
    <row r="310" spans="1:58" ht="13.5" customHeight="1">
      <c r="A310" s="220">
        <f t="shared" si="54"/>
        <v>309</v>
      </c>
      <c r="B310" s="221" t="s">
        <v>1573</v>
      </c>
      <c r="C310" s="221" t="s">
        <v>1574</v>
      </c>
      <c r="D310" s="221" t="s">
        <v>365</v>
      </c>
      <c r="E310" s="221" t="s">
        <v>1575</v>
      </c>
      <c r="F310" s="221" t="s">
        <v>1693</v>
      </c>
      <c r="G310" s="222" t="s">
        <v>1864</v>
      </c>
      <c r="H310" s="221" t="s">
        <v>411</v>
      </c>
      <c r="I310" s="221" t="s">
        <v>412</v>
      </c>
      <c r="J310" s="221" t="s">
        <v>1865</v>
      </c>
      <c r="K310" s="221" t="s">
        <v>1866</v>
      </c>
      <c r="L310" s="221">
        <v>-7486789332860230</v>
      </c>
      <c r="M310" s="221">
        <v>1103473238064590</v>
      </c>
      <c r="N310" s="223" t="s">
        <v>126</v>
      </c>
      <c r="O310" s="230" t="s">
        <v>127</v>
      </c>
      <c r="P310" s="224">
        <f t="shared" si="60"/>
        <v>0</v>
      </c>
      <c r="Q310" s="225">
        <v>1</v>
      </c>
      <c r="R310" s="225">
        <v>1</v>
      </c>
      <c r="S310" s="225">
        <f t="shared" si="57"/>
        <v>0</v>
      </c>
      <c r="T310" s="225" t="str" cm="1">
        <f t="array" ref="T310">+_xlfn.IFS($P310&lt;=10000000000,IF(S310&gt;-0.05,"Verde",IF(S310&lt;=-0.1,"Rojo","Amarillo")),$P310&gt;10000000000,IF(S310&gt;-0.03,"Verde",IF(S310&lt;=-0.07,"Rojo","Amarillo")))</f>
        <v>Verde</v>
      </c>
      <c r="U310" s="226" t="s">
        <v>25</v>
      </c>
      <c r="V310" s="226" t="s">
        <v>25</v>
      </c>
      <c r="W310" s="226"/>
      <c r="X310" s="226"/>
      <c r="Y310" s="272">
        <v>45889</v>
      </c>
      <c r="Z310" s="225" t="str">
        <f t="shared" ca="1" si="58"/>
        <v>Terminado</v>
      </c>
      <c r="AA310" s="225" t="str">
        <f t="shared" ca="1" si="55"/>
        <v>-</v>
      </c>
      <c r="AB310" s="273" t="s">
        <v>128</v>
      </c>
      <c r="AC310" s="272"/>
      <c r="AD310" s="227">
        <v>45889</v>
      </c>
      <c r="AE310" s="221" t="s">
        <v>25</v>
      </c>
      <c r="AF310" s="223" t="s">
        <v>341</v>
      </c>
      <c r="AG310" s="223" t="s">
        <v>341</v>
      </c>
      <c r="AH310" s="223" t="s">
        <v>341</v>
      </c>
      <c r="AI310" s="221" t="s">
        <v>341</v>
      </c>
      <c r="AJ310" s="223" t="s">
        <v>341</v>
      </c>
      <c r="AK310" s="223" t="s">
        <v>341</v>
      </c>
      <c r="AL310" s="230" t="s">
        <v>341</v>
      </c>
      <c r="AM310" s="231"/>
      <c r="AN310" s="231"/>
      <c r="AO310" s="231">
        <f t="shared" ref="AO310:AO320" si="61">AM310+AN310</f>
        <v>0</v>
      </c>
      <c r="AP310" s="231"/>
      <c r="AQ310" s="231"/>
      <c r="AR310" s="231"/>
      <c r="AS310" s="231"/>
      <c r="AT310" s="231">
        <f t="shared" si="56"/>
        <v>0</v>
      </c>
      <c r="AU310" s="231"/>
      <c r="AV310" s="231"/>
      <c r="AW310" s="232"/>
      <c r="AX310" s="232" t="s">
        <v>1867</v>
      </c>
      <c r="AY310" s="232"/>
      <c r="AZ310" s="232"/>
      <c r="BA310" s="221"/>
      <c r="BB310" s="221"/>
      <c r="BC310" s="233"/>
      <c r="BF310" s="51"/>
    </row>
    <row r="311" spans="1:58" ht="13.5" customHeight="1">
      <c r="A311" s="220">
        <f t="shared" si="54"/>
        <v>310</v>
      </c>
      <c r="B311" s="221" t="s">
        <v>1573</v>
      </c>
      <c r="C311" s="221" t="s">
        <v>1574</v>
      </c>
      <c r="D311" s="221" t="s">
        <v>365</v>
      </c>
      <c r="E311" s="221" t="s">
        <v>1575</v>
      </c>
      <c r="F311" s="221" t="s">
        <v>1693</v>
      </c>
      <c r="G311" s="222" t="s">
        <v>1868</v>
      </c>
      <c r="H311" s="221" t="s">
        <v>154</v>
      </c>
      <c r="I311" s="221" t="s">
        <v>1869</v>
      </c>
      <c r="J311" s="221" t="s">
        <v>1870</v>
      </c>
      <c r="K311" s="221" t="s">
        <v>1871</v>
      </c>
      <c r="L311" s="221">
        <v>-7485759364640380</v>
      </c>
      <c r="M311" s="221">
        <v>1096935193884610</v>
      </c>
      <c r="N311" s="223" t="s">
        <v>126</v>
      </c>
      <c r="O311" s="230" t="s">
        <v>127</v>
      </c>
      <c r="P311" s="224">
        <f t="shared" si="60"/>
        <v>0</v>
      </c>
      <c r="Q311" s="225">
        <v>1</v>
      </c>
      <c r="R311" s="225">
        <v>1</v>
      </c>
      <c r="S311" s="225">
        <f t="shared" si="57"/>
        <v>0</v>
      </c>
      <c r="T311" s="225" t="str" cm="1">
        <f t="array" ref="T311">+_xlfn.IFS($P311&lt;=10000000000,IF(S311&gt;-0.05,"Verde",IF(S311&lt;=-0.1,"Rojo","Amarillo")),$P311&gt;10000000000,IF(S311&gt;-0.03,"Verde",IF(S311&lt;=-0.07,"Rojo","Amarillo")))</f>
        <v>Verde</v>
      </c>
      <c r="U311" s="226" t="s">
        <v>25</v>
      </c>
      <c r="V311" s="226" t="s">
        <v>25</v>
      </c>
      <c r="W311" s="226"/>
      <c r="X311" s="226"/>
      <c r="Y311" s="272">
        <v>45889</v>
      </c>
      <c r="Z311" s="225" t="str">
        <f t="shared" ca="1" si="58"/>
        <v>Terminado</v>
      </c>
      <c r="AA311" s="225" t="str">
        <f t="shared" ca="1" si="55"/>
        <v>-</v>
      </c>
      <c r="AB311" s="273" t="s">
        <v>128</v>
      </c>
      <c r="AC311" s="272"/>
      <c r="AD311" s="227">
        <v>45889</v>
      </c>
      <c r="AE311" s="221" t="s">
        <v>25</v>
      </c>
      <c r="AF311" s="223" t="s">
        <v>341</v>
      </c>
      <c r="AG311" s="223" t="s">
        <v>341</v>
      </c>
      <c r="AH311" s="223" t="s">
        <v>341</v>
      </c>
      <c r="AI311" s="221" t="s">
        <v>341</v>
      </c>
      <c r="AJ311" s="223" t="s">
        <v>341</v>
      </c>
      <c r="AK311" s="223" t="s">
        <v>341</v>
      </c>
      <c r="AL311" s="230" t="s">
        <v>341</v>
      </c>
      <c r="AM311" s="231"/>
      <c r="AN311" s="231"/>
      <c r="AO311" s="231">
        <f t="shared" si="61"/>
        <v>0</v>
      </c>
      <c r="AP311" s="231"/>
      <c r="AQ311" s="231"/>
      <c r="AR311" s="231"/>
      <c r="AS311" s="231"/>
      <c r="AT311" s="231">
        <f t="shared" si="56"/>
        <v>0</v>
      </c>
      <c r="AU311" s="231"/>
      <c r="AV311" s="231"/>
      <c r="AW311" s="232"/>
      <c r="AX311" s="232" t="s">
        <v>1872</v>
      </c>
      <c r="AY311" s="232"/>
      <c r="AZ311" s="232"/>
      <c r="BA311" s="221"/>
      <c r="BB311" s="221"/>
      <c r="BC311" s="233"/>
      <c r="BF311" s="51"/>
    </row>
    <row r="312" spans="1:58" ht="13.5" customHeight="1">
      <c r="A312" s="220">
        <f t="shared" si="54"/>
        <v>311</v>
      </c>
      <c r="B312" s="221" t="s">
        <v>1573</v>
      </c>
      <c r="C312" s="221" t="s">
        <v>1574</v>
      </c>
      <c r="D312" s="221" t="s">
        <v>365</v>
      </c>
      <c r="E312" s="221" t="s">
        <v>1575</v>
      </c>
      <c r="F312" s="221" t="s">
        <v>1693</v>
      </c>
      <c r="G312" s="222" t="s">
        <v>1873</v>
      </c>
      <c r="H312" s="221" t="s">
        <v>154</v>
      </c>
      <c r="I312" s="221" t="s">
        <v>1874</v>
      </c>
      <c r="J312" s="221" t="s">
        <v>1875</v>
      </c>
      <c r="K312" s="221" t="s">
        <v>1876</v>
      </c>
      <c r="L312" s="221">
        <v>-7479299720515460</v>
      </c>
      <c r="M312" s="221">
        <v>1.09784346314552E+16</v>
      </c>
      <c r="N312" s="223" t="s">
        <v>126</v>
      </c>
      <c r="O312" s="230" t="s">
        <v>127</v>
      </c>
      <c r="P312" s="224">
        <f t="shared" ref="P312:P320" si="62">AO312+AT312</f>
        <v>0</v>
      </c>
      <c r="Q312" s="225">
        <v>1</v>
      </c>
      <c r="R312" s="225">
        <v>1</v>
      </c>
      <c r="S312" s="225">
        <f>+R312-Q312</f>
        <v>0</v>
      </c>
      <c r="T312" s="225" t="str" cm="1">
        <f t="array" ref="T312">+_xlfn.IFS($P312&lt;=10000000000,IF(S312&gt;-0.05,"Verde",IF(S312&lt;=-0.1,"Rojo","Amarillo")),$P312&gt;10000000000,IF(S312&gt;-0.03,"Verde",IF(S312&lt;=-0.07,"Rojo","Amarillo")))</f>
        <v>Verde</v>
      </c>
      <c r="U312" s="226" t="s">
        <v>25</v>
      </c>
      <c r="V312" s="226" t="s">
        <v>25</v>
      </c>
      <c r="W312" s="226"/>
      <c r="X312" s="226"/>
      <c r="Y312" s="272">
        <v>45889</v>
      </c>
      <c r="Z312" s="225" t="str">
        <f t="shared" ref="Z312:Z325" ca="1" si="63">+IF(AND(O312="En_Ejecución",OR(T312="Rojo",T312="Amarillo")),IF(($Y312-(TODAY())&lt;15),"Rojo",IF(($Y312-TODAY())&gt;=45,"Verde","Amarillo")),O312)</f>
        <v>Terminado</v>
      </c>
      <c r="AA312" s="225" t="str">
        <f ca="1">+IF(AND(Z312="Amarillo",T312="Rojo"),"En_Seguimiento",IF(AND(Z312="Rojo",T312="Amarillo"),"En_Seguimiento",IF(AND(Z312="Rojo",T312="Rojo"),"En_Seguimiento",IF(AND(Z312="Suspendido",T312="Amarillo"),"En_Seguimiento",IF(AND(Z312="Suspendido",T312="Rojo"),"En_Seguimiento","-")))))</f>
        <v>-</v>
      </c>
      <c r="AB312" s="273" t="s">
        <v>128</v>
      </c>
      <c r="AC312" s="272"/>
      <c r="AD312" s="227">
        <v>45889</v>
      </c>
      <c r="AE312" s="221" t="s">
        <v>25</v>
      </c>
      <c r="AF312" s="223" t="s">
        <v>341</v>
      </c>
      <c r="AG312" s="223" t="s">
        <v>341</v>
      </c>
      <c r="AH312" s="223" t="s">
        <v>341</v>
      </c>
      <c r="AI312" s="221" t="s">
        <v>341</v>
      </c>
      <c r="AJ312" s="223" t="s">
        <v>341</v>
      </c>
      <c r="AK312" s="223" t="s">
        <v>341</v>
      </c>
      <c r="AL312" s="230" t="s">
        <v>341</v>
      </c>
      <c r="AM312" s="231"/>
      <c r="AN312" s="231"/>
      <c r="AO312" s="231">
        <f t="shared" si="61"/>
        <v>0</v>
      </c>
      <c r="AP312" s="231"/>
      <c r="AQ312" s="231"/>
      <c r="AR312" s="231"/>
      <c r="AS312" s="231"/>
      <c r="AT312" s="231">
        <f t="shared" si="56"/>
        <v>0</v>
      </c>
      <c r="AU312" s="231"/>
      <c r="AV312" s="231"/>
      <c r="AW312" s="232"/>
      <c r="AX312" s="232" t="s">
        <v>1877</v>
      </c>
      <c r="AY312" s="232"/>
      <c r="AZ312" s="232"/>
      <c r="BA312" s="221"/>
      <c r="BB312" s="221"/>
      <c r="BC312" s="233"/>
      <c r="BF312" s="51"/>
    </row>
    <row r="313" spans="1:58" ht="13.5" customHeight="1">
      <c r="A313" s="220">
        <f t="shared" si="54"/>
        <v>312</v>
      </c>
      <c r="B313" s="221" t="s">
        <v>1573</v>
      </c>
      <c r="C313" s="221" t="s">
        <v>1574</v>
      </c>
      <c r="D313" s="221" t="s">
        <v>365</v>
      </c>
      <c r="E313" s="221" t="s">
        <v>1575</v>
      </c>
      <c r="F313" s="221" t="s">
        <v>1693</v>
      </c>
      <c r="G313" s="222" t="s">
        <v>1878</v>
      </c>
      <c r="H313" s="221" t="s">
        <v>397</v>
      </c>
      <c r="I313" s="221" t="s">
        <v>504</v>
      </c>
      <c r="J313" s="221" t="s">
        <v>1879</v>
      </c>
      <c r="K313" s="221" t="s">
        <v>1880</v>
      </c>
      <c r="L313" s="307">
        <v>-7477652474858360</v>
      </c>
      <c r="M313" s="307">
        <v>1.09867380652582E+16</v>
      </c>
      <c r="N313" s="223" t="s">
        <v>228</v>
      </c>
      <c r="O313" s="230" t="s">
        <v>229</v>
      </c>
      <c r="P313" s="224">
        <f t="shared" si="62"/>
        <v>0</v>
      </c>
      <c r="Q313" s="225">
        <v>0.95</v>
      </c>
      <c r="R313" s="225">
        <v>0.92</v>
      </c>
      <c r="S313" s="225">
        <f t="shared" ref="S313:S320" si="64">+R313-Q313</f>
        <v>-2.9999999999999916E-2</v>
      </c>
      <c r="T313" s="225" t="str" cm="1">
        <f t="array" ref="T313">+_xlfn.IFS($P313&lt;=10000000000,IF(S313&gt;-0.05,"Verde",IF(S313&lt;=-0.1,"Rojo","Amarillo")),$P313&gt;10000000000,IF(S313&gt;-0.03,"Verde",IF(S313&lt;=-0.07,"Rojo","Amarillo")))</f>
        <v>Verde</v>
      </c>
      <c r="U313" s="226" t="s">
        <v>25</v>
      </c>
      <c r="V313" s="226" t="s">
        <v>25</v>
      </c>
      <c r="W313" s="226"/>
      <c r="X313" s="226"/>
      <c r="Y313" s="272">
        <v>45931</v>
      </c>
      <c r="Z313" s="225" t="str">
        <f t="shared" ca="1" si="63"/>
        <v>En_Ejecución</v>
      </c>
      <c r="AA313" s="225" t="str">
        <f t="shared" ref="AA313:AA319" ca="1" si="65">+IF(AND(Z313="Amarillo",T313="Rojo"),"En_Seguimiento",IF(AND(Z313="Rojo",T313="Amarillo"),"En_Seguimiento",IF(AND(Z313="Rojo",T313="Rojo"),"En_Seguimiento",IF(AND(Z313="Suspendido",T313="Amarillo"),"En_Seguimiento",IF(AND(Z313="Suspendido",T313="Rojo"),"En_Seguimiento","-")))))</f>
        <v>-</v>
      </c>
      <c r="AB313" s="273" t="s">
        <v>128</v>
      </c>
      <c r="AC313" s="272"/>
      <c r="AD313" s="227">
        <v>45924</v>
      </c>
      <c r="AE313" s="221" t="s">
        <v>25</v>
      </c>
      <c r="AF313" s="223" t="s">
        <v>341</v>
      </c>
      <c r="AG313" s="223" t="s">
        <v>341</v>
      </c>
      <c r="AH313" s="223" t="s">
        <v>341</v>
      </c>
      <c r="AI313" s="221" t="s">
        <v>341</v>
      </c>
      <c r="AJ313" s="223" t="s">
        <v>341</v>
      </c>
      <c r="AK313" s="223" t="s">
        <v>341</v>
      </c>
      <c r="AL313" s="230" t="s">
        <v>341</v>
      </c>
      <c r="AM313" s="231"/>
      <c r="AN313" s="231"/>
      <c r="AO313" s="231">
        <f t="shared" si="61"/>
        <v>0</v>
      </c>
      <c r="AP313" s="231"/>
      <c r="AQ313" s="231"/>
      <c r="AR313" s="231"/>
      <c r="AS313" s="231"/>
      <c r="AT313" s="231">
        <f t="shared" si="56"/>
        <v>0</v>
      </c>
      <c r="AU313" s="231"/>
      <c r="AV313" s="231"/>
      <c r="AW313" s="232"/>
      <c r="AX313" s="308" t="s">
        <v>1881</v>
      </c>
      <c r="AY313" s="232"/>
      <c r="AZ313" s="232"/>
      <c r="BA313" s="221"/>
      <c r="BB313" s="221"/>
      <c r="BC313" s="233"/>
      <c r="BF313" s="51"/>
    </row>
    <row r="314" spans="1:58" ht="13.5" customHeight="1">
      <c r="A314" s="220">
        <f t="shared" si="54"/>
        <v>313</v>
      </c>
      <c r="B314" s="221" t="s">
        <v>1573</v>
      </c>
      <c r="C314" s="221" t="s">
        <v>1574</v>
      </c>
      <c r="D314" s="221" t="s">
        <v>365</v>
      </c>
      <c r="E314" s="221" t="s">
        <v>1575</v>
      </c>
      <c r="F314" s="221" t="s">
        <v>1693</v>
      </c>
      <c r="G314" s="222" t="s">
        <v>1882</v>
      </c>
      <c r="H314" s="221" t="s">
        <v>154</v>
      </c>
      <c r="I314" s="221" t="s">
        <v>1883</v>
      </c>
      <c r="J314" s="221" t="s">
        <v>1884</v>
      </c>
      <c r="K314" s="221" t="s">
        <v>1885</v>
      </c>
      <c r="L314" s="307">
        <v>-748290548058624</v>
      </c>
      <c r="M314" s="307">
        <v>1098300189205640</v>
      </c>
      <c r="N314" s="223" t="s">
        <v>228</v>
      </c>
      <c r="O314" s="230" t="s">
        <v>229</v>
      </c>
      <c r="P314" s="224">
        <f t="shared" si="62"/>
        <v>0</v>
      </c>
      <c r="Q314" s="225">
        <v>0.95</v>
      </c>
      <c r="R314" s="225">
        <v>0.92</v>
      </c>
      <c r="S314" s="225">
        <f t="shared" si="64"/>
        <v>-2.9999999999999916E-2</v>
      </c>
      <c r="T314" s="225" t="str" cm="1">
        <f t="array" ref="T314">+_xlfn.IFS($P314&lt;=10000000000,IF(S314&gt;-0.05,"Verde",IF(S314&lt;=-0.1,"Rojo","Amarillo")),$P314&gt;10000000000,IF(S314&gt;-0.03,"Verde",IF(S314&lt;=-0.07,"Rojo","Amarillo")))</f>
        <v>Verde</v>
      </c>
      <c r="U314" s="226" t="s">
        <v>25</v>
      </c>
      <c r="V314" s="226" t="s">
        <v>25</v>
      </c>
      <c r="W314" s="226"/>
      <c r="X314" s="226"/>
      <c r="Y314" s="272">
        <v>45931</v>
      </c>
      <c r="Z314" s="225" t="str">
        <f t="shared" ca="1" si="63"/>
        <v>En_Ejecución</v>
      </c>
      <c r="AA314" s="225" t="str">
        <f t="shared" ca="1" si="65"/>
        <v>-</v>
      </c>
      <c r="AB314" s="273" t="s">
        <v>128</v>
      </c>
      <c r="AC314" s="272"/>
      <c r="AD314" s="227">
        <v>45924</v>
      </c>
      <c r="AE314" s="221" t="s">
        <v>25</v>
      </c>
      <c r="AF314" s="223" t="s">
        <v>341</v>
      </c>
      <c r="AG314" s="223" t="s">
        <v>341</v>
      </c>
      <c r="AH314" s="223" t="s">
        <v>341</v>
      </c>
      <c r="AI314" s="221" t="s">
        <v>341</v>
      </c>
      <c r="AJ314" s="223" t="s">
        <v>341</v>
      </c>
      <c r="AK314" s="223" t="s">
        <v>341</v>
      </c>
      <c r="AL314" s="230" t="s">
        <v>341</v>
      </c>
      <c r="AM314" s="231"/>
      <c r="AN314" s="231"/>
      <c r="AO314" s="231">
        <f t="shared" si="61"/>
        <v>0</v>
      </c>
      <c r="AP314" s="231"/>
      <c r="AQ314" s="231"/>
      <c r="AR314" s="231"/>
      <c r="AS314" s="231"/>
      <c r="AT314" s="231">
        <f t="shared" si="56"/>
        <v>0</v>
      </c>
      <c r="AU314" s="231"/>
      <c r="AV314" s="231"/>
      <c r="AW314" s="232"/>
      <c r="AX314" s="309" t="s">
        <v>1886</v>
      </c>
      <c r="AY314" s="232"/>
      <c r="AZ314" s="232"/>
      <c r="BA314" s="221"/>
      <c r="BB314" s="221"/>
      <c r="BC314" s="233"/>
      <c r="BF314" s="51"/>
    </row>
    <row r="315" spans="1:58" ht="13.5" customHeight="1">
      <c r="A315" s="220">
        <f t="shared" si="54"/>
        <v>314</v>
      </c>
      <c r="B315" s="221" t="s">
        <v>1573</v>
      </c>
      <c r="C315" s="221" t="s">
        <v>1574</v>
      </c>
      <c r="D315" s="221" t="s">
        <v>365</v>
      </c>
      <c r="E315" s="221" t="s">
        <v>1575</v>
      </c>
      <c r="F315" s="221" t="s">
        <v>1693</v>
      </c>
      <c r="G315" s="222" t="s">
        <v>1887</v>
      </c>
      <c r="H315" s="221" t="s">
        <v>582</v>
      </c>
      <c r="I315" s="221" t="s">
        <v>936</v>
      </c>
      <c r="J315" s="221" t="s">
        <v>1888</v>
      </c>
      <c r="K315" s="221" t="s">
        <v>1889</v>
      </c>
      <c r="L315" s="307">
        <v>-7479609803139230</v>
      </c>
      <c r="M315" s="307">
        <v>1.09425973940341E+16</v>
      </c>
      <c r="N315" s="223" t="s">
        <v>228</v>
      </c>
      <c r="O315" s="230" t="s">
        <v>229</v>
      </c>
      <c r="P315" s="224">
        <f t="shared" si="62"/>
        <v>0</v>
      </c>
      <c r="Q315" s="225">
        <v>0.95</v>
      </c>
      <c r="R315" s="225">
        <v>0.92</v>
      </c>
      <c r="S315" s="225">
        <f t="shared" si="64"/>
        <v>-2.9999999999999916E-2</v>
      </c>
      <c r="T315" s="225" t="str" cm="1">
        <f t="array" ref="T315">+_xlfn.IFS($P315&lt;=10000000000,IF(S315&gt;-0.05,"Verde",IF(S315&lt;=-0.1,"Rojo","Amarillo")),$P315&gt;10000000000,IF(S315&gt;-0.03,"Verde",IF(S315&lt;=-0.07,"Rojo","Amarillo")))</f>
        <v>Verde</v>
      </c>
      <c r="U315" s="226" t="s">
        <v>25</v>
      </c>
      <c r="V315" s="226" t="s">
        <v>25</v>
      </c>
      <c r="W315" s="226"/>
      <c r="X315" s="226"/>
      <c r="Y315" s="272">
        <v>45931</v>
      </c>
      <c r="Z315" s="225" t="str">
        <f t="shared" ca="1" si="63"/>
        <v>En_Ejecución</v>
      </c>
      <c r="AA315" s="225" t="str">
        <f t="shared" ca="1" si="65"/>
        <v>-</v>
      </c>
      <c r="AB315" s="273" t="s">
        <v>128</v>
      </c>
      <c r="AC315" s="272"/>
      <c r="AD315" s="227">
        <v>45924</v>
      </c>
      <c r="AE315" s="221" t="s">
        <v>25</v>
      </c>
      <c r="AF315" s="223" t="s">
        <v>341</v>
      </c>
      <c r="AG315" s="223" t="s">
        <v>341</v>
      </c>
      <c r="AH315" s="223" t="s">
        <v>341</v>
      </c>
      <c r="AI315" s="221" t="s">
        <v>341</v>
      </c>
      <c r="AJ315" s="223" t="s">
        <v>341</v>
      </c>
      <c r="AK315" s="223" t="s">
        <v>341</v>
      </c>
      <c r="AL315" s="230" t="s">
        <v>341</v>
      </c>
      <c r="AM315" s="231"/>
      <c r="AN315" s="231"/>
      <c r="AO315" s="231">
        <f t="shared" si="61"/>
        <v>0</v>
      </c>
      <c r="AP315" s="231"/>
      <c r="AQ315" s="231"/>
      <c r="AR315" s="231"/>
      <c r="AS315" s="231"/>
      <c r="AT315" s="231">
        <f t="shared" si="56"/>
        <v>0</v>
      </c>
      <c r="AU315" s="231"/>
      <c r="AV315" s="231"/>
      <c r="AW315" s="232"/>
      <c r="AX315" s="308" t="s">
        <v>1890</v>
      </c>
      <c r="AY315" s="232"/>
      <c r="AZ315" s="232"/>
      <c r="BA315" s="221"/>
      <c r="BB315" s="221"/>
      <c r="BC315" s="233"/>
      <c r="BF315" s="51"/>
    </row>
    <row r="316" spans="1:58" ht="13.5" customHeight="1">
      <c r="A316" s="220">
        <f t="shared" si="54"/>
        <v>315</v>
      </c>
      <c r="B316" s="221" t="s">
        <v>1573</v>
      </c>
      <c r="C316" s="221" t="s">
        <v>1574</v>
      </c>
      <c r="D316" s="221" t="s">
        <v>365</v>
      </c>
      <c r="E316" s="221" t="s">
        <v>1575</v>
      </c>
      <c r="F316" s="221" t="s">
        <v>1693</v>
      </c>
      <c r="G316" s="222" t="s">
        <v>1891</v>
      </c>
      <c r="H316" s="221" t="s">
        <v>582</v>
      </c>
      <c r="I316" s="221" t="s">
        <v>932</v>
      </c>
      <c r="J316" s="221" t="s">
        <v>1892</v>
      </c>
      <c r="K316" s="221" t="s">
        <v>1893</v>
      </c>
      <c r="L316" s="307">
        <v>-7477149491248320</v>
      </c>
      <c r="M316" s="307">
        <v>1.09702577239465E+16</v>
      </c>
      <c r="N316" s="223" t="s">
        <v>228</v>
      </c>
      <c r="O316" s="230" t="s">
        <v>229</v>
      </c>
      <c r="P316" s="224">
        <f t="shared" si="62"/>
        <v>0</v>
      </c>
      <c r="Q316" s="225">
        <v>0.95</v>
      </c>
      <c r="R316" s="225">
        <v>0.92</v>
      </c>
      <c r="S316" s="225">
        <f t="shared" si="64"/>
        <v>-2.9999999999999916E-2</v>
      </c>
      <c r="T316" s="225" t="str" cm="1">
        <f t="array" ref="T316">+_xlfn.IFS($P316&lt;=10000000000,IF(S316&gt;-0.05,"Verde",IF(S316&lt;=-0.1,"Rojo","Amarillo")),$P316&gt;10000000000,IF(S316&gt;-0.03,"Verde",IF(S316&lt;=-0.07,"Rojo","Amarillo")))</f>
        <v>Verde</v>
      </c>
      <c r="U316" s="226" t="s">
        <v>25</v>
      </c>
      <c r="V316" s="226" t="s">
        <v>25</v>
      </c>
      <c r="W316" s="226"/>
      <c r="X316" s="226"/>
      <c r="Y316" s="272">
        <v>45931</v>
      </c>
      <c r="Z316" s="225" t="str">
        <f t="shared" ca="1" si="63"/>
        <v>En_Ejecución</v>
      </c>
      <c r="AA316" s="225" t="str">
        <f t="shared" ca="1" si="65"/>
        <v>-</v>
      </c>
      <c r="AB316" s="273" t="s">
        <v>128</v>
      </c>
      <c r="AC316" s="272"/>
      <c r="AD316" s="227">
        <v>45924</v>
      </c>
      <c r="AE316" s="221" t="s">
        <v>25</v>
      </c>
      <c r="AF316" s="223" t="s">
        <v>341</v>
      </c>
      <c r="AG316" s="223" t="s">
        <v>341</v>
      </c>
      <c r="AH316" s="223" t="s">
        <v>341</v>
      </c>
      <c r="AI316" s="221" t="s">
        <v>341</v>
      </c>
      <c r="AJ316" s="223" t="s">
        <v>341</v>
      </c>
      <c r="AK316" s="223" t="s">
        <v>341</v>
      </c>
      <c r="AL316" s="230" t="s">
        <v>341</v>
      </c>
      <c r="AM316" s="231"/>
      <c r="AN316" s="231"/>
      <c r="AO316" s="231">
        <f t="shared" si="61"/>
        <v>0</v>
      </c>
      <c r="AP316" s="231"/>
      <c r="AQ316" s="231"/>
      <c r="AR316" s="231"/>
      <c r="AS316" s="231"/>
      <c r="AT316" s="231">
        <f t="shared" si="56"/>
        <v>0</v>
      </c>
      <c r="AU316" s="231"/>
      <c r="AV316" s="231"/>
      <c r="AW316" s="232"/>
      <c r="AX316" s="308" t="s">
        <v>1894</v>
      </c>
      <c r="AY316" s="232"/>
      <c r="AZ316" s="232"/>
      <c r="BA316" s="221"/>
      <c r="BB316" s="221"/>
      <c r="BC316" s="233"/>
      <c r="BF316" s="51"/>
    </row>
    <row r="317" spans="1:58" ht="13.5" customHeight="1">
      <c r="A317" s="220">
        <f t="shared" si="54"/>
        <v>316</v>
      </c>
      <c r="B317" s="221" t="s">
        <v>1573</v>
      </c>
      <c r="C317" s="221" t="s">
        <v>1574</v>
      </c>
      <c r="D317" s="221" t="s">
        <v>365</v>
      </c>
      <c r="E317" s="221" t="s">
        <v>1575</v>
      </c>
      <c r="F317" s="221" t="s">
        <v>1693</v>
      </c>
      <c r="G317" s="222" t="s">
        <v>1895</v>
      </c>
      <c r="H317" s="221" t="s">
        <v>397</v>
      </c>
      <c r="I317" s="221" t="s">
        <v>1896</v>
      </c>
      <c r="J317" s="221" t="s">
        <v>1897</v>
      </c>
      <c r="K317" s="221" t="s">
        <v>1898</v>
      </c>
      <c r="L317" s="307">
        <v>-7478885627556960</v>
      </c>
      <c r="M317" s="307">
        <v>1.09981442566951E+16</v>
      </c>
      <c r="N317" s="223" t="s">
        <v>228</v>
      </c>
      <c r="O317" s="230" t="s">
        <v>229</v>
      </c>
      <c r="P317" s="224">
        <f t="shared" si="62"/>
        <v>0</v>
      </c>
      <c r="Q317" s="225">
        <v>0.95</v>
      </c>
      <c r="R317" s="225">
        <v>0.92</v>
      </c>
      <c r="S317" s="225">
        <f t="shared" si="64"/>
        <v>-2.9999999999999916E-2</v>
      </c>
      <c r="T317" s="225" t="str" cm="1">
        <f t="array" ref="T317">+_xlfn.IFS($P317&lt;=10000000000,IF(S317&gt;-0.05,"Verde",IF(S317&lt;=-0.1,"Rojo","Amarillo")),$P317&gt;10000000000,IF(S317&gt;-0.03,"Verde",IF(S317&lt;=-0.07,"Rojo","Amarillo")))</f>
        <v>Verde</v>
      </c>
      <c r="U317" s="226" t="s">
        <v>25</v>
      </c>
      <c r="V317" s="226" t="s">
        <v>25</v>
      </c>
      <c r="W317" s="226"/>
      <c r="X317" s="226"/>
      <c r="Y317" s="272">
        <v>45931</v>
      </c>
      <c r="Z317" s="225" t="str">
        <f t="shared" ca="1" si="63"/>
        <v>En_Ejecución</v>
      </c>
      <c r="AA317" s="225" t="str">
        <f t="shared" ca="1" si="65"/>
        <v>-</v>
      </c>
      <c r="AB317" s="273" t="s">
        <v>128</v>
      </c>
      <c r="AC317" s="272"/>
      <c r="AD317" s="227">
        <v>45924</v>
      </c>
      <c r="AE317" s="221" t="s">
        <v>25</v>
      </c>
      <c r="AF317" s="223" t="s">
        <v>341</v>
      </c>
      <c r="AG317" s="223" t="s">
        <v>341</v>
      </c>
      <c r="AH317" s="223" t="s">
        <v>341</v>
      </c>
      <c r="AI317" s="221" t="s">
        <v>341</v>
      </c>
      <c r="AJ317" s="223" t="s">
        <v>341</v>
      </c>
      <c r="AK317" s="223" t="s">
        <v>341</v>
      </c>
      <c r="AL317" s="230" t="s">
        <v>341</v>
      </c>
      <c r="AM317" s="231"/>
      <c r="AN317" s="231"/>
      <c r="AO317" s="231">
        <f t="shared" si="61"/>
        <v>0</v>
      </c>
      <c r="AP317" s="231"/>
      <c r="AQ317" s="231"/>
      <c r="AR317" s="231"/>
      <c r="AS317" s="231"/>
      <c r="AT317" s="231">
        <f t="shared" si="56"/>
        <v>0</v>
      </c>
      <c r="AU317" s="231"/>
      <c r="AV317" s="231"/>
      <c r="AW317" s="232"/>
      <c r="AX317" s="308" t="s">
        <v>1899</v>
      </c>
      <c r="AY317" s="232"/>
      <c r="AZ317" s="232"/>
      <c r="BA317" s="221"/>
      <c r="BB317" s="221"/>
      <c r="BC317" s="233"/>
      <c r="BF317" s="51"/>
    </row>
    <row r="318" spans="1:58" ht="13.5" customHeight="1">
      <c r="A318" s="220">
        <f t="shared" si="54"/>
        <v>317</v>
      </c>
      <c r="B318" s="221" t="s">
        <v>1573</v>
      </c>
      <c r="C318" s="221" t="s">
        <v>1574</v>
      </c>
      <c r="D318" s="221" t="s">
        <v>365</v>
      </c>
      <c r="E318" s="221" t="s">
        <v>1575</v>
      </c>
      <c r="F318" s="221" t="s">
        <v>1693</v>
      </c>
      <c r="G318" s="222" t="s">
        <v>1900</v>
      </c>
      <c r="H318" s="221" t="s">
        <v>397</v>
      </c>
      <c r="I318" s="221" t="s">
        <v>1896</v>
      </c>
      <c r="J318" s="221" t="s">
        <v>1901</v>
      </c>
      <c r="K318" s="221" t="s">
        <v>1902</v>
      </c>
      <c r="L318" s="307">
        <v>-7478864820039440</v>
      </c>
      <c r="M318" s="307">
        <v>1.09982239326879E+16</v>
      </c>
      <c r="N318" s="223" t="s">
        <v>228</v>
      </c>
      <c r="O318" s="230" t="s">
        <v>229</v>
      </c>
      <c r="P318" s="224">
        <f t="shared" si="62"/>
        <v>0</v>
      </c>
      <c r="Q318" s="225">
        <v>0.95</v>
      </c>
      <c r="R318" s="225">
        <v>0.92</v>
      </c>
      <c r="S318" s="225">
        <f t="shared" si="64"/>
        <v>-2.9999999999999916E-2</v>
      </c>
      <c r="T318" s="225" t="str" cm="1">
        <f t="array" ref="T318">+_xlfn.IFS($P318&lt;=10000000000,IF(S318&gt;-0.05,"Verde",IF(S318&lt;=-0.1,"Rojo","Amarillo")),$P318&gt;10000000000,IF(S318&gt;-0.03,"Verde",IF(S318&lt;=-0.07,"Rojo","Amarillo")))</f>
        <v>Verde</v>
      </c>
      <c r="U318" s="226" t="s">
        <v>25</v>
      </c>
      <c r="V318" s="226" t="s">
        <v>25</v>
      </c>
      <c r="W318" s="226"/>
      <c r="X318" s="226"/>
      <c r="Y318" s="272">
        <v>45931</v>
      </c>
      <c r="Z318" s="225" t="str">
        <f t="shared" ca="1" si="63"/>
        <v>En_Ejecución</v>
      </c>
      <c r="AA318" s="225" t="str">
        <f t="shared" ca="1" si="65"/>
        <v>-</v>
      </c>
      <c r="AB318" s="273" t="s">
        <v>128</v>
      </c>
      <c r="AC318" s="272"/>
      <c r="AD318" s="227">
        <v>45924</v>
      </c>
      <c r="AE318" s="221" t="s">
        <v>25</v>
      </c>
      <c r="AF318" s="223" t="s">
        <v>341</v>
      </c>
      <c r="AG318" s="223" t="s">
        <v>341</v>
      </c>
      <c r="AH318" s="223" t="s">
        <v>341</v>
      </c>
      <c r="AI318" s="221" t="s">
        <v>341</v>
      </c>
      <c r="AJ318" s="223" t="s">
        <v>341</v>
      </c>
      <c r="AK318" s="223" t="s">
        <v>341</v>
      </c>
      <c r="AL318" s="230" t="s">
        <v>341</v>
      </c>
      <c r="AM318" s="231"/>
      <c r="AN318" s="231"/>
      <c r="AO318" s="231">
        <f t="shared" si="61"/>
        <v>0</v>
      </c>
      <c r="AP318" s="231"/>
      <c r="AQ318" s="231"/>
      <c r="AR318" s="231"/>
      <c r="AS318" s="231"/>
      <c r="AT318" s="231">
        <f t="shared" si="56"/>
        <v>0</v>
      </c>
      <c r="AU318" s="231"/>
      <c r="AV318" s="231"/>
      <c r="AW318" s="232"/>
      <c r="AX318" s="308" t="s">
        <v>1903</v>
      </c>
      <c r="AY318" s="232"/>
      <c r="AZ318" s="232"/>
      <c r="BA318" s="221"/>
      <c r="BB318" s="221"/>
      <c r="BC318" s="233"/>
      <c r="BF318" s="51"/>
    </row>
    <row r="319" spans="1:58" ht="13.5" customHeight="1">
      <c r="A319" s="220">
        <f t="shared" si="54"/>
        <v>318</v>
      </c>
      <c r="B319" s="221" t="s">
        <v>1573</v>
      </c>
      <c r="C319" s="221" t="s">
        <v>1574</v>
      </c>
      <c r="D319" s="221" t="s">
        <v>365</v>
      </c>
      <c r="E319" s="221" t="s">
        <v>1575</v>
      </c>
      <c r="F319" s="221" t="s">
        <v>1693</v>
      </c>
      <c r="G319" s="222" t="s">
        <v>1904</v>
      </c>
      <c r="H319" s="221" t="s">
        <v>411</v>
      </c>
      <c r="I319" s="221" t="s">
        <v>1905</v>
      </c>
      <c r="J319" s="221" t="s">
        <v>1906</v>
      </c>
      <c r="K319" s="221" t="s">
        <v>1907</v>
      </c>
      <c r="L319" s="307">
        <v>-7486915436172980</v>
      </c>
      <c r="M319" s="307">
        <v>1.10318985337494E+16</v>
      </c>
      <c r="N319" s="223" t="s">
        <v>228</v>
      </c>
      <c r="O319" s="230" t="s">
        <v>229</v>
      </c>
      <c r="P319" s="224">
        <f t="shared" si="62"/>
        <v>0</v>
      </c>
      <c r="Q319" s="225">
        <v>0.95</v>
      </c>
      <c r="R319" s="225">
        <v>0.92</v>
      </c>
      <c r="S319" s="225">
        <f t="shared" si="64"/>
        <v>-2.9999999999999916E-2</v>
      </c>
      <c r="T319" s="225" t="str" cm="1">
        <f t="array" ref="T319">+_xlfn.IFS($P319&lt;=10000000000,IF(S319&gt;-0.05,"Verde",IF(S319&lt;=-0.1,"Rojo","Amarillo")),$P319&gt;10000000000,IF(S319&gt;-0.03,"Verde",IF(S319&lt;=-0.07,"Rojo","Amarillo")))</f>
        <v>Verde</v>
      </c>
      <c r="U319" s="226" t="s">
        <v>25</v>
      </c>
      <c r="V319" s="226" t="s">
        <v>25</v>
      </c>
      <c r="W319" s="226"/>
      <c r="X319" s="226"/>
      <c r="Y319" s="272">
        <v>45931</v>
      </c>
      <c r="Z319" s="225" t="str">
        <f t="shared" ca="1" si="63"/>
        <v>En_Ejecución</v>
      </c>
      <c r="AA319" s="225" t="str">
        <f t="shared" ca="1" si="65"/>
        <v>-</v>
      </c>
      <c r="AB319" s="273" t="s">
        <v>128</v>
      </c>
      <c r="AC319" s="272"/>
      <c r="AD319" s="227">
        <v>45931</v>
      </c>
      <c r="AE319" s="221" t="s">
        <v>25</v>
      </c>
      <c r="AF319" s="223" t="s">
        <v>341</v>
      </c>
      <c r="AG319" s="223" t="s">
        <v>341</v>
      </c>
      <c r="AH319" s="223" t="s">
        <v>341</v>
      </c>
      <c r="AI319" s="221" t="s">
        <v>341</v>
      </c>
      <c r="AJ319" s="223" t="s">
        <v>341</v>
      </c>
      <c r="AK319" s="223" t="s">
        <v>341</v>
      </c>
      <c r="AL319" s="230" t="s">
        <v>341</v>
      </c>
      <c r="AM319" s="231"/>
      <c r="AN319" s="231"/>
      <c r="AO319" s="231">
        <f t="shared" si="61"/>
        <v>0</v>
      </c>
      <c r="AP319" s="231"/>
      <c r="AQ319" s="231"/>
      <c r="AR319" s="231"/>
      <c r="AS319" s="231"/>
      <c r="AT319" s="231">
        <f t="shared" si="56"/>
        <v>0</v>
      </c>
      <c r="AU319" s="231"/>
      <c r="AV319" s="231"/>
      <c r="AW319" s="232"/>
      <c r="AX319" s="308" t="s">
        <v>1908</v>
      </c>
      <c r="AY319" s="232"/>
      <c r="AZ319" s="232"/>
      <c r="BA319" s="221"/>
      <c r="BB319" s="221"/>
      <c r="BC319" s="233"/>
      <c r="BF319" s="51"/>
    </row>
    <row r="320" spans="1:58" ht="13.5" customHeight="1">
      <c r="A320" s="220">
        <f t="shared" si="54"/>
        <v>319</v>
      </c>
      <c r="B320" s="221" t="s">
        <v>1573</v>
      </c>
      <c r="C320" s="221" t="s">
        <v>1574</v>
      </c>
      <c r="D320" s="221" t="s">
        <v>365</v>
      </c>
      <c r="E320" s="221" t="s">
        <v>1575</v>
      </c>
      <c r="F320" s="221" t="s">
        <v>1576</v>
      </c>
      <c r="G320" s="222" t="s">
        <v>1909</v>
      </c>
      <c r="H320" s="221" t="s">
        <v>163</v>
      </c>
      <c r="I320" s="221" t="s">
        <v>1772</v>
      </c>
      <c r="J320" s="221" t="s">
        <v>1910</v>
      </c>
      <c r="K320" s="221" t="s">
        <v>1911</v>
      </c>
      <c r="L320" s="307">
        <v>-7482859547631980</v>
      </c>
      <c r="M320" s="307">
        <v>1.09341698749644E+16</v>
      </c>
      <c r="N320" s="223" t="s">
        <v>228</v>
      </c>
      <c r="O320" s="230" t="s">
        <v>229</v>
      </c>
      <c r="P320" s="224">
        <f t="shared" si="62"/>
        <v>6006873120</v>
      </c>
      <c r="Q320" s="225">
        <v>0.45</v>
      </c>
      <c r="R320" s="225">
        <v>0.41670000000000001</v>
      </c>
      <c r="S320" s="225">
        <f t="shared" si="64"/>
        <v>-3.3299999999999996E-2</v>
      </c>
      <c r="T320" s="225" t="str" cm="1">
        <f t="array" ref="T320">+_xlfn.IFS($P320&lt;=10000000000,IF(S320&gt;-0.05,"Verde",IF(S320&lt;=-0.1,"Rojo","Amarillo")),$P320&gt;10000000000,IF(S320&gt;-0.03,"Verde",IF(S320&lt;=-0.07,"Rojo","Amarillo")))</f>
        <v>Verde</v>
      </c>
      <c r="U320" s="226"/>
      <c r="V320" s="226"/>
      <c r="W320" s="226"/>
      <c r="X320" s="226"/>
      <c r="Y320" s="272">
        <v>46006</v>
      </c>
      <c r="Z320" s="225" t="str">
        <f t="shared" ca="1" si="63"/>
        <v>En_Ejecución</v>
      </c>
      <c r="AA320" s="225"/>
      <c r="AB320" s="273"/>
      <c r="AC320" s="272"/>
      <c r="AD320" s="227">
        <v>46006</v>
      </c>
      <c r="AE320" s="221" t="s">
        <v>2435</v>
      </c>
      <c r="AF320" s="223" t="s">
        <v>2436</v>
      </c>
      <c r="AG320" s="223"/>
      <c r="AH320" s="223" t="s">
        <v>2437</v>
      </c>
      <c r="AI320" s="221" t="s">
        <v>2438</v>
      </c>
      <c r="AJ320" s="223" t="s">
        <v>2439</v>
      </c>
      <c r="AK320" s="223"/>
      <c r="AL320" s="230" t="s">
        <v>2440</v>
      </c>
      <c r="AM320" s="231">
        <v>5641993120</v>
      </c>
      <c r="AN320" s="231">
        <v>0</v>
      </c>
      <c r="AO320" s="231">
        <f t="shared" si="61"/>
        <v>5641993120</v>
      </c>
      <c r="AP320" s="231"/>
      <c r="AQ320" s="231"/>
      <c r="AR320" s="231">
        <v>364880000</v>
      </c>
      <c r="AS320" s="231"/>
      <c r="AT320" s="231">
        <f t="shared" si="56"/>
        <v>364880000</v>
      </c>
      <c r="AU320" s="231"/>
      <c r="AV320" s="231"/>
      <c r="AW320" s="232"/>
      <c r="AX320" s="308"/>
      <c r="AY320" s="232"/>
      <c r="AZ320" s="232"/>
      <c r="BA320" s="221"/>
      <c r="BB320" s="221"/>
      <c r="BC320" s="233"/>
      <c r="BF320" s="51"/>
    </row>
    <row r="321" spans="1:58" ht="13.5" customHeight="1">
      <c r="A321" s="220">
        <f t="shared" si="54"/>
        <v>320</v>
      </c>
      <c r="B321" s="221" t="s">
        <v>1912</v>
      </c>
      <c r="C321" s="221">
        <v>20240911</v>
      </c>
      <c r="D321" s="221" t="s">
        <v>365</v>
      </c>
      <c r="E321" s="221" t="s">
        <v>607</v>
      </c>
      <c r="F321" s="221" t="s">
        <v>1547</v>
      </c>
      <c r="G321" s="222" t="s">
        <v>1566</v>
      </c>
      <c r="H321" s="221" t="s">
        <v>397</v>
      </c>
      <c r="I321" s="221" t="s">
        <v>1549</v>
      </c>
      <c r="J321" s="221" t="s">
        <v>1550</v>
      </c>
      <c r="K321" s="221" t="s">
        <v>1551</v>
      </c>
      <c r="L321" s="221">
        <v>-74.782242999999994</v>
      </c>
      <c r="M321" s="221">
        <v>10.985900000000001</v>
      </c>
      <c r="N321" s="223" t="s">
        <v>228</v>
      </c>
      <c r="O321" s="230" t="s">
        <v>229</v>
      </c>
      <c r="P321" s="224">
        <f t="shared" si="60"/>
        <v>2987996816</v>
      </c>
      <c r="Q321" s="225">
        <v>0.81499999999999995</v>
      </c>
      <c r="R321" s="225">
        <v>0.69</v>
      </c>
      <c r="S321" s="225">
        <f t="shared" si="57"/>
        <v>-0.125</v>
      </c>
      <c r="T321" s="225" t="str" cm="1">
        <f t="array" ref="T321">+_xlfn.IFS($P321&lt;=10000000000,IF(S321&gt;-0.05,"Verde",IF(S321&lt;=-0.1,"Rojo","Amarillo")),$P321&gt;10000000000,IF(S321&gt;-0.03,"Verde",IF(S321&lt;=-0.07,"Rojo","Amarillo")))</f>
        <v>Rojo</v>
      </c>
      <c r="U321" s="226">
        <v>45629</v>
      </c>
      <c r="V321" s="226">
        <v>45629</v>
      </c>
      <c r="W321" s="226">
        <v>45635</v>
      </c>
      <c r="X321" s="226">
        <v>45657</v>
      </c>
      <c r="Y321" s="272"/>
      <c r="Z321" s="225" t="str">
        <f t="shared" ca="1" si="63"/>
        <v>Rojo</v>
      </c>
      <c r="AA321" s="225" t="s">
        <v>124</v>
      </c>
      <c r="AB321" s="273"/>
      <c r="AC321" s="272"/>
      <c r="AD321" s="227">
        <v>45657</v>
      </c>
      <c r="AE321" s="221">
        <v>20240911</v>
      </c>
      <c r="AF321" s="223" t="s">
        <v>1572</v>
      </c>
      <c r="AG321" s="223" t="s">
        <v>341</v>
      </c>
      <c r="AH321" s="223" t="s">
        <v>1913</v>
      </c>
      <c r="AI321" s="221" t="s">
        <v>341</v>
      </c>
      <c r="AJ321" s="223" t="s">
        <v>1572</v>
      </c>
      <c r="AK321" s="223" t="s">
        <v>341</v>
      </c>
      <c r="AL321" s="230" t="s">
        <v>341</v>
      </c>
      <c r="AM321" s="231">
        <v>2034032926</v>
      </c>
      <c r="AN321" s="231">
        <v>953963890</v>
      </c>
      <c r="AO321" s="231">
        <f t="shared" si="59"/>
        <v>2987996816</v>
      </c>
      <c r="AP321" s="231">
        <v>1499557456</v>
      </c>
      <c r="AQ321" s="231">
        <v>0</v>
      </c>
      <c r="AR321" s="231">
        <v>0</v>
      </c>
      <c r="AS321" s="231">
        <v>0</v>
      </c>
      <c r="AT321" s="231">
        <f t="shared" si="56"/>
        <v>0</v>
      </c>
      <c r="AU321" s="231">
        <v>0</v>
      </c>
      <c r="AV321" s="231">
        <v>0</v>
      </c>
      <c r="AW321" s="232"/>
      <c r="AX321" s="232"/>
      <c r="AY321" s="232"/>
      <c r="AZ321" s="232"/>
      <c r="BA321" s="221"/>
      <c r="BB321" s="221"/>
      <c r="BC321" s="233" t="s">
        <v>364</v>
      </c>
      <c r="BF321" s="51"/>
    </row>
    <row r="322" spans="1:58" ht="13.5" customHeight="1">
      <c r="A322" s="220">
        <f t="shared" si="54"/>
        <v>321</v>
      </c>
      <c r="B322" s="221" t="s">
        <v>1912</v>
      </c>
      <c r="C322" s="221" t="s">
        <v>1917</v>
      </c>
      <c r="D322" s="221" t="s">
        <v>365</v>
      </c>
      <c r="E322" s="221" t="s">
        <v>607</v>
      </c>
      <c r="F322" s="221" t="s">
        <v>1547</v>
      </c>
      <c r="G322" s="222" t="s">
        <v>1914</v>
      </c>
      <c r="H322" s="221" t="s">
        <v>397</v>
      </c>
      <c r="I322" s="221" t="s">
        <v>1549</v>
      </c>
      <c r="J322" s="221" t="s">
        <v>1915</v>
      </c>
      <c r="K322" s="221" t="s">
        <v>1916</v>
      </c>
      <c r="L322" s="221">
        <v>-74.787550999999993</v>
      </c>
      <c r="M322" s="221">
        <v>10.986794</v>
      </c>
      <c r="N322" s="223" t="s">
        <v>228</v>
      </c>
      <c r="O322" s="230" t="s">
        <v>229</v>
      </c>
      <c r="P322" s="224">
        <f t="shared" si="60"/>
        <v>1215560543.3299999</v>
      </c>
      <c r="Q322" s="225">
        <v>0.99</v>
      </c>
      <c r="R322" s="225">
        <v>1</v>
      </c>
      <c r="S322" s="225">
        <f t="shared" si="57"/>
        <v>1.0000000000000009E-2</v>
      </c>
      <c r="T322" s="225" t="str" cm="1">
        <f t="array" ref="T322">+_xlfn.IFS($P322&lt;=10000000000,IF(S322&gt;-0.05,"Verde",IF(S322&lt;=-0.1,"Rojo","Amarillo")),$P322&gt;10000000000,IF(S322&gt;-0.03,"Verde",IF(S322&lt;=-0.07,"Rojo","Amarillo")))</f>
        <v>Verde</v>
      </c>
      <c r="U322" s="226">
        <v>45275</v>
      </c>
      <c r="V322" s="226">
        <v>45282</v>
      </c>
      <c r="W322" s="226">
        <v>45288</v>
      </c>
      <c r="X322" s="226">
        <v>45291</v>
      </c>
      <c r="Y322" s="272">
        <v>45611</v>
      </c>
      <c r="Z322" s="225" t="str">
        <f t="shared" ca="1" si="63"/>
        <v>En_Ejecución</v>
      </c>
      <c r="AA322" s="225" t="str">
        <f ca="1">+IF(AND(Z322="Amarillo",T322="Rojo"),"En_Seguimiento",IF(AND(Z322="Rojo",T322="Amarillo"),"En_Seguimiento",IF(AND(Z322="Rojo",T322="Rojo"),"En_Seguimiento",IF(AND(Z322="Suspendido",T322="Amarillo"),"En_Seguimiento",IF(AND(Z322="Suspendido",T322="Rojo"),"En_Seguimiento","-")))))</f>
        <v>-</v>
      </c>
      <c r="AB322" s="273"/>
      <c r="AC322" s="272"/>
      <c r="AD322" s="227">
        <v>45611</v>
      </c>
      <c r="AE322" s="221" t="s">
        <v>1917</v>
      </c>
      <c r="AF322" s="223" t="s">
        <v>1918</v>
      </c>
      <c r="AG322" s="223" t="s">
        <v>1919</v>
      </c>
      <c r="AH322" s="223" t="s">
        <v>1920</v>
      </c>
      <c r="AI322" s="221" t="s">
        <v>1921</v>
      </c>
      <c r="AJ322" s="223" t="s">
        <v>1922</v>
      </c>
      <c r="AK322" s="223" t="s">
        <v>1923</v>
      </c>
      <c r="AL322" s="230" t="s">
        <v>1924</v>
      </c>
      <c r="AM322" s="231">
        <v>602944628</v>
      </c>
      <c r="AN322" s="231">
        <v>253716672</v>
      </c>
      <c r="AO322" s="231">
        <f t="shared" si="59"/>
        <v>856661300</v>
      </c>
      <c r="AP322" s="231">
        <v>856661300</v>
      </c>
      <c r="AQ322" s="231">
        <v>856661300</v>
      </c>
      <c r="AR322" s="231">
        <v>50896700</v>
      </c>
      <c r="AS322" s="231">
        <v>308002543.32999998</v>
      </c>
      <c r="AT322" s="231">
        <f t="shared" si="56"/>
        <v>358899243.32999998</v>
      </c>
      <c r="AU322" s="231">
        <v>358899243.32999998</v>
      </c>
      <c r="AV322" s="231">
        <v>358899243.32999998</v>
      </c>
      <c r="AW322" s="232" t="s">
        <v>1925</v>
      </c>
      <c r="AX322" s="232" t="s">
        <v>1926</v>
      </c>
      <c r="AY322" s="232"/>
      <c r="AZ322" s="232"/>
      <c r="BA322" s="221"/>
      <c r="BB322" s="221"/>
      <c r="BC322" s="233" t="s">
        <v>128</v>
      </c>
      <c r="BF322" s="51"/>
    </row>
    <row r="323" spans="1:58" ht="13.5" customHeight="1">
      <c r="A323" s="220">
        <f t="shared" si="54"/>
        <v>322</v>
      </c>
      <c r="B323" s="221" t="s">
        <v>1912</v>
      </c>
      <c r="C323" s="221">
        <v>20240949</v>
      </c>
      <c r="D323" s="221" t="s">
        <v>365</v>
      </c>
      <c r="E323" s="221" t="s">
        <v>607</v>
      </c>
      <c r="F323" s="221" t="s">
        <v>1547</v>
      </c>
      <c r="G323" s="222" t="s">
        <v>1927</v>
      </c>
      <c r="H323" s="221" t="s">
        <v>163</v>
      </c>
      <c r="I323" s="221" t="s">
        <v>1928</v>
      </c>
      <c r="J323" s="221" t="s">
        <v>1929</v>
      </c>
      <c r="K323" s="221" t="s">
        <v>1930</v>
      </c>
      <c r="L323" s="221">
        <v>-74.782511999999997</v>
      </c>
      <c r="M323" s="221">
        <v>10.92094</v>
      </c>
      <c r="N323" s="223" t="s">
        <v>228</v>
      </c>
      <c r="O323" s="230" t="s">
        <v>229</v>
      </c>
      <c r="P323" s="224">
        <f t="shared" si="60"/>
        <v>1784956664</v>
      </c>
      <c r="Q323" s="225">
        <v>0.45669999999999999</v>
      </c>
      <c r="R323" s="225">
        <v>0.43730000000000002</v>
      </c>
      <c r="S323" s="225">
        <f t="shared" si="57"/>
        <v>-1.9399999999999973E-2</v>
      </c>
      <c r="T323" s="225" t="str" cm="1">
        <f t="array" ref="T323">+_xlfn.IFS($P323&lt;=10000000000,IF(S323&gt;-0.05,"Verde",IF(S323&lt;=-0.1,"Rojo","Amarillo")),$P323&gt;10000000000,IF(S323&gt;-0.03,"Verde",IF(S323&lt;=-0.07,"Rojo","Amarillo")))</f>
        <v>Verde</v>
      </c>
      <c r="U323" s="226">
        <v>45636</v>
      </c>
      <c r="V323" s="226">
        <v>45637</v>
      </c>
      <c r="W323" s="226">
        <v>45653</v>
      </c>
      <c r="X323" s="226">
        <v>45657</v>
      </c>
      <c r="Y323" s="272">
        <v>45951</v>
      </c>
      <c r="Z323" s="225" t="str">
        <f t="shared" ca="1" si="63"/>
        <v>En_Ejecución</v>
      </c>
      <c r="AA323" s="225" t="str">
        <f ca="1">+IF(AND(Z323="Amarillo",T323="Rojo"),"En_Seguimiento",IF(AND(Z323="Rojo",T323="Amarillo"),"En_Seguimiento",IF(AND(Z323="Rojo",T323="Rojo"),"En_Seguimiento",IF(AND(Z323="Suspendido",T323="Amarillo"),"En_Seguimiento",IF(AND(Z323="Suspendido",T323="Rojo"),"En_Seguimiento","-")))))</f>
        <v>-</v>
      </c>
      <c r="AB323" s="273"/>
      <c r="AC323" s="272"/>
      <c r="AD323" s="227">
        <v>45951</v>
      </c>
      <c r="AE323" s="221">
        <v>20240949</v>
      </c>
      <c r="AF323" s="223" t="s">
        <v>1931</v>
      </c>
      <c r="AG323" s="223" t="s">
        <v>341</v>
      </c>
      <c r="AH323" s="223" t="s">
        <v>1932</v>
      </c>
      <c r="AI323" s="221">
        <v>20240972</v>
      </c>
      <c r="AJ323" s="223" t="s">
        <v>1933</v>
      </c>
      <c r="AK323" s="223" t="s">
        <v>1934</v>
      </c>
      <c r="AL323" s="230" t="s">
        <v>1935</v>
      </c>
      <c r="AM323" s="231">
        <v>1001095374</v>
      </c>
      <c r="AN323" s="231">
        <v>478552331</v>
      </c>
      <c r="AO323" s="231">
        <f t="shared" si="59"/>
        <v>1479647705</v>
      </c>
      <c r="AP323" s="231">
        <v>0</v>
      </c>
      <c r="AQ323" s="231">
        <v>0</v>
      </c>
      <c r="AR323" s="231">
        <v>55430141</v>
      </c>
      <c r="AS323" s="231">
        <v>249878818</v>
      </c>
      <c r="AT323" s="231">
        <f t="shared" si="56"/>
        <v>305308959</v>
      </c>
      <c r="AU323" s="231">
        <v>0</v>
      </c>
      <c r="AV323" s="231">
        <v>0</v>
      </c>
      <c r="AW323" s="232"/>
      <c r="AX323" s="232"/>
      <c r="AY323" s="232"/>
      <c r="AZ323" s="232"/>
      <c r="BA323" s="221"/>
      <c r="BB323" s="221"/>
      <c r="BC323" s="233" t="s">
        <v>128</v>
      </c>
      <c r="BF323" s="51"/>
    </row>
    <row r="324" spans="1:58" ht="13.5" customHeight="1">
      <c r="A324" s="220">
        <f t="shared" si="54"/>
        <v>323</v>
      </c>
      <c r="B324" s="221" t="s">
        <v>1912</v>
      </c>
      <c r="C324" s="221">
        <v>20250380</v>
      </c>
      <c r="D324" s="221" t="s">
        <v>365</v>
      </c>
      <c r="E324" s="221" t="s">
        <v>607</v>
      </c>
      <c r="F324" s="221" t="s">
        <v>1547</v>
      </c>
      <c r="G324" s="335" t="s">
        <v>1561</v>
      </c>
      <c r="H324" s="221" t="s">
        <v>397</v>
      </c>
      <c r="I324" s="221" t="s">
        <v>1549</v>
      </c>
      <c r="J324" s="221" t="s">
        <v>1550</v>
      </c>
      <c r="K324" s="221" t="s">
        <v>1551</v>
      </c>
      <c r="L324" s="221">
        <v>-74.782242999999994</v>
      </c>
      <c r="M324" s="221">
        <v>10.985900000000001</v>
      </c>
      <c r="N324" s="223" t="s">
        <v>228</v>
      </c>
      <c r="O324" s="230" t="s">
        <v>229</v>
      </c>
      <c r="P324" s="224">
        <f t="shared" si="60"/>
        <v>5000000</v>
      </c>
      <c r="Q324" s="225">
        <v>0.3</v>
      </c>
      <c r="R324" s="225">
        <v>0.35</v>
      </c>
      <c r="S324" s="225">
        <f t="shared" si="57"/>
        <v>4.9999999999999989E-2</v>
      </c>
      <c r="T324" s="225" t="str">
        <f t="array" ref="T324">+_xlfn.IFS($P324&lt;=10000000000,IF(S324&gt;-0.05,"Verde",IF(S324&lt;=-0.1,"Rojo","Amarillo")),$P324&gt;10000000000,IF(S324&gt;-0.03,"Verde",IF(S324&lt;=-0.07,"Rojo","Amarillo")))</f>
        <v>Verde</v>
      </c>
      <c r="U324" s="336">
        <v>45840</v>
      </c>
      <c r="V324" s="336">
        <v>45754</v>
      </c>
      <c r="W324" s="336">
        <v>45754</v>
      </c>
      <c r="X324" s="336">
        <v>45937</v>
      </c>
      <c r="Y324" s="272"/>
      <c r="Z324" s="225" t="str">
        <f t="shared" ca="1" si="63"/>
        <v>En_Ejecución</v>
      </c>
      <c r="AA324" s="225" t="s">
        <v>124</v>
      </c>
      <c r="AB324" s="273"/>
      <c r="AC324" s="272"/>
      <c r="AD324" s="227">
        <v>45657</v>
      </c>
      <c r="AE324" s="221">
        <v>20250380</v>
      </c>
      <c r="AF324" s="223" t="s">
        <v>1572</v>
      </c>
      <c r="AG324" s="223" t="s">
        <v>341</v>
      </c>
      <c r="AH324" s="223" t="s">
        <v>1913</v>
      </c>
      <c r="AI324" s="221" t="s">
        <v>341</v>
      </c>
      <c r="AJ324" s="223" t="s">
        <v>1572</v>
      </c>
      <c r="AK324" s="223" t="s">
        <v>341</v>
      </c>
      <c r="AL324" s="230" t="s">
        <v>341</v>
      </c>
      <c r="AM324" s="231">
        <v>5000000</v>
      </c>
      <c r="AN324" s="231">
        <v>0</v>
      </c>
      <c r="AO324" s="231">
        <f>AM324+AN324</f>
        <v>5000000</v>
      </c>
      <c r="AP324" s="231">
        <v>0</v>
      </c>
      <c r="AQ324" s="231">
        <v>0</v>
      </c>
      <c r="AR324" s="231">
        <v>0</v>
      </c>
      <c r="AS324" s="231">
        <v>0</v>
      </c>
      <c r="AT324" s="231">
        <f t="shared" si="56"/>
        <v>0</v>
      </c>
      <c r="AU324" s="231">
        <v>0</v>
      </c>
      <c r="AV324" s="231">
        <v>0</v>
      </c>
      <c r="AW324" s="232"/>
      <c r="AX324" s="232"/>
      <c r="AY324" s="232"/>
      <c r="AZ324" s="232"/>
      <c r="BA324" s="221"/>
      <c r="BB324" s="221"/>
      <c r="BC324" s="233" t="s">
        <v>364</v>
      </c>
      <c r="BF324" s="51"/>
    </row>
    <row r="325" spans="1:58" ht="13.5" customHeight="1">
      <c r="A325" s="220">
        <f t="shared" si="54"/>
        <v>324</v>
      </c>
      <c r="B325" s="221" t="s">
        <v>1912</v>
      </c>
      <c r="C325" s="221" t="s">
        <v>25</v>
      </c>
      <c r="D325" s="221" t="s">
        <v>365</v>
      </c>
      <c r="E325" s="221" t="s">
        <v>607</v>
      </c>
      <c r="F325" s="221" t="s">
        <v>1547</v>
      </c>
      <c r="G325" s="222" t="s">
        <v>1936</v>
      </c>
      <c r="H325" s="221" t="s">
        <v>163</v>
      </c>
      <c r="I325" s="221" t="s">
        <v>1928</v>
      </c>
      <c r="J325" s="221" t="s">
        <v>1929</v>
      </c>
      <c r="K325" s="221" t="s">
        <v>1930</v>
      </c>
      <c r="L325" s="221">
        <v>-74.782511999999997</v>
      </c>
      <c r="M325" s="221">
        <v>10.92094</v>
      </c>
      <c r="N325" s="223" t="s">
        <v>1506</v>
      </c>
      <c r="O325" s="230" t="s">
        <v>1536</v>
      </c>
      <c r="P325" s="224">
        <f t="shared" si="60"/>
        <v>0</v>
      </c>
      <c r="Q325" s="225">
        <v>0</v>
      </c>
      <c r="R325" s="225">
        <v>0</v>
      </c>
      <c r="S325" s="225">
        <f t="shared" si="57"/>
        <v>0</v>
      </c>
      <c r="T325" s="225" t="str" cm="1">
        <f t="array" ref="T325">+_xlfn.IFS($P325&lt;=10000000000,IF(S325&gt;-0.05,"Verde",IF(S325&lt;=-0.1,"Rojo","Amarillo")),$P325&gt;10000000000,IF(S325&gt;-0.03,"Verde",IF(S325&lt;=-0.07,"Rojo","Amarillo")))</f>
        <v>Verde</v>
      </c>
      <c r="U325" s="226"/>
      <c r="V325" s="226"/>
      <c r="W325" s="226"/>
      <c r="X325" s="226"/>
      <c r="Y325" s="272"/>
      <c r="Z325" s="225" t="str">
        <f t="shared" ca="1" si="63"/>
        <v>Proyecto_Fase_III_Diseños_definitivos_y_detalles</v>
      </c>
      <c r="AA325" s="225" t="str">
        <f ca="1">+IF(AND(Z325="Amarillo",T325="Rojo"),"En_Seguimiento",IF(AND(Z325="Rojo",T325="Amarillo"),"En_Seguimiento",IF(AND(Z325="Rojo",T325="Rojo"),"En_Seguimiento",IF(AND(Z325="Suspendido",T325="Amarillo"),"En_Seguimiento",IF(AND(Z325="Suspendido",T325="Rojo"),"En_Seguimiento","-")))))</f>
        <v>-</v>
      </c>
      <c r="AB325" s="273"/>
      <c r="AC325" s="272"/>
      <c r="AD325" s="227"/>
      <c r="AE325" s="221" t="s">
        <v>25</v>
      </c>
      <c r="AF325" s="223" t="s">
        <v>341</v>
      </c>
      <c r="AG325" s="223" t="s">
        <v>341</v>
      </c>
      <c r="AH325" s="223" t="s">
        <v>341</v>
      </c>
      <c r="AI325" s="221" t="s">
        <v>341</v>
      </c>
      <c r="AJ325" s="223" t="s">
        <v>341</v>
      </c>
      <c r="AK325" s="223" t="s">
        <v>341</v>
      </c>
      <c r="AL325" s="230" t="s">
        <v>341</v>
      </c>
      <c r="AM325" s="231">
        <v>0</v>
      </c>
      <c r="AN325" s="231">
        <v>0</v>
      </c>
      <c r="AO325" s="231">
        <f t="shared" si="59"/>
        <v>0</v>
      </c>
      <c r="AP325" s="231">
        <v>0</v>
      </c>
      <c r="AQ325" s="231">
        <v>0</v>
      </c>
      <c r="AR325" s="231">
        <v>0</v>
      </c>
      <c r="AS325" s="231">
        <v>0</v>
      </c>
      <c r="AT325" s="231">
        <f t="shared" si="56"/>
        <v>0</v>
      </c>
      <c r="AU325" s="231">
        <v>0</v>
      </c>
      <c r="AV325" s="231">
        <v>0</v>
      </c>
      <c r="AW325" s="232"/>
      <c r="AX325" s="232"/>
      <c r="AY325" s="232"/>
      <c r="AZ325" s="232"/>
      <c r="BA325" s="221" t="s">
        <v>1937</v>
      </c>
      <c r="BB325" s="221"/>
      <c r="BC325" s="233" t="s">
        <v>128</v>
      </c>
      <c r="BF325" s="51"/>
    </row>
    <row r="326" spans="1:58" ht="12.5">
      <c r="H326" s="50"/>
      <c r="I326" s="50"/>
      <c r="J326" s="50"/>
      <c r="K326" s="50"/>
      <c r="L326" s="50"/>
      <c r="M326" s="50"/>
      <c r="N326" s="50"/>
      <c r="O326" s="50"/>
      <c r="P326" s="180"/>
      <c r="Q326" s="61"/>
      <c r="R326" s="50"/>
      <c r="S326" s="50"/>
      <c r="T326" s="50"/>
      <c r="U326" s="50"/>
      <c r="V326" s="50"/>
      <c r="W326" s="50"/>
      <c r="X326" s="50"/>
      <c r="Y326" s="50"/>
      <c r="Z326" s="61"/>
      <c r="AA326" s="50"/>
      <c r="AB326" s="50"/>
      <c r="AC326" s="50"/>
      <c r="AD326" s="50"/>
      <c r="BA326" s="179"/>
      <c r="BB326" s="179"/>
    </row>
  </sheetData>
  <autoFilter ref="A1:BF325" xr:uid="{CC5A8AA0-3D89-43DF-813C-2626ABCC0E5A}"/>
  <phoneticPr fontId="4" type="noConversion"/>
  <conditionalFormatting sqref="A2:A325">
    <cfRule type="duplicateValues" dxfId="40" priority="3252"/>
  </conditionalFormatting>
  <conditionalFormatting sqref="E2:F325">
    <cfRule type="containsBlanks" dxfId="39" priority="2">
      <formula>LEN(TRIM(E2))=0</formula>
    </cfRule>
  </conditionalFormatting>
  <conditionalFormatting sqref="G313:G320">
    <cfRule type="duplicateValues" dxfId="38" priority="49"/>
  </conditionalFormatting>
  <conditionalFormatting sqref="G321:G323 G49:G312 G325">
    <cfRule type="duplicateValues" dxfId="37" priority="61"/>
  </conditionalFormatting>
  <conditionalFormatting sqref="J28:J48">
    <cfRule type="duplicateValues" dxfId="36" priority="31"/>
  </conditionalFormatting>
  <conditionalFormatting sqref="O2:O325">
    <cfRule type="containsText" dxfId="35" priority="1" operator="containsText" text="Suspendido">
      <formula>NOT(ISERROR(SEARCH("Suspendido",O2)))</formula>
    </cfRule>
  </conditionalFormatting>
  <conditionalFormatting sqref="T2:T325 AA324">
    <cfRule type="containsText" dxfId="34" priority="13" operator="containsText" text="Amarillo">
      <formula>NOT(ISERROR(SEARCH("Amarillo",T2)))</formula>
    </cfRule>
    <cfRule type="containsText" dxfId="33" priority="14" operator="containsText" text="Rojo">
      <formula>NOT(ISERROR(SEARCH("Rojo",T2)))</formula>
    </cfRule>
  </conditionalFormatting>
  <conditionalFormatting sqref="T324 AA324">
    <cfRule type="containsText" dxfId="32" priority="9" operator="containsText" text="Verde">
      <formula>NOT(ISERROR(SEARCH("Verde",T324)))</formula>
    </cfRule>
  </conditionalFormatting>
  <conditionalFormatting sqref="T324">
    <cfRule type="containsText" dxfId="31" priority="7" operator="containsText" text="Amarillo">
      <formula>NOT(ISERROR(SEARCH("Amarillo",T324)))</formula>
    </cfRule>
    <cfRule type="containsText" dxfId="30" priority="8" operator="containsText" text="Rojo">
      <formula>NOT(ISERROR(SEARCH("Rojo",T324)))</formula>
    </cfRule>
  </conditionalFormatting>
  <conditionalFormatting sqref="Z2:Z325">
    <cfRule type="containsText" dxfId="29" priority="21" operator="containsText" text="En_Convocatoria">
      <formula>NOT(ISERROR(SEARCH("En_Convocatoria",Z2)))</formula>
    </cfRule>
    <cfRule type="containsText" dxfId="28" priority="22" operator="containsText" text="Entregado">
      <formula>NOT(ISERROR(SEARCH("Entregado",Z2)))</formula>
    </cfRule>
    <cfRule type="containsText" dxfId="27" priority="23" operator="containsText" text="Suspendido">
      <formula>NOT(ISERROR(SEARCH("Suspendido",Z2)))</formula>
    </cfRule>
  </conditionalFormatting>
  <conditionalFormatting sqref="Z319:Z325">
    <cfRule type="containsText" dxfId="26" priority="29" operator="containsText" text="Verde">
      <formula>NOT(ISERROR(SEARCH("Verde",Z319)))</formula>
    </cfRule>
  </conditionalFormatting>
  <conditionalFormatting sqref="Z2:AB48">
    <cfRule type="containsText" dxfId="25" priority="27" operator="containsText" text="Amarillo">
      <formula>NOT(ISERROR(SEARCH("Amarillo",Z2)))</formula>
    </cfRule>
    <cfRule type="containsText" dxfId="24" priority="28" operator="containsText" text="Rojo">
      <formula>NOT(ISERROR(SEARCH("Rojo",Z2)))</formula>
    </cfRule>
  </conditionalFormatting>
  <conditionalFormatting sqref="Z2:AB318">
    <cfRule type="containsText" dxfId="23" priority="26" operator="containsText" text="Verde">
      <formula>NOT(ISERROR(SEARCH("Verde",Z2)))</formula>
    </cfRule>
  </conditionalFormatting>
  <conditionalFormatting sqref="Z49:AB318 Z319:Z325">
    <cfRule type="containsText" dxfId="22" priority="24" operator="containsText" text="Amarillo">
      <formula>NOT(ISERROR(SEARCH("Amarillo",Z49)))</formula>
    </cfRule>
    <cfRule type="containsText" dxfId="21" priority="25" operator="containsText" text="Rojo">
      <formula>NOT(ISERROR(SEARCH("Rojo",Z49)))</formula>
    </cfRule>
  </conditionalFormatting>
  <conditionalFormatting sqref="Z313:AB318 AA319:AB320 Z319:Z325">
    <cfRule type="containsText" dxfId="20" priority="33" operator="containsText" text="Amarillo">
      <formula>NOT(ISERROR(SEARCH("Amarillo",Z313)))</formula>
    </cfRule>
    <cfRule type="containsText" dxfId="19" priority="34" operator="containsText" text="Rojo">
      <formula>NOT(ISERROR(SEARCH("Rojo",Z313)))</formula>
    </cfRule>
  </conditionalFormatting>
  <conditionalFormatting sqref="AA324">
    <cfRule type="containsText" dxfId="18" priority="3" operator="containsText" text="En_Seguimiento">
      <formula>NOT(ISERROR(SEARCH("En_Seguimiento",AA324)))</formula>
    </cfRule>
    <cfRule type="containsText" dxfId="17" priority="17" operator="containsText" text="En_Seguimiento">
      <formula>NOT(ISERROR(SEARCH("En_Seguimiento",AA324)))</formula>
    </cfRule>
  </conditionalFormatting>
  <conditionalFormatting sqref="AA2:AB323 AB324 AA325:AB325">
    <cfRule type="containsText" dxfId="16" priority="30" operator="containsText" text="En_Seguimiento">
      <formula>NOT(ISERROR(SEARCH("En_Seguimiento",AA2)))</formula>
    </cfRule>
  </conditionalFormatting>
  <conditionalFormatting sqref="AA313:AB320">
    <cfRule type="containsText" dxfId="15" priority="35" operator="containsText" text="En_Seguimiento">
      <formula>NOT(ISERROR(SEARCH("En_Seguimiento",AA313)))</formula>
    </cfRule>
  </conditionalFormatting>
  <conditionalFormatting sqref="AA319:AB325 T2:T325">
    <cfRule type="containsText" dxfId="14" priority="18" operator="containsText" text="Verde">
      <formula>NOT(ISERROR(SEARCH("Verde",T2)))</formula>
    </cfRule>
  </conditionalFormatting>
  <conditionalFormatting sqref="AA319:AB325">
    <cfRule type="containsText" dxfId="13" priority="15" operator="containsText" text="Amarillo">
      <formula>NOT(ISERROR(SEARCH("Amarillo",AA319)))</formula>
    </cfRule>
    <cfRule type="containsText" dxfId="12" priority="16" operator="containsText" text="Rojo">
      <formula>NOT(ISERROR(SEARCH("Rojo",AA319)))</formula>
    </cfRule>
  </conditionalFormatting>
  <conditionalFormatting sqref="BF49:BF325">
    <cfRule type="duplicateValues" dxfId="11" priority="3233"/>
  </conditionalFormatting>
  <dataValidations count="7">
    <dataValidation type="list" allowBlank="1" showInputMessage="1" showErrorMessage="1" sqref="F2:F8 F36" xr:uid="{8B875F6D-D1CB-F14A-92B2-9ABDFAA1ABAC}">
      <formula1>INDIRECT(#REF!)</formula1>
    </dataValidation>
    <dataValidation type="list" allowBlank="1" showInputMessage="1" showErrorMessage="1" sqref="F275:F301 F9:F35 F321:F325 F37:F249" xr:uid="{DEA4191F-BDCA-4857-A694-FD52656086F1}">
      <formula1>INDIRECT($E9)</formula1>
    </dataValidation>
    <dataValidation type="list" allowBlank="1" showInputMessage="1" showErrorMessage="1" sqref="AH70:AH71 AD55:AD57" xr:uid="{E2B9A6D2-1F6C-4169-8363-B43AB7579AE9}">
      <formula1>#REF!</formula1>
    </dataValidation>
    <dataValidation type="list" showInputMessage="1" showErrorMessage="1" sqref="O149 O144 O142" xr:uid="{4D852B82-7C14-40A2-83A2-1F5CBD240C39}">
      <formula1>INDIRECT($I142)</formula1>
    </dataValidation>
    <dataValidation type="list" showInputMessage="1" showErrorMessage="1" sqref="O145:O148 O143 O321:O325 O2:O141 O150:O319" xr:uid="{84614F56-DAE7-4629-B966-942DFC8B9ED4}">
      <formula1>INDIRECT($N2)</formula1>
    </dataValidation>
    <dataValidation type="list" allowBlank="1" showInputMessage="1" showErrorMessage="1" sqref="F310:F320" xr:uid="{B999010D-0D60-DE4D-BAF9-632A47AB7931}">
      <formula1>INDIRECT($E$237)</formula1>
    </dataValidation>
    <dataValidation type="list" allowBlank="1" showInputMessage="1" showErrorMessage="1" sqref="F250:F274 F302:F309" xr:uid="{5C14653A-2D8D-0345-A995-0D91FB451E2C}">
      <formula1>INDIRECT($E$250)</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EA1A0482-5B27-4EC4-BC02-C7793893756D}">
          <x14:formula1>
            <xm:f>Listas!$B$14:$B$17</xm:f>
          </x14:formula1>
          <xm:sqref>D2:D325</xm:sqref>
        </x14:dataValidation>
        <x14:dataValidation type="list" allowBlank="1" showInputMessage="1" showErrorMessage="1" xr:uid="{D61B2EE6-E626-4DD8-BEAA-0DB27B544219}">
          <x14:formula1>
            <xm:f>Listas!$R$3:$R$14</xm:f>
          </x14:formula1>
          <xm:sqref>E2:E325</xm:sqref>
        </x14:dataValidation>
        <x14:dataValidation type="list" allowBlank="1" showInputMessage="1" showErrorMessage="1" xr:uid="{B86BC2D5-3FF6-4F5C-B3FB-CEF4F628FCB7}">
          <x14:formula1>
            <xm:f>Listas!$D$3:$D$9</xm:f>
          </x14:formula1>
          <xm:sqref>H2:H325</xm:sqref>
        </x14:dataValidation>
        <x14:dataValidation type="list" allowBlank="1" showInputMessage="1" showErrorMessage="1" xr:uid="{A09977F1-CEC9-4364-A0A0-7E5B11C89A3D}">
          <x14:formula1>
            <xm:f>Listas!$F$3:$F$6</xm:f>
          </x14:formula1>
          <xm:sqref>N2:N325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D7D31"/>
  </sheetPr>
  <dimension ref="A1:BA344"/>
  <sheetViews>
    <sheetView showGridLines="0" zoomScale="70" zoomScaleNormal="70" zoomScaleSheetLayoutView="100" workbookViewId="0">
      <selection activeCell="A2" sqref="A2"/>
    </sheetView>
  </sheetViews>
  <sheetFormatPr baseColWidth="10" defaultColWidth="9" defaultRowHeight="13.5" customHeight="1" outlineLevelCol="1"/>
  <cols>
    <col min="1" max="1" width="18" style="50" customWidth="1" outlineLevel="1"/>
    <col min="2" max="2" width="19.08203125" style="50" customWidth="1" outlineLevel="1"/>
    <col min="3" max="4" width="29.08203125" style="50" customWidth="1" outlineLevel="1"/>
    <col min="5" max="5" width="18.08203125" style="50" customWidth="1" outlineLevel="1"/>
    <col min="6" max="6" width="21" style="50" customWidth="1" outlineLevel="1"/>
    <col min="7" max="7" width="56.08203125" style="61" customWidth="1"/>
    <col min="8" max="8" width="22.58203125" style="51" customWidth="1" outlineLevel="1"/>
    <col min="9" max="9" width="34.5" style="51" customWidth="1" outlineLevel="1"/>
    <col min="10" max="10" width="24.08203125" style="51" customWidth="1" outlineLevel="1"/>
    <col min="11" max="13" width="42.5" style="51" customWidth="1" outlineLevel="1"/>
    <col min="14" max="14" width="15.5" style="54" customWidth="1" outlineLevel="1"/>
    <col min="15" max="15" width="15.5" style="51" customWidth="1" outlineLevel="1"/>
    <col min="16" max="16" width="22.5" style="179" customWidth="1" outlineLevel="1"/>
    <col min="17" max="18" width="13.08203125" style="53" customWidth="1" outlineLevel="1"/>
    <col min="19" max="19" width="10.08203125" style="53" customWidth="1" outlineLevel="1"/>
    <col min="20" max="20" width="13" style="53" customWidth="1" outlineLevel="1"/>
    <col min="21" max="23" width="15.5" style="62" customWidth="1" outlineLevel="1"/>
    <col min="24" max="24" width="26.08203125" style="62" customWidth="1" outlineLevel="1"/>
    <col min="25" max="25" width="13.58203125" style="62" customWidth="1" outlineLevel="1"/>
    <col min="26" max="26" width="26.58203125" style="54" customWidth="1" outlineLevel="1"/>
    <col min="27" max="27" width="17.08203125" style="54" customWidth="1" outlineLevel="1"/>
    <col min="28" max="28" width="17.08203125" style="62" customWidth="1" outlineLevel="1"/>
    <col min="29" max="29" width="21.58203125" style="51" customWidth="1"/>
    <col min="30" max="30" width="44.5" style="51" customWidth="1" outlineLevel="1"/>
    <col min="31" max="31" width="65.08203125" style="54" customWidth="1" outlineLevel="1"/>
    <col min="32" max="32" width="38.08203125" style="54" customWidth="1" outlineLevel="1"/>
    <col min="33" max="33" width="23.58203125" style="51" customWidth="1"/>
    <col min="34" max="34" width="29" style="51" customWidth="1"/>
    <col min="35" max="35" width="39.5" style="54" customWidth="1"/>
    <col min="36" max="36" width="20.08203125" style="54" customWidth="1"/>
    <col min="37" max="37" width="20.58203125" style="179" customWidth="1"/>
    <col min="38" max="38" width="28.58203125" style="179" customWidth="1"/>
    <col min="39" max="39" width="20.08203125" style="179" customWidth="1"/>
    <col min="40" max="40" width="27.08203125" style="179" customWidth="1"/>
    <col min="41" max="41" width="26.08203125" style="179" customWidth="1"/>
    <col min="42" max="42" width="26.58203125" style="179" customWidth="1"/>
    <col min="43" max="43" width="35.08203125" style="179" customWidth="1"/>
    <col min="44" max="44" width="25.08203125" style="179" customWidth="1"/>
    <col min="45" max="45" width="33.58203125" style="179" customWidth="1"/>
    <col min="46" max="46" width="32.08203125" style="179" customWidth="1"/>
    <col min="47" max="50" width="28.08203125" style="179" customWidth="1"/>
    <col min="51" max="51" width="78.5" style="51" customWidth="1"/>
    <col min="52" max="52" width="44.5" style="51" customWidth="1"/>
    <col min="53" max="53" width="17.58203125" style="51" customWidth="1"/>
    <col min="54" max="16384" width="9" style="50"/>
  </cols>
  <sheetData>
    <row r="1" spans="1:53" s="55" customFormat="1" ht="56.15" customHeight="1">
      <c r="A1" s="189" t="s">
        <v>61</v>
      </c>
      <c r="B1" s="190" t="s">
        <v>62</v>
      </c>
      <c r="C1" s="190" t="s">
        <v>63</v>
      </c>
      <c r="D1" s="234" t="s">
        <v>64</v>
      </c>
      <c r="E1" s="190" t="s">
        <v>65</v>
      </c>
      <c r="F1" s="190" t="s">
        <v>66</v>
      </c>
      <c r="G1" s="191" t="s">
        <v>67</v>
      </c>
      <c r="H1" s="190" t="s">
        <v>68</v>
      </c>
      <c r="I1" s="190" t="s">
        <v>69</v>
      </c>
      <c r="J1" s="190" t="s">
        <v>70</v>
      </c>
      <c r="K1" s="190" t="s">
        <v>71</v>
      </c>
      <c r="L1" s="190" t="s">
        <v>72</v>
      </c>
      <c r="M1" s="190" t="s">
        <v>73</v>
      </c>
      <c r="N1" s="192" t="s">
        <v>74</v>
      </c>
      <c r="O1" s="192" t="s">
        <v>75</v>
      </c>
      <c r="P1" s="193" t="s">
        <v>76</v>
      </c>
      <c r="Q1" s="194" t="s">
        <v>77</v>
      </c>
      <c r="R1" s="194" t="s">
        <v>78</v>
      </c>
      <c r="S1" s="194" t="s">
        <v>79</v>
      </c>
      <c r="T1" s="194" t="s">
        <v>80</v>
      </c>
      <c r="U1" s="234" t="s">
        <v>81</v>
      </c>
      <c r="V1" s="234" t="s">
        <v>82</v>
      </c>
      <c r="W1" s="195" t="s">
        <v>83</v>
      </c>
      <c r="X1" s="195" t="s">
        <v>84</v>
      </c>
      <c r="Y1" s="195" t="s">
        <v>85</v>
      </c>
      <c r="Z1" s="196" t="s">
        <v>86</v>
      </c>
      <c r="AA1" s="196" t="s">
        <v>87</v>
      </c>
      <c r="AB1" s="197" t="s">
        <v>90</v>
      </c>
      <c r="AC1" s="190" t="s">
        <v>91</v>
      </c>
      <c r="AD1" s="190" t="s">
        <v>92</v>
      </c>
      <c r="AE1" s="196" t="s">
        <v>93</v>
      </c>
      <c r="AF1" s="196" t="s">
        <v>94</v>
      </c>
      <c r="AG1" s="190" t="s">
        <v>95</v>
      </c>
      <c r="AH1" s="190" t="s">
        <v>96</v>
      </c>
      <c r="AI1" s="196" t="s">
        <v>97</v>
      </c>
      <c r="AJ1" s="196" t="s">
        <v>98</v>
      </c>
      <c r="AK1" s="198" t="s">
        <v>99</v>
      </c>
      <c r="AL1" s="198" t="s">
        <v>100</v>
      </c>
      <c r="AM1" s="193" t="s">
        <v>101</v>
      </c>
      <c r="AN1" s="198" t="s">
        <v>102</v>
      </c>
      <c r="AO1" s="198" t="s">
        <v>103</v>
      </c>
      <c r="AP1" s="198" t="s">
        <v>104</v>
      </c>
      <c r="AQ1" s="198" t="s">
        <v>105</v>
      </c>
      <c r="AR1" s="193" t="s">
        <v>106</v>
      </c>
      <c r="AS1" s="198" t="s">
        <v>107</v>
      </c>
      <c r="AT1" s="198" t="s">
        <v>108</v>
      </c>
      <c r="AU1" s="234" t="s">
        <v>1938</v>
      </c>
      <c r="AV1" s="234" t="s">
        <v>110</v>
      </c>
      <c r="AW1" s="234" t="s">
        <v>111</v>
      </c>
      <c r="AX1" s="234" t="s">
        <v>112</v>
      </c>
      <c r="AY1" s="190" t="s">
        <v>113</v>
      </c>
      <c r="AZ1" s="199" t="s">
        <v>114</v>
      </c>
      <c r="BA1" s="199" t="s">
        <v>115</v>
      </c>
    </row>
    <row r="2" spans="1:53" ht="12.5">
      <c r="A2" s="60" t="e">
        <f>+'Proyectos Base digitable'!#REF!</f>
        <v>#REF!</v>
      </c>
      <c r="B2" s="56" t="e">
        <f>+'Proyectos Base digitable'!#REF!</f>
        <v>#REF!</v>
      </c>
      <c r="C2" s="56" t="e">
        <f>+'Proyectos Base digitable'!#REF!</f>
        <v>#REF!</v>
      </c>
      <c r="D2" s="56" t="e">
        <f>+'Proyectos Base digitable'!#REF!</f>
        <v>#REF!</v>
      </c>
      <c r="E2" s="56" t="e">
        <f>+'Proyectos Base digitable'!#REF!</f>
        <v>#REF!</v>
      </c>
      <c r="F2" s="56" t="e">
        <f>+'Proyectos Base digitable'!#REF!</f>
        <v>#REF!</v>
      </c>
      <c r="G2" s="57" t="e">
        <f>+'Proyectos Base digitable'!#REF!</f>
        <v>#REF!</v>
      </c>
      <c r="H2" s="56" t="e">
        <f>+'Proyectos Base digitable'!#REF!</f>
        <v>#REF!</v>
      </c>
      <c r="I2" s="56" t="e">
        <f>+'Proyectos Base digitable'!#REF!</f>
        <v>#REF!</v>
      </c>
      <c r="J2" s="56" t="e">
        <f>+'Proyectos Base digitable'!#REF!</f>
        <v>#REF!</v>
      </c>
      <c r="K2" s="56" t="e">
        <f>+'Proyectos Base digitable'!#REF!</f>
        <v>#REF!</v>
      </c>
      <c r="L2" s="56" t="e">
        <f>+'Proyectos Base digitable'!#REF!</f>
        <v>#REF!</v>
      </c>
      <c r="M2" s="56" t="e">
        <f>+'Proyectos Base digitable'!#REF!</f>
        <v>#REF!</v>
      </c>
      <c r="N2" s="52" t="e">
        <f>+'Proyectos Base digitable'!#REF!</f>
        <v>#REF!</v>
      </c>
      <c r="O2" s="52" t="e">
        <f>+'Proyectos Base digitable'!#REF!</f>
        <v>#REF!</v>
      </c>
      <c r="P2" s="185" t="e">
        <f>+'Proyectos Base digitable'!#REF!</f>
        <v>#REF!</v>
      </c>
      <c r="Q2" s="58" t="e">
        <f>+'Proyectos Base digitable'!#REF!</f>
        <v>#REF!</v>
      </c>
      <c r="R2" s="58" t="e">
        <f>+'Proyectos Base digitable'!#REF!</f>
        <v>#REF!</v>
      </c>
      <c r="S2" s="58" t="e">
        <f>+'Proyectos Base digitable'!#REF!</f>
        <v>#REF!</v>
      </c>
      <c r="T2" s="58" t="e">
        <f>+'Proyectos Base digitable'!#REF!</f>
        <v>#REF!</v>
      </c>
      <c r="U2" s="63" t="e">
        <f>'Proyectos Base digitable'!#REF!</f>
        <v>#REF!</v>
      </c>
      <c r="V2" s="63" t="e">
        <f>'Proyectos Base digitable'!#REF!</f>
        <v>#REF!</v>
      </c>
      <c r="W2" s="63" t="e">
        <f>'Proyectos Base digitable'!#REF!</f>
        <v>#REF!</v>
      </c>
      <c r="X2" s="63" t="e">
        <f>'Proyectos Base digitable'!#REF!</f>
        <v>#REF!</v>
      </c>
      <c r="Y2" s="63" t="e">
        <f>'Proyectos Base digitable'!#REF!</f>
        <v>#REF!</v>
      </c>
      <c r="Z2" s="58" t="e">
        <f>+'Proyectos Base digitable'!#REF!</f>
        <v>#REF!</v>
      </c>
      <c r="AA2" s="58" t="e">
        <f>+'Proyectos Base digitable'!#REF!</f>
        <v>#REF!</v>
      </c>
      <c r="AB2" s="63" t="e">
        <f>'Proyectos Base digitable'!#REF!</f>
        <v>#REF!</v>
      </c>
      <c r="AC2" s="56" t="e">
        <f>+'Proyectos Base digitable'!#REF!</f>
        <v>#REF!</v>
      </c>
      <c r="AD2" s="52" t="e">
        <f>+'Proyectos Base digitable'!#REF!</f>
        <v>#REF!</v>
      </c>
      <c r="AE2" s="52" t="e">
        <f>+'Proyectos Base digitable'!#REF!</f>
        <v>#REF!</v>
      </c>
      <c r="AF2" s="52" t="e">
        <f>+'Proyectos Base digitable'!#REF!</f>
        <v>#REF!</v>
      </c>
      <c r="AG2" s="56" t="e">
        <f>+'Proyectos Base digitable'!#REF!</f>
        <v>#REF!</v>
      </c>
      <c r="AH2" s="52" t="e">
        <f>+'Proyectos Base digitable'!#REF!</f>
        <v>#REF!</v>
      </c>
      <c r="AI2" s="52" t="e">
        <f>+'Proyectos Base digitable'!#REF!</f>
        <v>#REF!</v>
      </c>
      <c r="AJ2" s="59" t="e">
        <f>+'Proyectos Base digitable'!#REF!</f>
        <v>#REF!</v>
      </c>
      <c r="AK2" s="186" t="e">
        <f>+'Proyectos Base digitable'!#REF!</f>
        <v>#REF!</v>
      </c>
      <c r="AL2" s="186" t="e">
        <f>+'Proyectos Base digitable'!#REF!</f>
        <v>#REF!</v>
      </c>
      <c r="AM2" s="186" t="e">
        <f>+'Proyectos Base digitable'!#REF!</f>
        <v>#REF!</v>
      </c>
      <c r="AN2" s="186" t="e">
        <f>+'Proyectos Base digitable'!#REF!</f>
        <v>#REF!</v>
      </c>
      <c r="AO2" s="186" t="e">
        <f>+'Proyectos Base digitable'!#REF!</f>
        <v>#REF!</v>
      </c>
      <c r="AP2" s="186" t="e">
        <f>+'Proyectos Base digitable'!#REF!</f>
        <v>#REF!</v>
      </c>
      <c r="AQ2" s="186" t="e">
        <f>+'Proyectos Base digitable'!#REF!</f>
        <v>#REF!</v>
      </c>
      <c r="AR2" s="186" t="e">
        <f>+'Proyectos Base digitable'!#REF!</f>
        <v>#REF!</v>
      </c>
      <c r="AS2" s="186" t="e">
        <f>+'Proyectos Base digitable'!#REF!</f>
        <v>#REF!</v>
      </c>
      <c r="AT2" s="187" t="e">
        <f>+'Proyectos Base digitable'!#REF!</f>
        <v>#REF!</v>
      </c>
      <c r="AU2" s="56" t="e">
        <f>+'Proyectos Base digitable'!#REF!</f>
        <v>#REF!</v>
      </c>
      <c r="AV2" s="56" t="e">
        <f>+'Proyectos Base digitable'!#REF!</f>
        <v>#REF!</v>
      </c>
      <c r="AW2" s="56" t="e">
        <f>+'Proyectos Base digitable'!#REF!</f>
        <v>#REF!</v>
      </c>
      <c r="AX2" s="56" t="e">
        <f>+'Proyectos Base digitable'!#REF!</f>
        <v>#REF!</v>
      </c>
      <c r="AY2" s="56" t="e">
        <f>+'Proyectos Base digitable'!#REF!</f>
        <v>#REF!</v>
      </c>
      <c r="AZ2" s="188" t="e">
        <f>+'Proyectos Base digitable'!#REF!</f>
        <v>#REF!</v>
      </c>
      <c r="BA2" s="188" t="e">
        <f>+'Proyectos Base digitable'!#REF!</f>
        <v>#REF!</v>
      </c>
    </row>
    <row r="3" spans="1:53" ht="12.5">
      <c r="A3" s="60" t="e">
        <f>+'Proyectos Base digitable'!#REF!</f>
        <v>#REF!</v>
      </c>
      <c r="B3" s="56" t="e">
        <f>+'Proyectos Base digitable'!#REF!</f>
        <v>#REF!</v>
      </c>
      <c r="C3" s="56" t="e">
        <f>+'Proyectos Base digitable'!#REF!</f>
        <v>#REF!</v>
      </c>
      <c r="D3" s="56" t="e">
        <f>+'Proyectos Base digitable'!#REF!</f>
        <v>#REF!</v>
      </c>
      <c r="E3" s="56" t="e">
        <f>+'Proyectos Base digitable'!#REF!</f>
        <v>#REF!</v>
      </c>
      <c r="F3" s="56" t="e">
        <f>+'Proyectos Base digitable'!#REF!</f>
        <v>#REF!</v>
      </c>
      <c r="G3" s="57" t="e">
        <f>+'Proyectos Base digitable'!#REF!</f>
        <v>#REF!</v>
      </c>
      <c r="H3" s="56" t="e">
        <f>+'Proyectos Base digitable'!#REF!</f>
        <v>#REF!</v>
      </c>
      <c r="I3" s="56" t="e">
        <f>+'Proyectos Base digitable'!#REF!</f>
        <v>#REF!</v>
      </c>
      <c r="J3" s="56" t="e">
        <f>+'Proyectos Base digitable'!#REF!</f>
        <v>#REF!</v>
      </c>
      <c r="K3" s="56" t="e">
        <f>+'Proyectos Base digitable'!#REF!</f>
        <v>#REF!</v>
      </c>
      <c r="L3" s="56" t="e">
        <f>+'Proyectos Base digitable'!#REF!</f>
        <v>#REF!</v>
      </c>
      <c r="M3" s="56" t="e">
        <f>+'Proyectos Base digitable'!#REF!</f>
        <v>#REF!</v>
      </c>
      <c r="N3" s="52" t="e">
        <f>+'Proyectos Base digitable'!#REF!</f>
        <v>#REF!</v>
      </c>
      <c r="O3" s="52" t="e">
        <f>+'Proyectos Base digitable'!#REF!</f>
        <v>#REF!</v>
      </c>
      <c r="P3" s="185" t="e">
        <f>+'Proyectos Base digitable'!#REF!</f>
        <v>#REF!</v>
      </c>
      <c r="Q3" s="58" t="e">
        <f>+'Proyectos Base digitable'!#REF!</f>
        <v>#REF!</v>
      </c>
      <c r="R3" s="58" t="e">
        <f>+'Proyectos Base digitable'!#REF!</f>
        <v>#REF!</v>
      </c>
      <c r="S3" s="58" t="e">
        <f>+'Proyectos Base digitable'!#REF!</f>
        <v>#REF!</v>
      </c>
      <c r="T3" s="58" t="e">
        <f>+'Proyectos Base digitable'!#REF!</f>
        <v>#REF!</v>
      </c>
      <c r="U3" s="63" t="e">
        <f>'Proyectos Base digitable'!#REF!</f>
        <v>#REF!</v>
      </c>
      <c r="V3" s="63" t="e">
        <f>'Proyectos Base digitable'!#REF!</f>
        <v>#REF!</v>
      </c>
      <c r="W3" s="63" t="e">
        <f>'Proyectos Base digitable'!#REF!</f>
        <v>#REF!</v>
      </c>
      <c r="X3" s="63" t="e">
        <f>'Proyectos Base digitable'!#REF!</f>
        <v>#REF!</v>
      </c>
      <c r="Y3" s="63" t="e">
        <f>'Proyectos Base digitable'!#REF!</f>
        <v>#REF!</v>
      </c>
      <c r="Z3" s="58" t="e">
        <f>+'Proyectos Base digitable'!#REF!</f>
        <v>#REF!</v>
      </c>
      <c r="AA3" s="58" t="e">
        <f>+'Proyectos Base digitable'!#REF!</f>
        <v>#REF!</v>
      </c>
      <c r="AB3" s="63" t="e">
        <f>'Proyectos Base digitable'!#REF!</f>
        <v>#REF!</v>
      </c>
      <c r="AC3" s="56" t="e">
        <f>+'Proyectos Base digitable'!#REF!</f>
        <v>#REF!</v>
      </c>
      <c r="AD3" s="52" t="e">
        <f>+'Proyectos Base digitable'!#REF!</f>
        <v>#REF!</v>
      </c>
      <c r="AE3" s="52" t="e">
        <f>+'Proyectos Base digitable'!#REF!</f>
        <v>#REF!</v>
      </c>
      <c r="AF3" s="52" t="e">
        <f>+'Proyectos Base digitable'!#REF!</f>
        <v>#REF!</v>
      </c>
      <c r="AG3" s="56" t="e">
        <f>+'Proyectos Base digitable'!#REF!</f>
        <v>#REF!</v>
      </c>
      <c r="AH3" s="52" t="e">
        <f>+'Proyectos Base digitable'!#REF!</f>
        <v>#REF!</v>
      </c>
      <c r="AI3" s="52" t="e">
        <f>+'Proyectos Base digitable'!#REF!</f>
        <v>#REF!</v>
      </c>
      <c r="AJ3" s="59" t="e">
        <f>+'Proyectos Base digitable'!#REF!</f>
        <v>#REF!</v>
      </c>
      <c r="AK3" s="186" t="e">
        <f>+'Proyectos Base digitable'!#REF!</f>
        <v>#REF!</v>
      </c>
      <c r="AL3" s="186" t="e">
        <f>+'Proyectos Base digitable'!#REF!</f>
        <v>#REF!</v>
      </c>
      <c r="AM3" s="186" t="e">
        <f>+'Proyectos Base digitable'!#REF!</f>
        <v>#REF!</v>
      </c>
      <c r="AN3" s="186" t="e">
        <f>+'Proyectos Base digitable'!#REF!</f>
        <v>#REF!</v>
      </c>
      <c r="AO3" s="186" t="e">
        <f>+'Proyectos Base digitable'!#REF!</f>
        <v>#REF!</v>
      </c>
      <c r="AP3" s="186" t="e">
        <f>+'Proyectos Base digitable'!#REF!</f>
        <v>#REF!</v>
      </c>
      <c r="AQ3" s="186" t="e">
        <f>+'Proyectos Base digitable'!#REF!</f>
        <v>#REF!</v>
      </c>
      <c r="AR3" s="186" t="e">
        <f>+'Proyectos Base digitable'!#REF!</f>
        <v>#REF!</v>
      </c>
      <c r="AS3" s="186" t="e">
        <f>+'Proyectos Base digitable'!#REF!</f>
        <v>#REF!</v>
      </c>
      <c r="AT3" s="187" t="e">
        <f>+'Proyectos Base digitable'!#REF!</f>
        <v>#REF!</v>
      </c>
      <c r="AU3" s="56" t="e">
        <f>+'Proyectos Base digitable'!#REF!</f>
        <v>#REF!</v>
      </c>
      <c r="AV3" s="56" t="e">
        <f>+'Proyectos Base digitable'!#REF!</f>
        <v>#REF!</v>
      </c>
      <c r="AW3" s="56" t="e">
        <f>+'Proyectos Base digitable'!#REF!</f>
        <v>#REF!</v>
      </c>
      <c r="AX3" s="56" t="e">
        <f>+'Proyectos Base digitable'!#REF!</f>
        <v>#REF!</v>
      </c>
      <c r="AY3" s="56" t="e">
        <f>+'Proyectos Base digitable'!#REF!</f>
        <v>#REF!</v>
      </c>
      <c r="AZ3" s="188" t="e">
        <f>+'Proyectos Base digitable'!#REF!</f>
        <v>#REF!</v>
      </c>
      <c r="BA3" s="188" t="e">
        <f>+'Proyectos Base digitable'!#REF!</f>
        <v>#REF!</v>
      </c>
    </row>
    <row r="4" spans="1:53" ht="12.5">
      <c r="A4" s="60" t="e">
        <f>+'Proyectos Base digitable'!#REF!</f>
        <v>#REF!</v>
      </c>
      <c r="B4" s="56" t="e">
        <f>+'Proyectos Base digitable'!#REF!</f>
        <v>#REF!</v>
      </c>
      <c r="C4" s="56" t="e">
        <f>+'Proyectos Base digitable'!#REF!</f>
        <v>#REF!</v>
      </c>
      <c r="D4" s="56" t="e">
        <f>+'Proyectos Base digitable'!#REF!</f>
        <v>#REF!</v>
      </c>
      <c r="E4" s="56" t="e">
        <f>+'Proyectos Base digitable'!#REF!</f>
        <v>#REF!</v>
      </c>
      <c r="F4" s="56" t="e">
        <f>+'Proyectos Base digitable'!#REF!</f>
        <v>#REF!</v>
      </c>
      <c r="G4" s="57" t="e">
        <f>+'Proyectos Base digitable'!#REF!</f>
        <v>#REF!</v>
      </c>
      <c r="H4" s="56" t="e">
        <f>+'Proyectos Base digitable'!#REF!</f>
        <v>#REF!</v>
      </c>
      <c r="I4" s="56" t="e">
        <f>+'Proyectos Base digitable'!#REF!</f>
        <v>#REF!</v>
      </c>
      <c r="J4" s="56" t="e">
        <f>+'Proyectos Base digitable'!#REF!</f>
        <v>#REF!</v>
      </c>
      <c r="K4" s="56" t="e">
        <f>+'Proyectos Base digitable'!#REF!</f>
        <v>#REF!</v>
      </c>
      <c r="L4" s="56" t="e">
        <f>+'Proyectos Base digitable'!#REF!</f>
        <v>#REF!</v>
      </c>
      <c r="M4" s="56" t="e">
        <f>+'Proyectos Base digitable'!#REF!</f>
        <v>#REF!</v>
      </c>
      <c r="N4" s="52" t="e">
        <f>+'Proyectos Base digitable'!#REF!</f>
        <v>#REF!</v>
      </c>
      <c r="O4" s="52" t="e">
        <f>+'Proyectos Base digitable'!#REF!</f>
        <v>#REF!</v>
      </c>
      <c r="P4" s="185" t="e">
        <f>+'Proyectos Base digitable'!#REF!</f>
        <v>#REF!</v>
      </c>
      <c r="Q4" s="58" t="e">
        <f>+'Proyectos Base digitable'!#REF!</f>
        <v>#REF!</v>
      </c>
      <c r="R4" s="58" t="e">
        <f>+'Proyectos Base digitable'!#REF!</f>
        <v>#REF!</v>
      </c>
      <c r="S4" s="58" t="e">
        <f>+'Proyectos Base digitable'!#REF!</f>
        <v>#REF!</v>
      </c>
      <c r="T4" s="58" t="e">
        <f>+'Proyectos Base digitable'!#REF!</f>
        <v>#REF!</v>
      </c>
      <c r="U4" s="63" t="e">
        <f>'Proyectos Base digitable'!#REF!</f>
        <v>#REF!</v>
      </c>
      <c r="V4" s="63" t="e">
        <f>'Proyectos Base digitable'!#REF!</f>
        <v>#REF!</v>
      </c>
      <c r="W4" s="63" t="e">
        <f>'Proyectos Base digitable'!#REF!</f>
        <v>#REF!</v>
      </c>
      <c r="X4" s="63" t="e">
        <f>'Proyectos Base digitable'!#REF!</f>
        <v>#REF!</v>
      </c>
      <c r="Y4" s="63" t="e">
        <f>'Proyectos Base digitable'!#REF!</f>
        <v>#REF!</v>
      </c>
      <c r="Z4" s="58" t="e">
        <f>+'Proyectos Base digitable'!#REF!</f>
        <v>#REF!</v>
      </c>
      <c r="AA4" s="58" t="e">
        <f>+'Proyectos Base digitable'!#REF!</f>
        <v>#REF!</v>
      </c>
      <c r="AB4" s="63" t="e">
        <f>'Proyectos Base digitable'!#REF!</f>
        <v>#REF!</v>
      </c>
      <c r="AC4" s="56" t="e">
        <f>+'Proyectos Base digitable'!#REF!</f>
        <v>#REF!</v>
      </c>
      <c r="AD4" s="52" t="e">
        <f>+'Proyectos Base digitable'!#REF!</f>
        <v>#REF!</v>
      </c>
      <c r="AE4" s="52" t="e">
        <f>+'Proyectos Base digitable'!#REF!</f>
        <v>#REF!</v>
      </c>
      <c r="AF4" s="52" t="e">
        <f>+'Proyectos Base digitable'!#REF!</f>
        <v>#REF!</v>
      </c>
      <c r="AG4" s="56" t="e">
        <f>+'Proyectos Base digitable'!#REF!</f>
        <v>#REF!</v>
      </c>
      <c r="AH4" s="52" t="e">
        <f>+'Proyectos Base digitable'!#REF!</f>
        <v>#REF!</v>
      </c>
      <c r="AI4" s="52" t="e">
        <f>+'Proyectos Base digitable'!#REF!</f>
        <v>#REF!</v>
      </c>
      <c r="AJ4" s="59" t="e">
        <f>+'Proyectos Base digitable'!#REF!</f>
        <v>#REF!</v>
      </c>
      <c r="AK4" s="186" t="e">
        <f>+'Proyectos Base digitable'!#REF!</f>
        <v>#REF!</v>
      </c>
      <c r="AL4" s="186" t="e">
        <f>+'Proyectos Base digitable'!#REF!</f>
        <v>#REF!</v>
      </c>
      <c r="AM4" s="186" t="e">
        <f>+'Proyectos Base digitable'!#REF!</f>
        <v>#REF!</v>
      </c>
      <c r="AN4" s="186" t="e">
        <f>+'Proyectos Base digitable'!#REF!</f>
        <v>#REF!</v>
      </c>
      <c r="AO4" s="186" t="e">
        <f>+'Proyectos Base digitable'!#REF!</f>
        <v>#REF!</v>
      </c>
      <c r="AP4" s="186" t="e">
        <f>+'Proyectos Base digitable'!#REF!</f>
        <v>#REF!</v>
      </c>
      <c r="AQ4" s="186" t="e">
        <f>+'Proyectos Base digitable'!#REF!</f>
        <v>#REF!</v>
      </c>
      <c r="AR4" s="186" t="e">
        <f>+'Proyectos Base digitable'!#REF!</f>
        <v>#REF!</v>
      </c>
      <c r="AS4" s="186" t="e">
        <f>+'Proyectos Base digitable'!#REF!</f>
        <v>#REF!</v>
      </c>
      <c r="AT4" s="187" t="e">
        <f>+'Proyectos Base digitable'!#REF!</f>
        <v>#REF!</v>
      </c>
      <c r="AU4" s="56" t="e">
        <f>+'Proyectos Base digitable'!#REF!</f>
        <v>#REF!</v>
      </c>
      <c r="AV4" s="56" t="e">
        <f>+'Proyectos Base digitable'!#REF!</f>
        <v>#REF!</v>
      </c>
      <c r="AW4" s="56" t="e">
        <f>+'Proyectos Base digitable'!#REF!</f>
        <v>#REF!</v>
      </c>
      <c r="AX4" s="56" t="e">
        <f>+'Proyectos Base digitable'!#REF!</f>
        <v>#REF!</v>
      </c>
      <c r="AY4" s="56" t="e">
        <f>+'Proyectos Base digitable'!#REF!</f>
        <v>#REF!</v>
      </c>
      <c r="AZ4" s="188" t="e">
        <f>+'Proyectos Base digitable'!#REF!</f>
        <v>#REF!</v>
      </c>
      <c r="BA4" s="188" t="e">
        <f>+'Proyectos Base digitable'!#REF!</f>
        <v>#REF!</v>
      </c>
    </row>
    <row r="5" spans="1:53" ht="12.5">
      <c r="A5" s="60" t="e">
        <f>+'Proyectos Base digitable'!#REF!</f>
        <v>#REF!</v>
      </c>
      <c r="B5" s="56" t="e">
        <f>+'Proyectos Base digitable'!#REF!</f>
        <v>#REF!</v>
      </c>
      <c r="C5" s="56" t="e">
        <f>+'Proyectos Base digitable'!#REF!</f>
        <v>#REF!</v>
      </c>
      <c r="D5" s="56" t="e">
        <f>+'Proyectos Base digitable'!#REF!</f>
        <v>#REF!</v>
      </c>
      <c r="E5" s="56" t="e">
        <f>+'Proyectos Base digitable'!#REF!</f>
        <v>#REF!</v>
      </c>
      <c r="F5" s="56" t="e">
        <f>+'Proyectos Base digitable'!#REF!</f>
        <v>#REF!</v>
      </c>
      <c r="G5" s="57" t="e">
        <f>+'Proyectos Base digitable'!#REF!</f>
        <v>#REF!</v>
      </c>
      <c r="H5" s="56" t="e">
        <f>+'Proyectos Base digitable'!#REF!</f>
        <v>#REF!</v>
      </c>
      <c r="I5" s="56" t="e">
        <f>+'Proyectos Base digitable'!#REF!</f>
        <v>#REF!</v>
      </c>
      <c r="J5" s="56" t="e">
        <f>+'Proyectos Base digitable'!#REF!</f>
        <v>#REF!</v>
      </c>
      <c r="K5" s="56" t="e">
        <f>+'Proyectos Base digitable'!#REF!</f>
        <v>#REF!</v>
      </c>
      <c r="L5" s="56" t="e">
        <f>+'Proyectos Base digitable'!#REF!</f>
        <v>#REF!</v>
      </c>
      <c r="M5" s="56" t="e">
        <f>+'Proyectos Base digitable'!#REF!</f>
        <v>#REF!</v>
      </c>
      <c r="N5" s="52" t="e">
        <f>+'Proyectos Base digitable'!#REF!</f>
        <v>#REF!</v>
      </c>
      <c r="O5" s="52" t="e">
        <f>+'Proyectos Base digitable'!#REF!</f>
        <v>#REF!</v>
      </c>
      <c r="P5" s="185" t="e">
        <f>+'Proyectos Base digitable'!#REF!</f>
        <v>#REF!</v>
      </c>
      <c r="Q5" s="58" t="e">
        <f>+'Proyectos Base digitable'!#REF!</f>
        <v>#REF!</v>
      </c>
      <c r="R5" s="58" t="e">
        <f>+'Proyectos Base digitable'!#REF!</f>
        <v>#REF!</v>
      </c>
      <c r="S5" s="58" t="e">
        <f>+'Proyectos Base digitable'!#REF!</f>
        <v>#REF!</v>
      </c>
      <c r="T5" s="58" t="e">
        <f>+'Proyectos Base digitable'!#REF!</f>
        <v>#REF!</v>
      </c>
      <c r="U5" s="63" t="e">
        <f>'Proyectos Base digitable'!#REF!</f>
        <v>#REF!</v>
      </c>
      <c r="V5" s="63" t="e">
        <f>'Proyectos Base digitable'!#REF!</f>
        <v>#REF!</v>
      </c>
      <c r="W5" s="63" t="e">
        <f>'Proyectos Base digitable'!#REF!</f>
        <v>#REF!</v>
      </c>
      <c r="X5" s="63" t="e">
        <f>'Proyectos Base digitable'!#REF!</f>
        <v>#REF!</v>
      </c>
      <c r="Y5" s="63" t="e">
        <f>'Proyectos Base digitable'!#REF!</f>
        <v>#REF!</v>
      </c>
      <c r="Z5" s="58" t="e">
        <f>+'Proyectos Base digitable'!#REF!</f>
        <v>#REF!</v>
      </c>
      <c r="AA5" s="58" t="e">
        <f>+'Proyectos Base digitable'!#REF!</f>
        <v>#REF!</v>
      </c>
      <c r="AB5" s="63" t="e">
        <f>'Proyectos Base digitable'!#REF!</f>
        <v>#REF!</v>
      </c>
      <c r="AC5" s="56" t="e">
        <f>+'Proyectos Base digitable'!#REF!</f>
        <v>#REF!</v>
      </c>
      <c r="AD5" s="52" t="e">
        <f>+'Proyectos Base digitable'!#REF!</f>
        <v>#REF!</v>
      </c>
      <c r="AE5" s="52" t="e">
        <f>+'Proyectos Base digitable'!#REF!</f>
        <v>#REF!</v>
      </c>
      <c r="AF5" s="52" t="e">
        <f>+'Proyectos Base digitable'!#REF!</f>
        <v>#REF!</v>
      </c>
      <c r="AG5" s="56" t="e">
        <f>+'Proyectos Base digitable'!#REF!</f>
        <v>#REF!</v>
      </c>
      <c r="AH5" s="52" t="e">
        <f>+'Proyectos Base digitable'!#REF!</f>
        <v>#REF!</v>
      </c>
      <c r="AI5" s="52" t="e">
        <f>+'Proyectos Base digitable'!#REF!</f>
        <v>#REF!</v>
      </c>
      <c r="AJ5" s="59" t="e">
        <f>+'Proyectos Base digitable'!#REF!</f>
        <v>#REF!</v>
      </c>
      <c r="AK5" s="186" t="e">
        <f>+'Proyectos Base digitable'!#REF!</f>
        <v>#REF!</v>
      </c>
      <c r="AL5" s="186" t="e">
        <f>+'Proyectos Base digitable'!#REF!</f>
        <v>#REF!</v>
      </c>
      <c r="AM5" s="186" t="e">
        <f>+'Proyectos Base digitable'!#REF!</f>
        <v>#REF!</v>
      </c>
      <c r="AN5" s="186" t="e">
        <f>+'Proyectos Base digitable'!#REF!</f>
        <v>#REF!</v>
      </c>
      <c r="AO5" s="186" t="e">
        <f>+'Proyectos Base digitable'!#REF!</f>
        <v>#REF!</v>
      </c>
      <c r="AP5" s="186" t="e">
        <f>+'Proyectos Base digitable'!#REF!</f>
        <v>#REF!</v>
      </c>
      <c r="AQ5" s="186" t="e">
        <f>+'Proyectos Base digitable'!#REF!</f>
        <v>#REF!</v>
      </c>
      <c r="AR5" s="186" t="e">
        <f>+'Proyectos Base digitable'!#REF!</f>
        <v>#REF!</v>
      </c>
      <c r="AS5" s="186" t="e">
        <f>+'Proyectos Base digitable'!#REF!</f>
        <v>#REF!</v>
      </c>
      <c r="AT5" s="187" t="e">
        <f>+'Proyectos Base digitable'!#REF!</f>
        <v>#REF!</v>
      </c>
      <c r="AU5" s="56" t="e">
        <f>+'Proyectos Base digitable'!#REF!</f>
        <v>#REF!</v>
      </c>
      <c r="AV5" s="56" t="e">
        <f>+'Proyectos Base digitable'!#REF!</f>
        <v>#REF!</v>
      </c>
      <c r="AW5" s="56" t="e">
        <f>+'Proyectos Base digitable'!#REF!</f>
        <v>#REF!</v>
      </c>
      <c r="AX5" s="56" t="e">
        <f>+'Proyectos Base digitable'!#REF!</f>
        <v>#REF!</v>
      </c>
      <c r="AY5" s="56" t="e">
        <f>+'Proyectos Base digitable'!#REF!</f>
        <v>#REF!</v>
      </c>
      <c r="AZ5" s="188" t="e">
        <f>+'Proyectos Base digitable'!#REF!</f>
        <v>#REF!</v>
      </c>
      <c r="BA5" s="188" t="e">
        <f>+'Proyectos Base digitable'!#REF!</f>
        <v>#REF!</v>
      </c>
    </row>
    <row r="6" spans="1:53" ht="12.5">
      <c r="A6" s="60" t="e">
        <f>+'Proyectos Base digitable'!#REF!</f>
        <v>#REF!</v>
      </c>
      <c r="B6" s="56" t="e">
        <f>+'Proyectos Base digitable'!#REF!</f>
        <v>#REF!</v>
      </c>
      <c r="C6" s="56" t="e">
        <f>+'Proyectos Base digitable'!#REF!</f>
        <v>#REF!</v>
      </c>
      <c r="D6" s="56" t="e">
        <f>+'Proyectos Base digitable'!#REF!</f>
        <v>#REF!</v>
      </c>
      <c r="E6" s="56" t="e">
        <f>+'Proyectos Base digitable'!#REF!</f>
        <v>#REF!</v>
      </c>
      <c r="F6" s="56" t="e">
        <f>+'Proyectos Base digitable'!#REF!</f>
        <v>#REF!</v>
      </c>
      <c r="G6" s="57" t="e">
        <f>+'Proyectos Base digitable'!#REF!</f>
        <v>#REF!</v>
      </c>
      <c r="H6" s="56" t="e">
        <f>+'Proyectos Base digitable'!#REF!</f>
        <v>#REF!</v>
      </c>
      <c r="I6" s="56" t="e">
        <f>+'Proyectos Base digitable'!#REF!</f>
        <v>#REF!</v>
      </c>
      <c r="J6" s="56" t="e">
        <f>+'Proyectos Base digitable'!#REF!</f>
        <v>#REF!</v>
      </c>
      <c r="K6" s="56" t="e">
        <f>+'Proyectos Base digitable'!#REF!</f>
        <v>#REF!</v>
      </c>
      <c r="L6" s="56" t="e">
        <f>+'Proyectos Base digitable'!#REF!</f>
        <v>#REF!</v>
      </c>
      <c r="M6" s="56" t="e">
        <f>+'Proyectos Base digitable'!#REF!</f>
        <v>#REF!</v>
      </c>
      <c r="N6" s="52" t="e">
        <f>+'Proyectos Base digitable'!#REF!</f>
        <v>#REF!</v>
      </c>
      <c r="O6" s="52" t="e">
        <f>+'Proyectos Base digitable'!#REF!</f>
        <v>#REF!</v>
      </c>
      <c r="P6" s="185" t="e">
        <f>+'Proyectos Base digitable'!#REF!</f>
        <v>#REF!</v>
      </c>
      <c r="Q6" s="58" t="e">
        <f>+'Proyectos Base digitable'!#REF!</f>
        <v>#REF!</v>
      </c>
      <c r="R6" s="58" t="e">
        <f>+'Proyectos Base digitable'!#REF!</f>
        <v>#REF!</v>
      </c>
      <c r="S6" s="58" t="e">
        <f>+'Proyectos Base digitable'!#REF!</f>
        <v>#REF!</v>
      </c>
      <c r="T6" s="58" t="e">
        <f>+'Proyectos Base digitable'!#REF!</f>
        <v>#REF!</v>
      </c>
      <c r="U6" s="63" t="e">
        <f>'Proyectos Base digitable'!#REF!</f>
        <v>#REF!</v>
      </c>
      <c r="V6" s="63" t="e">
        <f>'Proyectos Base digitable'!#REF!</f>
        <v>#REF!</v>
      </c>
      <c r="W6" s="63" t="e">
        <f>'Proyectos Base digitable'!#REF!</f>
        <v>#REF!</v>
      </c>
      <c r="X6" s="63" t="e">
        <f>'Proyectos Base digitable'!#REF!</f>
        <v>#REF!</v>
      </c>
      <c r="Y6" s="63" t="e">
        <f>'Proyectos Base digitable'!#REF!</f>
        <v>#REF!</v>
      </c>
      <c r="Z6" s="58" t="e">
        <f>+'Proyectos Base digitable'!#REF!</f>
        <v>#REF!</v>
      </c>
      <c r="AA6" s="58" t="e">
        <f>+'Proyectos Base digitable'!#REF!</f>
        <v>#REF!</v>
      </c>
      <c r="AB6" s="63" t="e">
        <f>'Proyectos Base digitable'!#REF!</f>
        <v>#REF!</v>
      </c>
      <c r="AC6" s="56" t="e">
        <f>+'Proyectos Base digitable'!#REF!</f>
        <v>#REF!</v>
      </c>
      <c r="AD6" s="52" t="e">
        <f>+'Proyectos Base digitable'!#REF!</f>
        <v>#REF!</v>
      </c>
      <c r="AE6" s="52" t="e">
        <f>+'Proyectos Base digitable'!#REF!</f>
        <v>#REF!</v>
      </c>
      <c r="AF6" s="52" t="e">
        <f>+'Proyectos Base digitable'!#REF!</f>
        <v>#REF!</v>
      </c>
      <c r="AG6" s="56" t="e">
        <f>+'Proyectos Base digitable'!#REF!</f>
        <v>#REF!</v>
      </c>
      <c r="AH6" s="52" t="e">
        <f>+'Proyectos Base digitable'!#REF!</f>
        <v>#REF!</v>
      </c>
      <c r="AI6" s="52" t="e">
        <f>+'Proyectos Base digitable'!#REF!</f>
        <v>#REF!</v>
      </c>
      <c r="AJ6" s="59" t="e">
        <f>+'Proyectos Base digitable'!#REF!</f>
        <v>#REF!</v>
      </c>
      <c r="AK6" s="186" t="e">
        <f>+'Proyectos Base digitable'!#REF!</f>
        <v>#REF!</v>
      </c>
      <c r="AL6" s="186" t="e">
        <f>+'Proyectos Base digitable'!#REF!</f>
        <v>#REF!</v>
      </c>
      <c r="AM6" s="186" t="e">
        <f>+'Proyectos Base digitable'!#REF!</f>
        <v>#REF!</v>
      </c>
      <c r="AN6" s="186" t="e">
        <f>+'Proyectos Base digitable'!#REF!</f>
        <v>#REF!</v>
      </c>
      <c r="AO6" s="186" t="e">
        <f>+'Proyectos Base digitable'!#REF!</f>
        <v>#REF!</v>
      </c>
      <c r="AP6" s="186" t="e">
        <f>+'Proyectos Base digitable'!#REF!</f>
        <v>#REF!</v>
      </c>
      <c r="AQ6" s="186" t="e">
        <f>+'Proyectos Base digitable'!#REF!</f>
        <v>#REF!</v>
      </c>
      <c r="AR6" s="186" t="e">
        <f>+'Proyectos Base digitable'!#REF!</f>
        <v>#REF!</v>
      </c>
      <c r="AS6" s="186" t="e">
        <f>+'Proyectos Base digitable'!#REF!</f>
        <v>#REF!</v>
      </c>
      <c r="AT6" s="187" t="e">
        <f>+'Proyectos Base digitable'!#REF!</f>
        <v>#REF!</v>
      </c>
      <c r="AU6" s="56" t="e">
        <f>+'Proyectos Base digitable'!#REF!</f>
        <v>#REF!</v>
      </c>
      <c r="AV6" s="56" t="e">
        <f>+'Proyectos Base digitable'!#REF!</f>
        <v>#REF!</v>
      </c>
      <c r="AW6" s="56" t="e">
        <f>+'Proyectos Base digitable'!#REF!</f>
        <v>#REF!</v>
      </c>
      <c r="AX6" s="56" t="e">
        <f>+'Proyectos Base digitable'!#REF!</f>
        <v>#REF!</v>
      </c>
      <c r="AY6" s="56" t="e">
        <f>+'Proyectos Base digitable'!#REF!</f>
        <v>#REF!</v>
      </c>
      <c r="AZ6" s="188" t="e">
        <f>+'Proyectos Base digitable'!#REF!</f>
        <v>#REF!</v>
      </c>
      <c r="BA6" s="188" t="e">
        <f>+'Proyectos Base digitable'!#REF!</f>
        <v>#REF!</v>
      </c>
    </row>
    <row r="7" spans="1:53" ht="12.5">
      <c r="A7" s="60" t="e">
        <f>+'Proyectos Base digitable'!#REF!</f>
        <v>#REF!</v>
      </c>
      <c r="B7" s="56" t="e">
        <f>+'Proyectos Base digitable'!#REF!</f>
        <v>#REF!</v>
      </c>
      <c r="C7" s="56" t="e">
        <f>+'Proyectos Base digitable'!#REF!</f>
        <v>#REF!</v>
      </c>
      <c r="D7" s="56" t="e">
        <f>+'Proyectos Base digitable'!#REF!</f>
        <v>#REF!</v>
      </c>
      <c r="E7" s="56" t="e">
        <f>+'Proyectos Base digitable'!#REF!</f>
        <v>#REF!</v>
      </c>
      <c r="F7" s="56" t="e">
        <f>+'Proyectos Base digitable'!#REF!</f>
        <v>#REF!</v>
      </c>
      <c r="G7" s="57" t="e">
        <f>+'Proyectos Base digitable'!#REF!</f>
        <v>#REF!</v>
      </c>
      <c r="H7" s="56" t="e">
        <f>+'Proyectos Base digitable'!#REF!</f>
        <v>#REF!</v>
      </c>
      <c r="I7" s="56" t="e">
        <f>+'Proyectos Base digitable'!#REF!</f>
        <v>#REF!</v>
      </c>
      <c r="J7" s="56" t="e">
        <f>+'Proyectos Base digitable'!#REF!</f>
        <v>#REF!</v>
      </c>
      <c r="K7" s="56" t="e">
        <f>+'Proyectos Base digitable'!#REF!</f>
        <v>#REF!</v>
      </c>
      <c r="L7" s="56" t="e">
        <f>+'Proyectos Base digitable'!#REF!</f>
        <v>#REF!</v>
      </c>
      <c r="M7" s="56" t="e">
        <f>+'Proyectos Base digitable'!#REF!</f>
        <v>#REF!</v>
      </c>
      <c r="N7" s="52" t="e">
        <f>+'Proyectos Base digitable'!#REF!</f>
        <v>#REF!</v>
      </c>
      <c r="O7" s="52" t="e">
        <f>+'Proyectos Base digitable'!#REF!</f>
        <v>#REF!</v>
      </c>
      <c r="P7" s="185" t="e">
        <f>+'Proyectos Base digitable'!#REF!</f>
        <v>#REF!</v>
      </c>
      <c r="Q7" s="58" t="e">
        <f>+'Proyectos Base digitable'!#REF!</f>
        <v>#REF!</v>
      </c>
      <c r="R7" s="58" t="e">
        <f>+'Proyectos Base digitable'!#REF!</f>
        <v>#REF!</v>
      </c>
      <c r="S7" s="58" t="e">
        <f>+'Proyectos Base digitable'!#REF!</f>
        <v>#REF!</v>
      </c>
      <c r="T7" s="58" t="e">
        <f>+'Proyectos Base digitable'!#REF!</f>
        <v>#REF!</v>
      </c>
      <c r="U7" s="63" t="e">
        <f>'Proyectos Base digitable'!#REF!</f>
        <v>#REF!</v>
      </c>
      <c r="V7" s="63" t="e">
        <f>'Proyectos Base digitable'!#REF!</f>
        <v>#REF!</v>
      </c>
      <c r="W7" s="63" t="e">
        <f>'Proyectos Base digitable'!#REF!</f>
        <v>#REF!</v>
      </c>
      <c r="X7" s="63" t="e">
        <f>'Proyectos Base digitable'!#REF!</f>
        <v>#REF!</v>
      </c>
      <c r="Y7" s="63" t="e">
        <f>'Proyectos Base digitable'!#REF!</f>
        <v>#REF!</v>
      </c>
      <c r="Z7" s="58" t="e">
        <f>+'Proyectos Base digitable'!#REF!</f>
        <v>#REF!</v>
      </c>
      <c r="AA7" s="58" t="e">
        <f>+'Proyectos Base digitable'!#REF!</f>
        <v>#REF!</v>
      </c>
      <c r="AB7" s="63" t="e">
        <f>'Proyectos Base digitable'!#REF!</f>
        <v>#REF!</v>
      </c>
      <c r="AC7" s="56" t="e">
        <f>+'Proyectos Base digitable'!#REF!</f>
        <v>#REF!</v>
      </c>
      <c r="AD7" s="52" t="e">
        <f>+'Proyectos Base digitable'!#REF!</f>
        <v>#REF!</v>
      </c>
      <c r="AE7" s="52" t="e">
        <f>+'Proyectos Base digitable'!#REF!</f>
        <v>#REF!</v>
      </c>
      <c r="AF7" s="52" t="e">
        <f>+'Proyectos Base digitable'!#REF!</f>
        <v>#REF!</v>
      </c>
      <c r="AG7" s="56" t="e">
        <f>+'Proyectos Base digitable'!#REF!</f>
        <v>#REF!</v>
      </c>
      <c r="AH7" s="52" t="e">
        <f>+'Proyectos Base digitable'!#REF!</f>
        <v>#REF!</v>
      </c>
      <c r="AI7" s="52" t="e">
        <f>+'Proyectos Base digitable'!#REF!</f>
        <v>#REF!</v>
      </c>
      <c r="AJ7" s="59" t="e">
        <f>+'Proyectos Base digitable'!#REF!</f>
        <v>#REF!</v>
      </c>
      <c r="AK7" s="186" t="e">
        <f>+'Proyectos Base digitable'!#REF!</f>
        <v>#REF!</v>
      </c>
      <c r="AL7" s="186" t="e">
        <f>+'Proyectos Base digitable'!#REF!</f>
        <v>#REF!</v>
      </c>
      <c r="AM7" s="186" t="e">
        <f>+'Proyectos Base digitable'!#REF!</f>
        <v>#REF!</v>
      </c>
      <c r="AN7" s="186" t="e">
        <f>+'Proyectos Base digitable'!#REF!</f>
        <v>#REF!</v>
      </c>
      <c r="AO7" s="186" t="e">
        <f>+'Proyectos Base digitable'!#REF!</f>
        <v>#REF!</v>
      </c>
      <c r="AP7" s="186" t="e">
        <f>+'Proyectos Base digitable'!#REF!</f>
        <v>#REF!</v>
      </c>
      <c r="AQ7" s="186" t="e">
        <f>+'Proyectos Base digitable'!#REF!</f>
        <v>#REF!</v>
      </c>
      <c r="AR7" s="186" t="e">
        <f>+'Proyectos Base digitable'!#REF!</f>
        <v>#REF!</v>
      </c>
      <c r="AS7" s="186" t="e">
        <f>+'Proyectos Base digitable'!#REF!</f>
        <v>#REF!</v>
      </c>
      <c r="AT7" s="187" t="e">
        <f>+'Proyectos Base digitable'!#REF!</f>
        <v>#REF!</v>
      </c>
      <c r="AU7" s="56" t="e">
        <f>+'Proyectos Base digitable'!#REF!</f>
        <v>#REF!</v>
      </c>
      <c r="AV7" s="56" t="e">
        <f>+'Proyectos Base digitable'!#REF!</f>
        <v>#REF!</v>
      </c>
      <c r="AW7" s="56" t="e">
        <f>+'Proyectos Base digitable'!#REF!</f>
        <v>#REF!</v>
      </c>
      <c r="AX7" s="56" t="e">
        <f>+'Proyectos Base digitable'!#REF!</f>
        <v>#REF!</v>
      </c>
      <c r="AY7" s="56" t="e">
        <f>+'Proyectos Base digitable'!#REF!</f>
        <v>#REF!</v>
      </c>
      <c r="AZ7" s="188" t="e">
        <f>+'Proyectos Base digitable'!#REF!</f>
        <v>#REF!</v>
      </c>
      <c r="BA7" s="188" t="e">
        <f>+'Proyectos Base digitable'!#REF!</f>
        <v>#REF!</v>
      </c>
    </row>
    <row r="8" spans="1:53" ht="12.5">
      <c r="A8" s="60" t="e">
        <f>+'Proyectos Base digitable'!#REF!</f>
        <v>#REF!</v>
      </c>
      <c r="B8" s="56" t="e">
        <f>+'Proyectos Base digitable'!#REF!</f>
        <v>#REF!</v>
      </c>
      <c r="C8" s="56" t="e">
        <f>+'Proyectos Base digitable'!#REF!</f>
        <v>#REF!</v>
      </c>
      <c r="D8" s="56" t="e">
        <f>+'Proyectos Base digitable'!#REF!</f>
        <v>#REF!</v>
      </c>
      <c r="E8" s="56" t="e">
        <f>+'Proyectos Base digitable'!#REF!</f>
        <v>#REF!</v>
      </c>
      <c r="F8" s="56" t="e">
        <f>+'Proyectos Base digitable'!#REF!</f>
        <v>#REF!</v>
      </c>
      <c r="G8" s="57" t="e">
        <f>+'Proyectos Base digitable'!#REF!</f>
        <v>#REF!</v>
      </c>
      <c r="H8" s="56" t="e">
        <f>+'Proyectos Base digitable'!#REF!</f>
        <v>#REF!</v>
      </c>
      <c r="I8" s="56" t="e">
        <f>+'Proyectos Base digitable'!#REF!</f>
        <v>#REF!</v>
      </c>
      <c r="J8" s="56" t="e">
        <f>+'Proyectos Base digitable'!#REF!</f>
        <v>#REF!</v>
      </c>
      <c r="K8" s="56" t="e">
        <f>+'Proyectos Base digitable'!#REF!</f>
        <v>#REF!</v>
      </c>
      <c r="L8" s="56" t="e">
        <f>+'Proyectos Base digitable'!#REF!</f>
        <v>#REF!</v>
      </c>
      <c r="M8" s="56" t="e">
        <f>+'Proyectos Base digitable'!#REF!</f>
        <v>#REF!</v>
      </c>
      <c r="N8" s="52" t="e">
        <f>+'Proyectos Base digitable'!#REF!</f>
        <v>#REF!</v>
      </c>
      <c r="O8" s="52" t="e">
        <f>+'Proyectos Base digitable'!#REF!</f>
        <v>#REF!</v>
      </c>
      <c r="P8" s="185" t="e">
        <f>+'Proyectos Base digitable'!#REF!</f>
        <v>#REF!</v>
      </c>
      <c r="Q8" s="58" t="e">
        <f>+'Proyectos Base digitable'!#REF!</f>
        <v>#REF!</v>
      </c>
      <c r="R8" s="58" t="e">
        <f>+'Proyectos Base digitable'!#REF!</f>
        <v>#REF!</v>
      </c>
      <c r="S8" s="58" t="e">
        <f>+'Proyectos Base digitable'!#REF!</f>
        <v>#REF!</v>
      </c>
      <c r="T8" s="58" t="e">
        <f>+'Proyectos Base digitable'!#REF!</f>
        <v>#REF!</v>
      </c>
      <c r="U8" s="63" t="e">
        <f>'Proyectos Base digitable'!#REF!</f>
        <v>#REF!</v>
      </c>
      <c r="V8" s="63" t="e">
        <f>'Proyectos Base digitable'!#REF!</f>
        <v>#REF!</v>
      </c>
      <c r="W8" s="63" t="e">
        <f>'Proyectos Base digitable'!#REF!</f>
        <v>#REF!</v>
      </c>
      <c r="X8" s="63" t="e">
        <f>'Proyectos Base digitable'!#REF!</f>
        <v>#REF!</v>
      </c>
      <c r="Y8" s="63" t="e">
        <f>'Proyectos Base digitable'!#REF!</f>
        <v>#REF!</v>
      </c>
      <c r="Z8" s="58" t="e">
        <f>+'Proyectos Base digitable'!#REF!</f>
        <v>#REF!</v>
      </c>
      <c r="AA8" s="58" t="e">
        <f>+'Proyectos Base digitable'!#REF!</f>
        <v>#REF!</v>
      </c>
      <c r="AB8" s="63" t="e">
        <f>'Proyectos Base digitable'!#REF!</f>
        <v>#REF!</v>
      </c>
      <c r="AC8" s="56" t="e">
        <f>+'Proyectos Base digitable'!#REF!</f>
        <v>#REF!</v>
      </c>
      <c r="AD8" s="52" t="e">
        <f>+'Proyectos Base digitable'!#REF!</f>
        <v>#REF!</v>
      </c>
      <c r="AE8" s="52" t="e">
        <f>+'Proyectos Base digitable'!#REF!</f>
        <v>#REF!</v>
      </c>
      <c r="AF8" s="52" t="e">
        <f>+'Proyectos Base digitable'!#REF!</f>
        <v>#REF!</v>
      </c>
      <c r="AG8" s="56" t="e">
        <f>+'Proyectos Base digitable'!#REF!</f>
        <v>#REF!</v>
      </c>
      <c r="AH8" s="52" t="e">
        <f>+'Proyectos Base digitable'!#REF!</f>
        <v>#REF!</v>
      </c>
      <c r="AI8" s="52" t="e">
        <f>+'Proyectos Base digitable'!#REF!</f>
        <v>#REF!</v>
      </c>
      <c r="AJ8" s="59" t="e">
        <f>+'Proyectos Base digitable'!#REF!</f>
        <v>#REF!</v>
      </c>
      <c r="AK8" s="186" t="e">
        <f>+'Proyectos Base digitable'!#REF!</f>
        <v>#REF!</v>
      </c>
      <c r="AL8" s="186" t="e">
        <f>+'Proyectos Base digitable'!#REF!</f>
        <v>#REF!</v>
      </c>
      <c r="AM8" s="186" t="e">
        <f>+'Proyectos Base digitable'!#REF!</f>
        <v>#REF!</v>
      </c>
      <c r="AN8" s="186" t="e">
        <f>+'Proyectos Base digitable'!#REF!</f>
        <v>#REF!</v>
      </c>
      <c r="AO8" s="186" t="e">
        <f>+'Proyectos Base digitable'!#REF!</f>
        <v>#REF!</v>
      </c>
      <c r="AP8" s="186" t="e">
        <f>+'Proyectos Base digitable'!#REF!</f>
        <v>#REF!</v>
      </c>
      <c r="AQ8" s="186" t="e">
        <f>+'Proyectos Base digitable'!#REF!</f>
        <v>#REF!</v>
      </c>
      <c r="AR8" s="186" t="e">
        <f>+'Proyectos Base digitable'!#REF!</f>
        <v>#REF!</v>
      </c>
      <c r="AS8" s="186" t="e">
        <f>+'Proyectos Base digitable'!#REF!</f>
        <v>#REF!</v>
      </c>
      <c r="AT8" s="187" t="e">
        <f>+'Proyectos Base digitable'!#REF!</f>
        <v>#REF!</v>
      </c>
      <c r="AU8" s="56" t="e">
        <f>+'Proyectos Base digitable'!#REF!</f>
        <v>#REF!</v>
      </c>
      <c r="AV8" s="56" t="e">
        <f>+'Proyectos Base digitable'!#REF!</f>
        <v>#REF!</v>
      </c>
      <c r="AW8" s="56" t="e">
        <f>+'Proyectos Base digitable'!#REF!</f>
        <v>#REF!</v>
      </c>
      <c r="AX8" s="56" t="e">
        <f>+'Proyectos Base digitable'!#REF!</f>
        <v>#REF!</v>
      </c>
      <c r="AY8" s="56" t="e">
        <f>+'Proyectos Base digitable'!#REF!</f>
        <v>#REF!</v>
      </c>
      <c r="AZ8" s="188" t="e">
        <f>+'Proyectos Base digitable'!#REF!</f>
        <v>#REF!</v>
      </c>
      <c r="BA8" s="188" t="e">
        <f>+'Proyectos Base digitable'!#REF!</f>
        <v>#REF!</v>
      </c>
    </row>
    <row r="9" spans="1:53" ht="12.5">
      <c r="A9" s="60" t="e">
        <f>+'Proyectos Base digitable'!#REF!</f>
        <v>#REF!</v>
      </c>
      <c r="B9" s="56" t="e">
        <f>+'Proyectos Base digitable'!#REF!</f>
        <v>#REF!</v>
      </c>
      <c r="C9" s="56" t="e">
        <f>+'Proyectos Base digitable'!#REF!</f>
        <v>#REF!</v>
      </c>
      <c r="D9" s="56" t="e">
        <f>+'Proyectos Base digitable'!#REF!</f>
        <v>#REF!</v>
      </c>
      <c r="E9" s="56" t="e">
        <f>+'Proyectos Base digitable'!#REF!</f>
        <v>#REF!</v>
      </c>
      <c r="F9" s="56" t="e">
        <f>+'Proyectos Base digitable'!#REF!</f>
        <v>#REF!</v>
      </c>
      <c r="G9" s="57" t="e">
        <f>+'Proyectos Base digitable'!#REF!</f>
        <v>#REF!</v>
      </c>
      <c r="H9" s="56" t="e">
        <f>+'Proyectos Base digitable'!#REF!</f>
        <v>#REF!</v>
      </c>
      <c r="I9" s="56" t="e">
        <f>+'Proyectos Base digitable'!#REF!</f>
        <v>#REF!</v>
      </c>
      <c r="J9" s="56" t="e">
        <f>+'Proyectos Base digitable'!#REF!</f>
        <v>#REF!</v>
      </c>
      <c r="K9" s="56" t="e">
        <f>+'Proyectos Base digitable'!#REF!</f>
        <v>#REF!</v>
      </c>
      <c r="L9" s="56" t="e">
        <f>+'Proyectos Base digitable'!#REF!</f>
        <v>#REF!</v>
      </c>
      <c r="M9" s="56" t="e">
        <f>+'Proyectos Base digitable'!#REF!</f>
        <v>#REF!</v>
      </c>
      <c r="N9" s="52" t="e">
        <f>+'Proyectos Base digitable'!#REF!</f>
        <v>#REF!</v>
      </c>
      <c r="O9" s="52" t="e">
        <f>+'Proyectos Base digitable'!#REF!</f>
        <v>#REF!</v>
      </c>
      <c r="P9" s="185" t="e">
        <f>+'Proyectos Base digitable'!#REF!</f>
        <v>#REF!</v>
      </c>
      <c r="Q9" s="58" t="e">
        <f>+'Proyectos Base digitable'!#REF!</f>
        <v>#REF!</v>
      </c>
      <c r="R9" s="58" t="e">
        <f>+'Proyectos Base digitable'!#REF!</f>
        <v>#REF!</v>
      </c>
      <c r="S9" s="58" t="e">
        <f>+'Proyectos Base digitable'!#REF!</f>
        <v>#REF!</v>
      </c>
      <c r="T9" s="58" t="e">
        <f>+'Proyectos Base digitable'!#REF!</f>
        <v>#REF!</v>
      </c>
      <c r="U9" s="63" t="e">
        <f>'Proyectos Base digitable'!#REF!</f>
        <v>#REF!</v>
      </c>
      <c r="V9" s="63" t="e">
        <f>'Proyectos Base digitable'!#REF!</f>
        <v>#REF!</v>
      </c>
      <c r="W9" s="63" t="e">
        <f>'Proyectos Base digitable'!#REF!</f>
        <v>#REF!</v>
      </c>
      <c r="X9" s="63" t="e">
        <f>'Proyectos Base digitable'!#REF!</f>
        <v>#REF!</v>
      </c>
      <c r="Y9" s="63" t="e">
        <f>'Proyectos Base digitable'!#REF!</f>
        <v>#REF!</v>
      </c>
      <c r="Z9" s="58" t="e">
        <f>+'Proyectos Base digitable'!#REF!</f>
        <v>#REF!</v>
      </c>
      <c r="AA9" s="58" t="e">
        <f>+'Proyectos Base digitable'!#REF!</f>
        <v>#REF!</v>
      </c>
      <c r="AB9" s="63" t="e">
        <f>'Proyectos Base digitable'!#REF!</f>
        <v>#REF!</v>
      </c>
      <c r="AC9" s="56" t="e">
        <f>+'Proyectos Base digitable'!#REF!</f>
        <v>#REF!</v>
      </c>
      <c r="AD9" s="52" t="e">
        <f>+'Proyectos Base digitable'!#REF!</f>
        <v>#REF!</v>
      </c>
      <c r="AE9" s="52" t="e">
        <f>+'Proyectos Base digitable'!#REF!</f>
        <v>#REF!</v>
      </c>
      <c r="AF9" s="52" t="e">
        <f>+'Proyectos Base digitable'!#REF!</f>
        <v>#REF!</v>
      </c>
      <c r="AG9" s="56" t="e">
        <f>+'Proyectos Base digitable'!#REF!</f>
        <v>#REF!</v>
      </c>
      <c r="AH9" s="52" t="e">
        <f>+'Proyectos Base digitable'!#REF!</f>
        <v>#REF!</v>
      </c>
      <c r="AI9" s="52" t="e">
        <f>+'Proyectos Base digitable'!#REF!</f>
        <v>#REF!</v>
      </c>
      <c r="AJ9" s="59" t="e">
        <f>+'Proyectos Base digitable'!#REF!</f>
        <v>#REF!</v>
      </c>
      <c r="AK9" s="186" t="e">
        <f>+'Proyectos Base digitable'!#REF!</f>
        <v>#REF!</v>
      </c>
      <c r="AL9" s="186" t="e">
        <f>+'Proyectos Base digitable'!#REF!</f>
        <v>#REF!</v>
      </c>
      <c r="AM9" s="186" t="e">
        <f>+'Proyectos Base digitable'!#REF!</f>
        <v>#REF!</v>
      </c>
      <c r="AN9" s="186" t="e">
        <f>+'Proyectos Base digitable'!#REF!</f>
        <v>#REF!</v>
      </c>
      <c r="AO9" s="186" t="e">
        <f>+'Proyectos Base digitable'!#REF!</f>
        <v>#REF!</v>
      </c>
      <c r="AP9" s="186" t="e">
        <f>+'Proyectos Base digitable'!#REF!</f>
        <v>#REF!</v>
      </c>
      <c r="AQ9" s="186" t="e">
        <f>+'Proyectos Base digitable'!#REF!</f>
        <v>#REF!</v>
      </c>
      <c r="AR9" s="186" t="e">
        <f>+'Proyectos Base digitable'!#REF!</f>
        <v>#REF!</v>
      </c>
      <c r="AS9" s="186" t="e">
        <f>+'Proyectos Base digitable'!#REF!</f>
        <v>#REF!</v>
      </c>
      <c r="AT9" s="187" t="e">
        <f>+'Proyectos Base digitable'!#REF!</f>
        <v>#REF!</v>
      </c>
      <c r="AU9" s="56" t="e">
        <f>+'Proyectos Base digitable'!#REF!</f>
        <v>#REF!</v>
      </c>
      <c r="AV9" s="56" t="e">
        <f>+'Proyectos Base digitable'!#REF!</f>
        <v>#REF!</v>
      </c>
      <c r="AW9" s="56" t="e">
        <f>+'Proyectos Base digitable'!#REF!</f>
        <v>#REF!</v>
      </c>
      <c r="AX9" s="56" t="e">
        <f>+'Proyectos Base digitable'!#REF!</f>
        <v>#REF!</v>
      </c>
      <c r="AY9" s="56" t="e">
        <f>+'Proyectos Base digitable'!#REF!</f>
        <v>#REF!</v>
      </c>
      <c r="AZ9" s="188" t="e">
        <f>+'Proyectos Base digitable'!#REF!</f>
        <v>#REF!</v>
      </c>
      <c r="BA9" s="188" t="e">
        <f>+'Proyectos Base digitable'!#REF!</f>
        <v>#REF!</v>
      </c>
    </row>
    <row r="10" spans="1:53" ht="12.5">
      <c r="A10" s="60" t="e">
        <f>+'Proyectos Base digitable'!#REF!</f>
        <v>#REF!</v>
      </c>
      <c r="B10" s="56" t="e">
        <f>+'Proyectos Base digitable'!#REF!</f>
        <v>#REF!</v>
      </c>
      <c r="C10" s="56" t="e">
        <f>+'Proyectos Base digitable'!#REF!</f>
        <v>#REF!</v>
      </c>
      <c r="D10" s="56" t="e">
        <f>+'Proyectos Base digitable'!#REF!</f>
        <v>#REF!</v>
      </c>
      <c r="E10" s="56" t="e">
        <f>+'Proyectos Base digitable'!#REF!</f>
        <v>#REF!</v>
      </c>
      <c r="F10" s="56" t="e">
        <f>+'Proyectos Base digitable'!#REF!</f>
        <v>#REF!</v>
      </c>
      <c r="G10" s="57" t="e">
        <f>+'Proyectos Base digitable'!#REF!</f>
        <v>#REF!</v>
      </c>
      <c r="H10" s="56" t="e">
        <f>+'Proyectos Base digitable'!#REF!</f>
        <v>#REF!</v>
      </c>
      <c r="I10" s="56" t="e">
        <f>+'Proyectos Base digitable'!#REF!</f>
        <v>#REF!</v>
      </c>
      <c r="J10" s="56" t="e">
        <f>+'Proyectos Base digitable'!#REF!</f>
        <v>#REF!</v>
      </c>
      <c r="K10" s="56" t="e">
        <f>+'Proyectos Base digitable'!#REF!</f>
        <v>#REF!</v>
      </c>
      <c r="L10" s="56" t="e">
        <f>+'Proyectos Base digitable'!#REF!</f>
        <v>#REF!</v>
      </c>
      <c r="M10" s="56" t="e">
        <f>+'Proyectos Base digitable'!#REF!</f>
        <v>#REF!</v>
      </c>
      <c r="N10" s="52" t="e">
        <f>+'Proyectos Base digitable'!#REF!</f>
        <v>#REF!</v>
      </c>
      <c r="O10" s="52" t="e">
        <f>+'Proyectos Base digitable'!#REF!</f>
        <v>#REF!</v>
      </c>
      <c r="P10" s="185" t="e">
        <f>+'Proyectos Base digitable'!#REF!</f>
        <v>#REF!</v>
      </c>
      <c r="Q10" s="58" t="e">
        <f>+'Proyectos Base digitable'!#REF!</f>
        <v>#REF!</v>
      </c>
      <c r="R10" s="58" t="e">
        <f>+'Proyectos Base digitable'!#REF!</f>
        <v>#REF!</v>
      </c>
      <c r="S10" s="58" t="e">
        <f>+'Proyectos Base digitable'!#REF!</f>
        <v>#REF!</v>
      </c>
      <c r="T10" s="58" t="e">
        <f>+'Proyectos Base digitable'!#REF!</f>
        <v>#REF!</v>
      </c>
      <c r="U10" s="63" t="e">
        <f>'Proyectos Base digitable'!#REF!</f>
        <v>#REF!</v>
      </c>
      <c r="V10" s="63" t="e">
        <f>'Proyectos Base digitable'!#REF!</f>
        <v>#REF!</v>
      </c>
      <c r="W10" s="63" t="e">
        <f>'Proyectos Base digitable'!#REF!</f>
        <v>#REF!</v>
      </c>
      <c r="X10" s="63" t="e">
        <f>'Proyectos Base digitable'!#REF!</f>
        <v>#REF!</v>
      </c>
      <c r="Y10" s="63" t="e">
        <f>'Proyectos Base digitable'!#REF!</f>
        <v>#REF!</v>
      </c>
      <c r="Z10" s="58" t="e">
        <f>+'Proyectos Base digitable'!#REF!</f>
        <v>#REF!</v>
      </c>
      <c r="AA10" s="58" t="e">
        <f>+'Proyectos Base digitable'!#REF!</f>
        <v>#REF!</v>
      </c>
      <c r="AB10" s="63" t="e">
        <f>'Proyectos Base digitable'!#REF!</f>
        <v>#REF!</v>
      </c>
      <c r="AC10" s="56" t="e">
        <f>+'Proyectos Base digitable'!#REF!</f>
        <v>#REF!</v>
      </c>
      <c r="AD10" s="52" t="e">
        <f>+'Proyectos Base digitable'!#REF!</f>
        <v>#REF!</v>
      </c>
      <c r="AE10" s="52" t="e">
        <f>+'Proyectos Base digitable'!#REF!</f>
        <v>#REF!</v>
      </c>
      <c r="AF10" s="52" t="e">
        <f>+'Proyectos Base digitable'!#REF!</f>
        <v>#REF!</v>
      </c>
      <c r="AG10" s="56" t="e">
        <f>+'Proyectos Base digitable'!#REF!</f>
        <v>#REF!</v>
      </c>
      <c r="AH10" s="52" t="e">
        <f>+'Proyectos Base digitable'!#REF!</f>
        <v>#REF!</v>
      </c>
      <c r="AI10" s="52" t="e">
        <f>+'Proyectos Base digitable'!#REF!</f>
        <v>#REF!</v>
      </c>
      <c r="AJ10" s="59" t="e">
        <f>+'Proyectos Base digitable'!#REF!</f>
        <v>#REF!</v>
      </c>
      <c r="AK10" s="186" t="e">
        <f>+'Proyectos Base digitable'!#REF!</f>
        <v>#REF!</v>
      </c>
      <c r="AL10" s="186" t="e">
        <f>+'Proyectos Base digitable'!#REF!</f>
        <v>#REF!</v>
      </c>
      <c r="AM10" s="186" t="e">
        <f>+'Proyectos Base digitable'!#REF!</f>
        <v>#REF!</v>
      </c>
      <c r="AN10" s="186" t="e">
        <f>+'Proyectos Base digitable'!#REF!</f>
        <v>#REF!</v>
      </c>
      <c r="AO10" s="186" t="e">
        <f>+'Proyectos Base digitable'!#REF!</f>
        <v>#REF!</v>
      </c>
      <c r="AP10" s="186" t="e">
        <f>+'Proyectos Base digitable'!#REF!</f>
        <v>#REF!</v>
      </c>
      <c r="AQ10" s="186" t="e">
        <f>+'Proyectos Base digitable'!#REF!</f>
        <v>#REF!</v>
      </c>
      <c r="AR10" s="186" t="e">
        <f>+'Proyectos Base digitable'!#REF!</f>
        <v>#REF!</v>
      </c>
      <c r="AS10" s="186" t="e">
        <f>+'Proyectos Base digitable'!#REF!</f>
        <v>#REF!</v>
      </c>
      <c r="AT10" s="187" t="e">
        <f>+'Proyectos Base digitable'!#REF!</f>
        <v>#REF!</v>
      </c>
      <c r="AU10" s="56" t="e">
        <f>+'Proyectos Base digitable'!#REF!</f>
        <v>#REF!</v>
      </c>
      <c r="AV10" s="56" t="e">
        <f>+'Proyectos Base digitable'!#REF!</f>
        <v>#REF!</v>
      </c>
      <c r="AW10" s="56" t="e">
        <f>+'Proyectos Base digitable'!#REF!</f>
        <v>#REF!</v>
      </c>
      <c r="AX10" s="56" t="e">
        <f>+'Proyectos Base digitable'!#REF!</f>
        <v>#REF!</v>
      </c>
      <c r="AY10" s="56" t="e">
        <f>+'Proyectos Base digitable'!#REF!</f>
        <v>#REF!</v>
      </c>
      <c r="AZ10" s="188" t="e">
        <f>+'Proyectos Base digitable'!#REF!</f>
        <v>#REF!</v>
      </c>
      <c r="BA10" s="188" t="e">
        <f>+'Proyectos Base digitable'!#REF!</f>
        <v>#REF!</v>
      </c>
    </row>
    <row r="11" spans="1:53" ht="12.5">
      <c r="A11" s="60" t="e">
        <f>+'Proyectos Base digitable'!#REF!</f>
        <v>#REF!</v>
      </c>
      <c r="B11" s="56" t="e">
        <f>+'Proyectos Base digitable'!#REF!</f>
        <v>#REF!</v>
      </c>
      <c r="C11" s="56" t="e">
        <f>+'Proyectos Base digitable'!#REF!</f>
        <v>#REF!</v>
      </c>
      <c r="D11" s="56" t="e">
        <f>+'Proyectos Base digitable'!#REF!</f>
        <v>#REF!</v>
      </c>
      <c r="E11" s="56" t="e">
        <f>+'Proyectos Base digitable'!#REF!</f>
        <v>#REF!</v>
      </c>
      <c r="F11" s="56" t="e">
        <f>+'Proyectos Base digitable'!#REF!</f>
        <v>#REF!</v>
      </c>
      <c r="G11" s="57" t="e">
        <f>+'Proyectos Base digitable'!#REF!</f>
        <v>#REF!</v>
      </c>
      <c r="H11" s="56" t="e">
        <f>+'Proyectos Base digitable'!#REF!</f>
        <v>#REF!</v>
      </c>
      <c r="I11" s="56" t="e">
        <f>+'Proyectos Base digitable'!#REF!</f>
        <v>#REF!</v>
      </c>
      <c r="J11" s="56" t="e">
        <f>+'Proyectos Base digitable'!#REF!</f>
        <v>#REF!</v>
      </c>
      <c r="K11" s="56" t="e">
        <f>+'Proyectos Base digitable'!#REF!</f>
        <v>#REF!</v>
      </c>
      <c r="L11" s="56" t="e">
        <f>+'Proyectos Base digitable'!#REF!</f>
        <v>#REF!</v>
      </c>
      <c r="M11" s="56" t="e">
        <f>+'Proyectos Base digitable'!#REF!</f>
        <v>#REF!</v>
      </c>
      <c r="N11" s="52" t="e">
        <f>+'Proyectos Base digitable'!#REF!</f>
        <v>#REF!</v>
      </c>
      <c r="O11" s="52" t="e">
        <f>+'Proyectos Base digitable'!#REF!</f>
        <v>#REF!</v>
      </c>
      <c r="P11" s="185" t="e">
        <f>+'Proyectos Base digitable'!#REF!</f>
        <v>#REF!</v>
      </c>
      <c r="Q11" s="58" t="e">
        <f>+'Proyectos Base digitable'!#REF!</f>
        <v>#REF!</v>
      </c>
      <c r="R11" s="58" t="e">
        <f>+'Proyectos Base digitable'!#REF!</f>
        <v>#REF!</v>
      </c>
      <c r="S11" s="58" t="e">
        <f>+'Proyectos Base digitable'!#REF!</f>
        <v>#REF!</v>
      </c>
      <c r="T11" s="58" t="e">
        <f>+'Proyectos Base digitable'!#REF!</f>
        <v>#REF!</v>
      </c>
      <c r="U11" s="63" t="e">
        <f>'Proyectos Base digitable'!#REF!</f>
        <v>#REF!</v>
      </c>
      <c r="V11" s="63" t="e">
        <f>'Proyectos Base digitable'!#REF!</f>
        <v>#REF!</v>
      </c>
      <c r="W11" s="63" t="e">
        <f>'Proyectos Base digitable'!#REF!</f>
        <v>#REF!</v>
      </c>
      <c r="X11" s="63" t="e">
        <f>'Proyectos Base digitable'!#REF!</f>
        <v>#REF!</v>
      </c>
      <c r="Y11" s="63" t="e">
        <f>'Proyectos Base digitable'!#REF!</f>
        <v>#REF!</v>
      </c>
      <c r="Z11" s="58" t="e">
        <f>+'Proyectos Base digitable'!#REF!</f>
        <v>#REF!</v>
      </c>
      <c r="AA11" s="58" t="e">
        <f>+'Proyectos Base digitable'!#REF!</f>
        <v>#REF!</v>
      </c>
      <c r="AB11" s="63" t="e">
        <f>'Proyectos Base digitable'!#REF!</f>
        <v>#REF!</v>
      </c>
      <c r="AC11" s="56" t="e">
        <f>+'Proyectos Base digitable'!#REF!</f>
        <v>#REF!</v>
      </c>
      <c r="AD11" s="52" t="e">
        <f>+'Proyectos Base digitable'!#REF!</f>
        <v>#REF!</v>
      </c>
      <c r="AE11" s="52" t="e">
        <f>+'Proyectos Base digitable'!#REF!</f>
        <v>#REF!</v>
      </c>
      <c r="AF11" s="52" t="e">
        <f>+'Proyectos Base digitable'!#REF!</f>
        <v>#REF!</v>
      </c>
      <c r="AG11" s="56" t="e">
        <f>+'Proyectos Base digitable'!#REF!</f>
        <v>#REF!</v>
      </c>
      <c r="AH11" s="52" t="e">
        <f>+'Proyectos Base digitable'!#REF!</f>
        <v>#REF!</v>
      </c>
      <c r="AI11" s="52" t="e">
        <f>+'Proyectos Base digitable'!#REF!</f>
        <v>#REF!</v>
      </c>
      <c r="AJ11" s="59" t="e">
        <f>+'Proyectos Base digitable'!#REF!</f>
        <v>#REF!</v>
      </c>
      <c r="AK11" s="186" t="e">
        <f>+'Proyectos Base digitable'!#REF!</f>
        <v>#REF!</v>
      </c>
      <c r="AL11" s="186" t="e">
        <f>+'Proyectos Base digitable'!#REF!</f>
        <v>#REF!</v>
      </c>
      <c r="AM11" s="186" t="e">
        <f>+'Proyectos Base digitable'!#REF!</f>
        <v>#REF!</v>
      </c>
      <c r="AN11" s="186" t="e">
        <f>+'Proyectos Base digitable'!#REF!</f>
        <v>#REF!</v>
      </c>
      <c r="AO11" s="186" t="e">
        <f>+'Proyectos Base digitable'!#REF!</f>
        <v>#REF!</v>
      </c>
      <c r="AP11" s="186" t="e">
        <f>+'Proyectos Base digitable'!#REF!</f>
        <v>#REF!</v>
      </c>
      <c r="AQ11" s="186" t="e">
        <f>+'Proyectos Base digitable'!#REF!</f>
        <v>#REF!</v>
      </c>
      <c r="AR11" s="186" t="e">
        <f>+'Proyectos Base digitable'!#REF!</f>
        <v>#REF!</v>
      </c>
      <c r="AS11" s="186" t="e">
        <f>+'Proyectos Base digitable'!#REF!</f>
        <v>#REF!</v>
      </c>
      <c r="AT11" s="187" t="e">
        <f>+'Proyectos Base digitable'!#REF!</f>
        <v>#REF!</v>
      </c>
      <c r="AU11" s="56" t="e">
        <f>+'Proyectos Base digitable'!#REF!</f>
        <v>#REF!</v>
      </c>
      <c r="AV11" s="56" t="e">
        <f>+'Proyectos Base digitable'!#REF!</f>
        <v>#REF!</v>
      </c>
      <c r="AW11" s="56" t="e">
        <f>+'Proyectos Base digitable'!#REF!</f>
        <v>#REF!</v>
      </c>
      <c r="AX11" s="56" t="e">
        <f>+'Proyectos Base digitable'!#REF!</f>
        <v>#REF!</v>
      </c>
      <c r="AY11" s="56" t="e">
        <f>+'Proyectos Base digitable'!#REF!</f>
        <v>#REF!</v>
      </c>
      <c r="AZ11" s="188" t="e">
        <f>+'Proyectos Base digitable'!#REF!</f>
        <v>#REF!</v>
      </c>
      <c r="BA11" s="188" t="e">
        <f>+'Proyectos Base digitable'!#REF!</f>
        <v>#REF!</v>
      </c>
    </row>
    <row r="12" spans="1:53" ht="12.5">
      <c r="A12" s="60" t="e">
        <f>+'Proyectos Base digitable'!#REF!</f>
        <v>#REF!</v>
      </c>
      <c r="B12" s="56" t="e">
        <f>+'Proyectos Base digitable'!#REF!</f>
        <v>#REF!</v>
      </c>
      <c r="C12" s="56" t="e">
        <f>+'Proyectos Base digitable'!#REF!</f>
        <v>#REF!</v>
      </c>
      <c r="D12" s="56" t="e">
        <f>+'Proyectos Base digitable'!#REF!</f>
        <v>#REF!</v>
      </c>
      <c r="E12" s="56" t="e">
        <f>+'Proyectos Base digitable'!#REF!</f>
        <v>#REF!</v>
      </c>
      <c r="F12" s="56" t="e">
        <f>+'Proyectos Base digitable'!#REF!</f>
        <v>#REF!</v>
      </c>
      <c r="G12" s="57" t="e">
        <f>+'Proyectos Base digitable'!#REF!</f>
        <v>#REF!</v>
      </c>
      <c r="H12" s="56" t="e">
        <f>+'Proyectos Base digitable'!#REF!</f>
        <v>#REF!</v>
      </c>
      <c r="I12" s="56" t="e">
        <f>+'Proyectos Base digitable'!#REF!</f>
        <v>#REF!</v>
      </c>
      <c r="J12" s="56" t="e">
        <f>+'Proyectos Base digitable'!#REF!</f>
        <v>#REF!</v>
      </c>
      <c r="K12" s="56" t="e">
        <f>+'Proyectos Base digitable'!#REF!</f>
        <v>#REF!</v>
      </c>
      <c r="L12" s="56" t="e">
        <f>+'Proyectos Base digitable'!#REF!</f>
        <v>#REF!</v>
      </c>
      <c r="M12" s="56" t="e">
        <f>+'Proyectos Base digitable'!#REF!</f>
        <v>#REF!</v>
      </c>
      <c r="N12" s="52" t="e">
        <f>+'Proyectos Base digitable'!#REF!</f>
        <v>#REF!</v>
      </c>
      <c r="O12" s="52" t="e">
        <f>+'Proyectos Base digitable'!#REF!</f>
        <v>#REF!</v>
      </c>
      <c r="P12" s="185" t="e">
        <f>+'Proyectos Base digitable'!#REF!</f>
        <v>#REF!</v>
      </c>
      <c r="Q12" s="58" t="e">
        <f>+'Proyectos Base digitable'!#REF!</f>
        <v>#REF!</v>
      </c>
      <c r="R12" s="58" t="e">
        <f>+'Proyectos Base digitable'!#REF!</f>
        <v>#REF!</v>
      </c>
      <c r="S12" s="58" t="e">
        <f>+'Proyectos Base digitable'!#REF!</f>
        <v>#REF!</v>
      </c>
      <c r="T12" s="58" t="e">
        <f>+'Proyectos Base digitable'!#REF!</f>
        <v>#REF!</v>
      </c>
      <c r="U12" s="63" t="e">
        <f>'Proyectos Base digitable'!#REF!</f>
        <v>#REF!</v>
      </c>
      <c r="V12" s="63" t="e">
        <f>'Proyectos Base digitable'!#REF!</f>
        <v>#REF!</v>
      </c>
      <c r="W12" s="63" t="e">
        <f>'Proyectos Base digitable'!#REF!</f>
        <v>#REF!</v>
      </c>
      <c r="X12" s="63" t="e">
        <f>'Proyectos Base digitable'!#REF!</f>
        <v>#REF!</v>
      </c>
      <c r="Y12" s="63" t="e">
        <f>'Proyectos Base digitable'!#REF!</f>
        <v>#REF!</v>
      </c>
      <c r="Z12" s="58" t="e">
        <f>+'Proyectos Base digitable'!#REF!</f>
        <v>#REF!</v>
      </c>
      <c r="AA12" s="58" t="e">
        <f>+'Proyectos Base digitable'!#REF!</f>
        <v>#REF!</v>
      </c>
      <c r="AB12" s="63" t="e">
        <f>'Proyectos Base digitable'!#REF!</f>
        <v>#REF!</v>
      </c>
      <c r="AC12" s="56" t="e">
        <f>+'Proyectos Base digitable'!#REF!</f>
        <v>#REF!</v>
      </c>
      <c r="AD12" s="52" t="e">
        <f>+'Proyectos Base digitable'!#REF!</f>
        <v>#REF!</v>
      </c>
      <c r="AE12" s="52" t="e">
        <f>+'Proyectos Base digitable'!#REF!</f>
        <v>#REF!</v>
      </c>
      <c r="AF12" s="52" t="e">
        <f>+'Proyectos Base digitable'!#REF!</f>
        <v>#REF!</v>
      </c>
      <c r="AG12" s="56" t="e">
        <f>+'Proyectos Base digitable'!#REF!</f>
        <v>#REF!</v>
      </c>
      <c r="AH12" s="52" t="e">
        <f>+'Proyectos Base digitable'!#REF!</f>
        <v>#REF!</v>
      </c>
      <c r="AI12" s="52" t="e">
        <f>+'Proyectos Base digitable'!#REF!</f>
        <v>#REF!</v>
      </c>
      <c r="AJ12" s="59" t="e">
        <f>+'Proyectos Base digitable'!#REF!</f>
        <v>#REF!</v>
      </c>
      <c r="AK12" s="186" t="e">
        <f>+'Proyectos Base digitable'!#REF!</f>
        <v>#REF!</v>
      </c>
      <c r="AL12" s="186" t="e">
        <f>+'Proyectos Base digitable'!#REF!</f>
        <v>#REF!</v>
      </c>
      <c r="AM12" s="186" t="e">
        <f>+'Proyectos Base digitable'!#REF!</f>
        <v>#REF!</v>
      </c>
      <c r="AN12" s="186" t="e">
        <f>+'Proyectos Base digitable'!#REF!</f>
        <v>#REF!</v>
      </c>
      <c r="AO12" s="186" t="e">
        <f>+'Proyectos Base digitable'!#REF!</f>
        <v>#REF!</v>
      </c>
      <c r="AP12" s="186" t="e">
        <f>+'Proyectos Base digitable'!#REF!</f>
        <v>#REF!</v>
      </c>
      <c r="AQ12" s="186" t="e">
        <f>+'Proyectos Base digitable'!#REF!</f>
        <v>#REF!</v>
      </c>
      <c r="AR12" s="186" t="e">
        <f>+'Proyectos Base digitable'!#REF!</f>
        <v>#REF!</v>
      </c>
      <c r="AS12" s="186" t="e">
        <f>+'Proyectos Base digitable'!#REF!</f>
        <v>#REF!</v>
      </c>
      <c r="AT12" s="187" t="e">
        <f>+'Proyectos Base digitable'!#REF!</f>
        <v>#REF!</v>
      </c>
      <c r="AU12" s="56" t="e">
        <f>+'Proyectos Base digitable'!#REF!</f>
        <v>#REF!</v>
      </c>
      <c r="AV12" s="56" t="e">
        <f>+'Proyectos Base digitable'!#REF!</f>
        <v>#REF!</v>
      </c>
      <c r="AW12" s="56" t="e">
        <f>+'Proyectos Base digitable'!#REF!</f>
        <v>#REF!</v>
      </c>
      <c r="AX12" s="56" t="e">
        <f>+'Proyectos Base digitable'!#REF!</f>
        <v>#REF!</v>
      </c>
      <c r="AY12" s="56" t="e">
        <f>+'Proyectos Base digitable'!#REF!</f>
        <v>#REF!</v>
      </c>
      <c r="AZ12" s="188" t="e">
        <f>+'Proyectos Base digitable'!#REF!</f>
        <v>#REF!</v>
      </c>
      <c r="BA12" s="188" t="e">
        <f>+'Proyectos Base digitable'!#REF!</f>
        <v>#REF!</v>
      </c>
    </row>
    <row r="13" spans="1:53" ht="12.5">
      <c r="A13" s="60" t="e">
        <f>+'Proyectos Base digitable'!#REF!</f>
        <v>#REF!</v>
      </c>
      <c r="B13" s="56" t="e">
        <f>+'Proyectos Base digitable'!#REF!</f>
        <v>#REF!</v>
      </c>
      <c r="C13" s="56" t="e">
        <f>+'Proyectos Base digitable'!#REF!</f>
        <v>#REF!</v>
      </c>
      <c r="D13" s="56" t="e">
        <f>+'Proyectos Base digitable'!#REF!</f>
        <v>#REF!</v>
      </c>
      <c r="E13" s="56" t="e">
        <f>+'Proyectos Base digitable'!#REF!</f>
        <v>#REF!</v>
      </c>
      <c r="F13" s="56" t="e">
        <f>+'Proyectos Base digitable'!#REF!</f>
        <v>#REF!</v>
      </c>
      <c r="G13" s="57" t="e">
        <f>+'Proyectos Base digitable'!#REF!</f>
        <v>#REF!</v>
      </c>
      <c r="H13" s="56" t="e">
        <f>+'Proyectos Base digitable'!#REF!</f>
        <v>#REF!</v>
      </c>
      <c r="I13" s="56" t="e">
        <f>+'Proyectos Base digitable'!#REF!</f>
        <v>#REF!</v>
      </c>
      <c r="J13" s="56" t="e">
        <f>+'Proyectos Base digitable'!#REF!</f>
        <v>#REF!</v>
      </c>
      <c r="K13" s="56" t="e">
        <f>+'Proyectos Base digitable'!#REF!</f>
        <v>#REF!</v>
      </c>
      <c r="L13" s="56" t="e">
        <f>+'Proyectos Base digitable'!#REF!</f>
        <v>#REF!</v>
      </c>
      <c r="M13" s="56" t="e">
        <f>+'Proyectos Base digitable'!#REF!</f>
        <v>#REF!</v>
      </c>
      <c r="N13" s="52" t="e">
        <f>+'Proyectos Base digitable'!#REF!</f>
        <v>#REF!</v>
      </c>
      <c r="O13" s="52" t="e">
        <f>+'Proyectos Base digitable'!#REF!</f>
        <v>#REF!</v>
      </c>
      <c r="P13" s="185" t="e">
        <f>+'Proyectos Base digitable'!#REF!</f>
        <v>#REF!</v>
      </c>
      <c r="Q13" s="58" t="e">
        <f>+'Proyectos Base digitable'!#REF!</f>
        <v>#REF!</v>
      </c>
      <c r="R13" s="58" t="e">
        <f>+'Proyectos Base digitable'!#REF!</f>
        <v>#REF!</v>
      </c>
      <c r="S13" s="58" t="e">
        <f>+'Proyectos Base digitable'!#REF!</f>
        <v>#REF!</v>
      </c>
      <c r="T13" s="58" t="e">
        <f>+'Proyectos Base digitable'!#REF!</f>
        <v>#REF!</v>
      </c>
      <c r="U13" s="63" t="e">
        <f>'Proyectos Base digitable'!#REF!</f>
        <v>#REF!</v>
      </c>
      <c r="V13" s="63" t="e">
        <f>'Proyectos Base digitable'!#REF!</f>
        <v>#REF!</v>
      </c>
      <c r="W13" s="63" t="e">
        <f>'Proyectos Base digitable'!#REF!</f>
        <v>#REF!</v>
      </c>
      <c r="X13" s="63" t="e">
        <f>'Proyectos Base digitable'!#REF!</f>
        <v>#REF!</v>
      </c>
      <c r="Y13" s="63" t="e">
        <f>'Proyectos Base digitable'!#REF!</f>
        <v>#REF!</v>
      </c>
      <c r="Z13" s="58" t="e">
        <f>+'Proyectos Base digitable'!#REF!</f>
        <v>#REF!</v>
      </c>
      <c r="AA13" s="58" t="e">
        <f>+'Proyectos Base digitable'!#REF!</f>
        <v>#REF!</v>
      </c>
      <c r="AB13" s="63" t="e">
        <f>'Proyectos Base digitable'!#REF!</f>
        <v>#REF!</v>
      </c>
      <c r="AC13" s="56" t="e">
        <f>+'Proyectos Base digitable'!#REF!</f>
        <v>#REF!</v>
      </c>
      <c r="AD13" s="52" t="e">
        <f>+'Proyectos Base digitable'!#REF!</f>
        <v>#REF!</v>
      </c>
      <c r="AE13" s="52" t="e">
        <f>+'Proyectos Base digitable'!#REF!</f>
        <v>#REF!</v>
      </c>
      <c r="AF13" s="52" t="e">
        <f>+'Proyectos Base digitable'!#REF!</f>
        <v>#REF!</v>
      </c>
      <c r="AG13" s="56" t="e">
        <f>+'Proyectos Base digitable'!#REF!</f>
        <v>#REF!</v>
      </c>
      <c r="AH13" s="52" t="e">
        <f>+'Proyectos Base digitable'!#REF!</f>
        <v>#REF!</v>
      </c>
      <c r="AI13" s="52" t="e">
        <f>+'Proyectos Base digitable'!#REF!</f>
        <v>#REF!</v>
      </c>
      <c r="AJ13" s="59" t="e">
        <f>+'Proyectos Base digitable'!#REF!</f>
        <v>#REF!</v>
      </c>
      <c r="AK13" s="186" t="e">
        <f>+'Proyectos Base digitable'!#REF!</f>
        <v>#REF!</v>
      </c>
      <c r="AL13" s="186" t="e">
        <f>+'Proyectos Base digitable'!#REF!</f>
        <v>#REF!</v>
      </c>
      <c r="AM13" s="186" t="e">
        <f>+'Proyectos Base digitable'!#REF!</f>
        <v>#REF!</v>
      </c>
      <c r="AN13" s="186" t="e">
        <f>+'Proyectos Base digitable'!#REF!</f>
        <v>#REF!</v>
      </c>
      <c r="AO13" s="186" t="e">
        <f>+'Proyectos Base digitable'!#REF!</f>
        <v>#REF!</v>
      </c>
      <c r="AP13" s="186" t="e">
        <f>+'Proyectos Base digitable'!#REF!</f>
        <v>#REF!</v>
      </c>
      <c r="AQ13" s="186" t="e">
        <f>+'Proyectos Base digitable'!#REF!</f>
        <v>#REF!</v>
      </c>
      <c r="AR13" s="186" t="e">
        <f>+'Proyectos Base digitable'!#REF!</f>
        <v>#REF!</v>
      </c>
      <c r="AS13" s="186" t="e">
        <f>+'Proyectos Base digitable'!#REF!</f>
        <v>#REF!</v>
      </c>
      <c r="AT13" s="187" t="e">
        <f>+'Proyectos Base digitable'!#REF!</f>
        <v>#REF!</v>
      </c>
      <c r="AU13" s="56" t="e">
        <f>+'Proyectos Base digitable'!#REF!</f>
        <v>#REF!</v>
      </c>
      <c r="AV13" s="56" t="e">
        <f>+'Proyectos Base digitable'!#REF!</f>
        <v>#REF!</v>
      </c>
      <c r="AW13" s="56" t="e">
        <f>+'Proyectos Base digitable'!#REF!</f>
        <v>#REF!</v>
      </c>
      <c r="AX13" s="56" t="e">
        <f>+'Proyectos Base digitable'!#REF!</f>
        <v>#REF!</v>
      </c>
      <c r="AY13" s="56" t="e">
        <f>+'Proyectos Base digitable'!#REF!</f>
        <v>#REF!</v>
      </c>
      <c r="AZ13" s="188" t="e">
        <f>+'Proyectos Base digitable'!#REF!</f>
        <v>#REF!</v>
      </c>
      <c r="BA13" s="188" t="e">
        <f>+'Proyectos Base digitable'!#REF!</f>
        <v>#REF!</v>
      </c>
    </row>
    <row r="14" spans="1:53" ht="12.5">
      <c r="A14" s="60" t="e">
        <f>+'Proyectos Base digitable'!#REF!</f>
        <v>#REF!</v>
      </c>
      <c r="B14" s="56" t="e">
        <f>+'Proyectos Base digitable'!#REF!</f>
        <v>#REF!</v>
      </c>
      <c r="C14" s="56" t="e">
        <f>+'Proyectos Base digitable'!#REF!</f>
        <v>#REF!</v>
      </c>
      <c r="D14" s="56" t="e">
        <f>+'Proyectos Base digitable'!#REF!</f>
        <v>#REF!</v>
      </c>
      <c r="E14" s="56" t="e">
        <f>+'Proyectos Base digitable'!#REF!</f>
        <v>#REF!</v>
      </c>
      <c r="F14" s="56" t="e">
        <f>+'Proyectos Base digitable'!#REF!</f>
        <v>#REF!</v>
      </c>
      <c r="G14" s="57" t="e">
        <f>+'Proyectos Base digitable'!#REF!</f>
        <v>#REF!</v>
      </c>
      <c r="H14" s="56" t="e">
        <f>+'Proyectos Base digitable'!#REF!</f>
        <v>#REF!</v>
      </c>
      <c r="I14" s="56" t="e">
        <f>+'Proyectos Base digitable'!#REF!</f>
        <v>#REF!</v>
      </c>
      <c r="J14" s="56" t="e">
        <f>+'Proyectos Base digitable'!#REF!</f>
        <v>#REF!</v>
      </c>
      <c r="K14" s="56" t="e">
        <f>+'Proyectos Base digitable'!#REF!</f>
        <v>#REF!</v>
      </c>
      <c r="L14" s="56" t="e">
        <f>+'Proyectos Base digitable'!#REF!</f>
        <v>#REF!</v>
      </c>
      <c r="M14" s="56" t="e">
        <f>+'Proyectos Base digitable'!#REF!</f>
        <v>#REF!</v>
      </c>
      <c r="N14" s="52" t="e">
        <f>+'Proyectos Base digitable'!#REF!</f>
        <v>#REF!</v>
      </c>
      <c r="O14" s="52" t="e">
        <f>+'Proyectos Base digitable'!#REF!</f>
        <v>#REF!</v>
      </c>
      <c r="P14" s="185" t="e">
        <f>+'Proyectos Base digitable'!#REF!</f>
        <v>#REF!</v>
      </c>
      <c r="Q14" s="58" t="e">
        <f>+'Proyectos Base digitable'!#REF!</f>
        <v>#REF!</v>
      </c>
      <c r="R14" s="58" t="e">
        <f>+'Proyectos Base digitable'!#REF!</f>
        <v>#REF!</v>
      </c>
      <c r="S14" s="58" t="e">
        <f>+'Proyectos Base digitable'!#REF!</f>
        <v>#REF!</v>
      </c>
      <c r="T14" s="58" t="e">
        <f>+'Proyectos Base digitable'!#REF!</f>
        <v>#REF!</v>
      </c>
      <c r="U14" s="63" t="e">
        <f>'Proyectos Base digitable'!#REF!</f>
        <v>#REF!</v>
      </c>
      <c r="V14" s="63" t="e">
        <f>'Proyectos Base digitable'!#REF!</f>
        <v>#REF!</v>
      </c>
      <c r="W14" s="63" t="e">
        <f>'Proyectos Base digitable'!#REF!</f>
        <v>#REF!</v>
      </c>
      <c r="X14" s="63" t="e">
        <f>'Proyectos Base digitable'!#REF!</f>
        <v>#REF!</v>
      </c>
      <c r="Y14" s="63" t="e">
        <f>'Proyectos Base digitable'!#REF!</f>
        <v>#REF!</v>
      </c>
      <c r="Z14" s="58" t="e">
        <f>+'Proyectos Base digitable'!#REF!</f>
        <v>#REF!</v>
      </c>
      <c r="AA14" s="58" t="e">
        <f>+'Proyectos Base digitable'!#REF!</f>
        <v>#REF!</v>
      </c>
      <c r="AB14" s="63" t="e">
        <f>'Proyectos Base digitable'!#REF!</f>
        <v>#REF!</v>
      </c>
      <c r="AC14" s="56" t="e">
        <f>+'Proyectos Base digitable'!#REF!</f>
        <v>#REF!</v>
      </c>
      <c r="AD14" s="52" t="e">
        <f>+'Proyectos Base digitable'!#REF!</f>
        <v>#REF!</v>
      </c>
      <c r="AE14" s="52" t="e">
        <f>+'Proyectos Base digitable'!#REF!</f>
        <v>#REF!</v>
      </c>
      <c r="AF14" s="52" t="e">
        <f>+'Proyectos Base digitable'!#REF!</f>
        <v>#REF!</v>
      </c>
      <c r="AG14" s="56" t="e">
        <f>+'Proyectos Base digitable'!#REF!</f>
        <v>#REF!</v>
      </c>
      <c r="AH14" s="52" t="e">
        <f>+'Proyectos Base digitable'!#REF!</f>
        <v>#REF!</v>
      </c>
      <c r="AI14" s="52" t="e">
        <f>+'Proyectos Base digitable'!#REF!</f>
        <v>#REF!</v>
      </c>
      <c r="AJ14" s="59" t="e">
        <f>+'Proyectos Base digitable'!#REF!</f>
        <v>#REF!</v>
      </c>
      <c r="AK14" s="186" t="e">
        <f>+'Proyectos Base digitable'!#REF!</f>
        <v>#REF!</v>
      </c>
      <c r="AL14" s="186" t="e">
        <f>+'Proyectos Base digitable'!#REF!</f>
        <v>#REF!</v>
      </c>
      <c r="AM14" s="186" t="e">
        <f>+'Proyectos Base digitable'!#REF!</f>
        <v>#REF!</v>
      </c>
      <c r="AN14" s="186" t="e">
        <f>+'Proyectos Base digitable'!#REF!</f>
        <v>#REF!</v>
      </c>
      <c r="AO14" s="186" t="e">
        <f>+'Proyectos Base digitable'!#REF!</f>
        <v>#REF!</v>
      </c>
      <c r="AP14" s="186" t="e">
        <f>+'Proyectos Base digitable'!#REF!</f>
        <v>#REF!</v>
      </c>
      <c r="AQ14" s="186" t="e">
        <f>+'Proyectos Base digitable'!#REF!</f>
        <v>#REF!</v>
      </c>
      <c r="AR14" s="186" t="e">
        <f>+'Proyectos Base digitable'!#REF!</f>
        <v>#REF!</v>
      </c>
      <c r="AS14" s="186" t="e">
        <f>+'Proyectos Base digitable'!#REF!</f>
        <v>#REF!</v>
      </c>
      <c r="AT14" s="187" t="e">
        <f>+'Proyectos Base digitable'!#REF!</f>
        <v>#REF!</v>
      </c>
      <c r="AU14" s="56" t="e">
        <f>+'Proyectos Base digitable'!#REF!</f>
        <v>#REF!</v>
      </c>
      <c r="AV14" s="56" t="e">
        <f>+'Proyectos Base digitable'!#REF!</f>
        <v>#REF!</v>
      </c>
      <c r="AW14" s="56" t="e">
        <f>+'Proyectos Base digitable'!#REF!</f>
        <v>#REF!</v>
      </c>
      <c r="AX14" s="56" t="e">
        <f>+'Proyectos Base digitable'!#REF!</f>
        <v>#REF!</v>
      </c>
      <c r="AY14" s="56" t="e">
        <f>+'Proyectos Base digitable'!#REF!</f>
        <v>#REF!</v>
      </c>
      <c r="AZ14" s="188" t="e">
        <f>+'Proyectos Base digitable'!#REF!</f>
        <v>#REF!</v>
      </c>
      <c r="BA14" s="188" t="e">
        <f>+'Proyectos Base digitable'!#REF!</f>
        <v>#REF!</v>
      </c>
    </row>
    <row r="15" spans="1:53" ht="12.5">
      <c r="A15" s="60" t="e">
        <f>+'Proyectos Base digitable'!#REF!</f>
        <v>#REF!</v>
      </c>
      <c r="B15" s="56" t="e">
        <f>+'Proyectos Base digitable'!#REF!</f>
        <v>#REF!</v>
      </c>
      <c r="C15" s="56" t="e">
        <f>+'Proyectos Base digitable'!#REF!</f>
        <v>#REF!</v>
      </c>
      <c r="D15" s="56" t="e">
        <f>+'Proyectos Base digitable'!#REF!</f>
        <v>#REF!</v>
      </c>
      <c r="E15" s="56" t="e">
        <f>+'Proyectos Base digitable'!#REF!</f>
        <v>#REF!</v>
      </c>
      <c r="F15" s="56" t="e">
        <f>+'Proyectos Base digitable'!#REF!</f>
        <v>#REF!</v>
      </c>
      <c r="G15" s="57" t="e">
        <f>+'Proyectos Base digitable'!#REF!</f>
        <v>#REF!</v>
      </c>
      <c r="H15" s="56" t="e">
        <f>+'Proyectos Base digitable'!#REF!</f>
        <v>#REF!</v>
      </c>
      <c r="I15" s="56" t="e">
        <f>+'Proyectos Base digitable'!#REF!</f>
        <v>#REF!</v>
      </c>
      <c r="J15" s="56" t="e">
        <f>+'Proyectos Base digitable'!#REF!</f>
        <v>#REF!</v>
      </c>
      <c r="K15" s="56" t="e">
        <f>+'Proyectos Base digitable'!#REF!</f>
        <v>#REF!</v>
      </c>
      <c r="L15" s="56" t="e">
        <f>+'Proyectos Base digitable'!#REF!</f>
        <v>#REF!</v>
      </c>
      <c r="M15" s="56" t="e">
        <f>+'Proyectos Base digitable'!#REF!</f>
        <v>#REF!</v>
      </c>
      <c r="N15" s="52" t="e">
        <f>+'Proyectos Base digitable'!#REF!</f>
        <v>#REF!</v>
      </c>
      <c r="O15" s="52" t="e">
        <f>+'Proyectos Base digitable'!#REF!</f>
        <v>#REF!</v>
      </c>
      <c r="P15" s="185" t="e">
        <f>+'Proyectos Base digitable'!#REF!</f>
        <v>#REF!</v>
      </c>
      <c r="Q15" s="58" t="e">
        <f>+'Proyectos Base digitable'!#REF!</f>
        <v>#REF!</v>
      </c>
      <c r="R15" s="58" t="e">
        <f>+'Proyectos Base digitable'!#REF!</f>
        <v>#REF!</v>
      </c>
      <c r="S15" s="58" t="e">
        <f>+'Proyectos Base digitable'!#REF!</f>
        <v>#REF!</v>
      </c>
      <c r="T15" s="58" t="e">
        <f>+'Proyectos Base digitable'!#REF!</f>
        <v>#REF!</v>
      </c>
      <c r="U15" s="63" t="e">
        <f>'Proyectos Base digitable'!#REF!</f>
        <v>#REF!</v>
      </c>
      <c r="V15" s="63" t="e">
        <f>'Proyectos Base digitable'!#REF!</f>
        <v>#REF!</v>
      </c>
      <c r="W15" s="63" t="e">
        <f>'Proyectos Base digitable'!#REF!</f>
        <v>#REF!</v>
      </c>
      <c r="X15" s="63" t="e">
        <f>'Proyectos Base digitable'!#REF!</f>
        <v>#REF!</v>
      </c>
      <c r="Y15" s="63" t="e">
        <f>'Proyectos Base digitable'!#REF!</f>
        <v>#REF!</v>
      </c>
      <c r="Z15" s="58" t="e">
        <f>+'Proyectos Base digitable'!#REF!</f>
        <v>#REF!</v>
      </c>
      <c r="AA15" s="58" t="e">
        <f>+'Proyectos Base digitable'!#REF!</f>
        <v>#REF!</v>
      </c>
      <c r="AB15" s="63" t="e">
        <f>'Proyectos Base digitable'!#REF!</f>
        <v>#REF!</v>
      </c>
      <c r="AC15" s="56" t="e">
        <f>+'Proyectos Base digitable'!#REF!</f>
        <v>#REF!</v>
      </c>
      <c r="AD15" s="52" t="e">
        <f>+'Proyectos Base digitable'!#REF!</f>
        <v>#REF!</v>
      </c>
      <c r="AE15" s="52" t="e">
        <f>+'Proyectos Base digitable'!#REF!</f>
        <v>#REF!</v>
      </c>
      <c r="AF15" s="52" t="e">
        <f>+'Proyectos Base digitable'!#REF!</f>
        <v>#REF!</v>
      </c>
      <c r="AG15" s="56" t="e">
        <f>+'Proyectos Base digitable'!#REF!</f>
        <v>#REF!</v>
      </c>
      <c r="AH15" s="52" t="e">
        <f>+'Proyectos Base digitable'!#REF!</f>
        <v>#REF!</v>
      </c>
      <c r="AI15" s="52" t="e">
        <f>+'Proyectos Base digitable'!#REF!</f>
        <v>#REF!</v>
      </c>
      <c r="AJ15" s="59" t="e">
        <f>+'Proyectos Base digitable'!#REF!</f>
        <v>#REF!</v>
      </c>
      <c r="AK15" s="186" t="e">
        <f>+'Proyectos Base digitable'!#REF!</f>
        <v>#REF!</v>
      </c>
      <c r="AL15" s="186" t="e">
        <f>+'Proyectos Base digitable'!#REF!</f>
        <v>#REF!</v>
      </c>
      <c r="AM15" s="186" t="e">
        <f>+'Proyectos Base digitable'!#REF!</f>
        <v>#REF!</v>
      </c>
      <c r="AN15" s="186" t="e">
        <f>+'Proyectos Base digitable'!#REF!</f>
        <v>#REF!</v>
      </c>
      <c r="AO15" s="186" t="e">
        <f>+'Proyectos Base digitable'!#REF!</f>
        <v>#REF!</v>
      </c>
      <c r="AP15" s="186" t="e">
        <f>+'Proyectos Base digitable'!#REF!</f>
        <v>#REF!</v>
      </c>
      <c r="AQ15" s="186" t="e">
        <f>+'Proyectos Base digitable'!#REF!</f>
        <v>#REF!</v>
      </c>
      <c r="AR15" s="186" t="e">
        <f>+'Proyectos Base digitable'!#REF!</f>
        <v>#REF!</v>
      </c>
      <c r="AS15" s="186" t="e">
        <f>+'Proyectos Base digitable'!#REF!</f>
        <v>#REF!</v>
      </c>
      <c r="AT15" s="187" t="e">
        <f>+'Proyectos Base digitable'!#REF!</f>
        <v>#REF!</v>
      </c>
      <c r="AU15" s="56" t="e">
        <f>+'Proyectos Base digitable'!#REF!</f>
        <v>#REF!</v>
      </c>
      <c r="AV15" s="56" t="e">
        <f>+'Proyectos Base digitable'!#REF!</f>
        <v>#REF!</v>
      </c>
      <c r="AW15" s="56" t="e">
        <f>+'Proyectos Base digitable'!#REF!</f>
        <v>#REF!</v>
      </c>
      <c r="AX15" s="56" t="e">
        <f>+'Proyectos Base digitable'!#REF!</f>
        <v>#REF!</v>
      </c>
      <c r="AY15" s="56" t="e">
        <f>+'Proyectos Base digitable'!#REF!</f>
        <v>#REF!</v>
      </c>
      <c r="AZ15" s="188" t="e">
        <f>+'Proyectos Base digitable'!#REF!</f>
        <v>#REF!</v>
      </c>
      <c r="BA15" s="188" t="e">
        <f>+'Proyectos Base digitable'!#REF!</f>
        <v>#REF!</v>
      </c>
    </row>
    <row r="16" spans="1:53" ht="12.5">
      <c r="A16" s="60" t="e">
        <f>+'Proyectos Base digitable'!#REF!</f>
        <v>#REF!</v>
      </c>
      <c r="B16" s="56" t="e">
        <f>+'Proyectos Base digitable'!#REF!</f>
        <v>#REF!</v>
      </c>
      <c r="C16" s="56" t="e">
        <f>+'Proyectos Base digitable'!#REF!</f>
        <v>#REF!</v>
      </c>
      <c r="D16" s="56" t="e">
        <f>+'Proyectos Base digitable'!#REF!</f>
        <v>#REF!</v>
      </c>
      <c r="E16" s="56" t="e">
        <f>+'Proyectos Base digitable'!#REF!</f>
        <v>#REF!</v>
      </c>
      <c r="F16" s="56" t="e">
        <f>+'Proyectos Base digitable'!#REF!</f>
        <v>#REF!</v>
      </c>
      <c r="G16" s="57" t="e">
        <f>+'Proyectos Base digitable'!#REF!</f>
        <v>#REF!</v>
      </c>
      <c r="H16" s="56" t="e">
        <f>+'Proyectos Base digitable'!#REF!</f>
        <v>#REF!</v>
      </c>
      <c r="I16" s="56" t="e">
        <f>+'Proyectos Base digitable'!#REF!</f>
        <v>#REF!</v>
      </c>
      <c r="J16" s="56" t="e">
        <f>+'Proyectos Base digitable'!#REF!</f>
        <v>#REF!</v>
      </c>
      <c r="K16" s="56" t="e">
        <f>+'Proyectos Base digitable'!#REF!</f>
        <v>#REF!</v>
      </c>
      <c r="L16" s="56" t="e">
        <f>+'Proyectos Base digitable'!#REF!</f>
        <v>#REF!</v>
      </c>
      <c r="M16" s="56" t="e">
        <f>+'Proyectos Base digitable'!#REF!</f>
        <v>#REF!</v>
      </c>
      <c r="N16" s="52" t="e">
        <f>+'Proyectos Base digitable'!#REF!</f>
        <v>#REF!</v>
      </c>
      <c r="O16" s="52" t="e">
        <f>+'Proyectos Base digitable'!#REF!</f>
        <v>#REF!</v>
      </c>
      <c r="P16" s="185" t="e">
        <f>+'Proyectos Base digitable'!#REF!</f>
        <v>#REF!</v>
      </c>
      <c r="Q16" s="58" t="e">
        <f>+'Proyectos Base digitable'!#REF!</f>
        <v>#REF!</v>
      </c>
      <c r="R16" s="58" t="e">
        <f>+'Proyectos Base digitable'!#REF!</f>
        <v>#REF!</v>
      </c>
      <c r="S16" s="58" t="e">
        <f>+'Proyectos Base digitable'!#REF!</f>
        <v>#REF!</v>
      </c>
      <c r="T16" s="58" t="e">
        <f>+'Proyectos Base digitable'!#REF!</f>
        <v>#REF!</v>
      </c>
      <c r="U16" s="63" t="e">
        <f>'Proyectos Base digitable'!#REF!</f>
        <v>#REF!</v>
      </c>
      <c r="V16" s="63" t="e">
        <f>'Proyectos Base digitable'!#REF!</f>
        <v>#REF!</v>
      </c>
      <c r="W16" s="63" t="e">
        <f>'Proyectos Base digitable'!#REF!</f>
        <v>#REF!</v>
      </c>
      <c r="X16" s="63" t="e">
        <f>'Proyectos Base digitable'!#REF!</f>
        <v>#REF!</v>
      </c>
      <c r="Y16" s="63" t="e">
        <f>'Proyectos Base digitable'!#REF!</f>
        <v>#REF!</v>
      </c>
      <c r="Z16" s="58" t="e">
        <f>+'Proyectos Base digitable'!#REF!</f>
        <v>#REF!</v>
      </c>
      <c r="AA16" s="58" t="e">
        <f>+'Proyectos Base digitable'!#REF!</f>
        <v>#REF!</v>
      </c>
      <c r="AB16" s="63" t="e">
        <f>'Proyectos Base digitable'!#REF!</f>
        <v>#REF!</v>
      </c>
      <c r="AC16" s="56" t="e">
        <f>+'Proyectos Base digitable'!#REF!</f>
        <v>#REF!</v>
      </c>
      <c r="AD16" s="52" t="e">
        <f>+'Proyectos Base digitable'!#REF!</f>
        <v>#REF!</v>
      </c>
      <c r="AE16" s="52" t="e">
        <f>+'Proyectos Base digitable'!#REF!</f>
        <v>#REF!</v>
      </c>
      <c r="AF16" s="52" t="e">
        <f>+'Proyectos Base digitable'!#REF!</f>
        <v>#REF!</v>
      </c>
      <c r="AG16" s="56" t="e">
        <f>+'Proyectos Base digitable'!#REF!</f>
        <v>#REF!</v>
      </c>
      <c r="AH16" s="52" t="e">
        <f>+'Proyectos Base digitable'!#REF!</f>
        <v>#REF!</v>
      </c>
      <c r="AI16" s="52" t="e">
        <f>+'Proyectos Base digitable'!#REF!</f>
        <v>#REF!</v>
      </c>
      <c r="AJ16" s="59" t="e">
        <f>+'Proyectos Base digitable'!#REF!</f>
        <v>#REF!</v>
      </c>
      <c r="AK16" s="186" t="e">
        <f>+'Proyectos Base digitable'!#REF!</f>
        <v>#REF!</v>
      </c>
      <c r="AL16" s="186" t="e">
        <f>+'Proyectos Base digitable'!#REF!</f>
        <v>#REF!</v>
      </c>
      <c r="AM16" s="186" t="e">
        <f>+'Proyectos Base digitable'!#REF!</f>
        <v>#REF!</v>
      </c>
      <c r="AN16" s="186" t="e">
        <f>+'Proyectos Base digitable'!#REF!</f>
        <v>#REF!</v>
      </c>
      <c r="AO16" s="186" t="e">
        <f>+'Proyectos Base digitable'!#REF!</f>
        <v>#REF!</v>
      </c>
      <c r="AP16" s="186" t="e">
        <f>+'Proyectos Base digitable'!#REF!</f>
        <v>#REF!</v>
      </c>
      <c r="AQ16" s="186" t="e">
        <f>+'Proyectos Base digitable'!#REF!</f>
        <v>#REF!</v>
      </c>
      <c r="AR16" s="186" t="e">
        <f>+'Proyectos Base digitable'!#REF!</f>
        <v>#REF!</v>
      </c>
      <c r="AS16" s="186" t="e">
        <f>+'Proyectos Base digitable'!#REF!</f>
        <v>#REF!</v>
      </c>
      <c r="AT16" s="187" t="e">
        <f>+'Proyectos Base digitable'!#REF!</f>
        <v>#REF!</v>
      </c>
      <c r="AU16" s="56" t="e">
        <f>+'Proyectos Base digitable'!#REF!</f>
        <v>#REF!</v>
      </c>
      <c r="AV16" s="56" t="e">
        <f>+'Proyectos Base digitable'!#REF!</f>
        <v>#REF!</v>
      </c>
      <c r="AW16" s="56" t="e">
        <f>+'Proyectos Base digitable'!#REF!</f>
        <v>#REF!</v>
      </c>
      <c r="AX16" s="56" t="e">
        <f>+'Proyectos Base digitable'!#REF!</f>
        <v>#REF!</v>
      </c>
      <c r="AY16" s="56" t="e">
        <f>+'Proyectos Base digitable'!#REF!</f>
        <v>#REF!</v>
      </c>
      <c r="AZ16" s="188" t="e">
        <f>+'Proyectos Base digitable'!#REF!</f>
        <v>#REF!</v>
      </c>
      <c r="BA16" s="188" t="e">
        <f>+'Proyectos Base digitable'!#REF!</f>
        <v>#REF!</v>
      </c>
    </row>
    <row r="17" spans="1:53" ht="12.5">
      <c r="A17" s="60" t="e">
        <f>+'Proyectos Base digitable'!#REF!</f>
        <v>#REF!</v>
      </c>
      <c r="B17" s="56" t="e">
        <f>+'Proyectos Base digitable'!#REF!</f>
        <v>#REF!</v>
      </c>
      <c r="C17" s="56" t="e">
        <f>+'Proyectos Base digitable'!#REF!</f>
        <v>#REF!</v>
      </c>
      <c r="D17" s="56" t="e">
        <f>+'Proyectos Base digitable'!#REF!</f>
        <v>#REF!</v>
      </c>
      <c r="E17" s="56" t="e">
        <f>+'Proyectos Base digitable'!#REF!</f>
        <v>#REF!</v>
      </c>
      <c r="F17" s="56" t="e">
        <f>+'Proyectos Base digitable'!#REF!</f>
        <v>#REF!</v>
      </c>
      <c r="G17" s="57" t="e">
        <f>+'Proyectos Base digitable'!#REF!</f>
        <v>#REF!</v>
      </c>
      <c r="H17" s="56" t="e">
        <f>+'Proyectos Base digitable'!#REF!</f>
        <v>#REF!</v>
      </c>
      <c r="I17" s="56" t="e">
        <f>+'Proyectos Base digitable'!#REF!</f>
        <v>#REF!</v>
      </c>
      <c r="J17" s="56" t="e">
        <f>+'Proyectos Base digitable'!#REF!</f>
        <v>#REF!</v>
      </c>
      <c r="K17" s="56" t="e">
        <f>+'Proyectos Base digitable'!#REF!</f>
        <v>#REF!</v>
      </c>
      <c r="L17" s="56" t="e">
        <f>+'Proyectos Base digitable'!#REF!</f>
        <v>#REF!</v>
      </c>
      <c r="M17" s="56" t="e">
        <f>+'Proyectos Base digitable'!#REF!</f>
        <v>#REF!</v>
      </c>
      <c r="N17" s="52" t="e">
        <f>+'Proyectos Base digitable'!#REF!</f>
        <v>#REF!</v>
      </c>
      <c r="O17" s="52" t="e">
        <f>+'Proyectos Base digitable'!#REF!</f>
        <v>#REF!</v>
      </c>
      <c r="P17" s="185" t="e">
        <f>+'Proyectos Base digitable'!#REF!</f>
        <v>#REF!</v>
      </c>
      <c r="Q17" s="58" t="e">
        <f>+'Proyectos Base digitable'!#REF!</f>
        <v>#REF!</v>
      </c>
      <c r="R17" s="58" t="e">
        <f>+'Proyectos Base digitable'!#REF!</f>
        <v>#REF!</v>
      </c>
      <c r="S17" s="58" t="e">
        <f>+'Proyectos Base digitable'!#REF!</f>
        <v>#REF!</v>
      </c>
      <c r="T17" s="58" t="e">
        <f>+'Proyectos Base digitable'!#REF!</f>
        <v>#REF!</v>
      </c>
      <c r="U17" s="63" t="e">
        <f>'Proyectos Base digitable'!#REF!</f>
        <v>#REF!</v>
      </c>
      <c r="V17" s="63" t="e">
        <f>'Proyectos Base digitable'!#REF!</f>
        <v>#REF!</v>
      </c>
      <c r="W17" s="63" t="e">
        <f>'Proyectos Base digitable'!#REF!</f>
        <v>#REF!</v>
      </c>
      <c r="X17" s="63" t="e">
        <f>'Proyectos Base digitable'!#REF!</f>
        <v>#REF!</v>
      </c>
      <c r="Y17" s="63" t="e">
        <f>'Proyectos Base digitable'!#REF!</f>
        <v>#REF!</v>
      </c>
      <c r="Z17" s="58" t="e">
        <f>+'Proyectos Base digitable'!#REF!</f>
        <v>#REF!</v>
      </c>
      <c r="AA17" s="58" t="e">
        <f>+'Proyectos Base digitable'!#REF!</f>
        <v>#REF!</v>
      </c>
      <c r="AB17" s="63" t="e">
        <f>'Proyectos Base digitable'!#REF!</f>
        <v>#REF!</v>
      </c>
      <c r="AC17" s="56" t="e">
        <f>+'Proyectos Base digitable'!#REF!</f>
        <v>#REF!</v>
      </c>
      <c r="AD17" s="52" t="e">
        <f>+'Proyectos Base digitable'!#REF!</f>
        <v>#REF!</v>
      </c>
      <c r="AE17" s="52" t="e">
        <f>+'Proyectos Base digitable'!#REF!</f>
        <v>#REF!</v>
      </c>
      <c r="AF17" s="52" t="e">
        <f>+'Proyectos Base digitable'!#REF!</f>
        <v>#REF!</v>
      </c>
      <c r="AG17" s="56" t="e">
        <f>+'Proyectos Base digitable'!#REF!</f>
        <v>#REF!</v>
      </c>
      <c r="AH17" s="52" t="e">
        <f>+'Proyectos Base digitable'!#REF!</f>
        <v>#REF!</v>
      </c>
      <c r="AI17" s="52" t="e">
        <f>+'Proyectos Base digitable'!#REF!</f>
        <v>#REF!</v>
      </c>
      <c r="AJ17" s="59" t="e">
        <f>+'Proyectos Base digitable'!#REF!</f>
        <v>#REF!</v>
      </c>
      <c r="AK17" s="186" t="e">
        <f>+'Proyectos Base digitable'!#REF!</f>
        <v>#REF!</v>
      </c>
      <c r="AL17" s="186" t="e">
        <f>+'Proyectos Base digitable'!#REF!</f>
        <v>#REF!</v>
      </c>
      <c r="AM17" s="186" t="e">
        <f>+'Proyectos Base digitable'!#REF!</f>
        <v>#REF!</v>
      </c>
      <c r="AN17" s="186" t="e">
        <f>+'Proyectos Base digitable'!#REF!</f>
        <v>#REF!</v>
      </c>
      <c r="AO17" s="186" t="e">
        <f>+'Proyectos Base digitable'!#REF!</f>
        <v>#REF!</v>
      </c>
      <c r="AP17" s="186" t="e">
        <f>+'Proyectos Base digitable'!#REF!</f>
        <v>#REF!</v>
      </c>
      <c r="AQ17" s="186" t="e">
        <f>+'Proyectos Base digitable'!#REF!</f>
        <v>#REF!</v>
      </c>
      <c r="AR17" s="186" t="e">
        <f>+'Proyectos Base digitable'!#REF!</f>
        <v>#REF!</v>
      </c>
      <c r="AS17" s="186" t="e">
        <f>+'Proyectos Base digitable'!#REF!</f>
        <v>#REF!</v>
      </c>
      <c r="AT17" s="187" t="e">
        <f>+'Proyectos Base digitable'!#REF!</f>
        <v>#REF!</v>
      </c>
      <c r="AU17" s="56" t="e">
        <f>+'Proyectos Base digitable'!#REF!</f>
        <v>#REF!</v>
      </c>
      <c r="AV17" s="56" t="e">
        <f>+'Proyectos Base digitable'!#REF!</f>
        <v>#REF!</v>
      </c>
      <c r="AW17" s="56" t="e">
        <f>+'Proyectos Base digitable'!#REF!</f>
        <v>#REF!</v>
      </c>
      <c r="AX17" s="56" t="e">
        <f>+'Proyectos Base digitable'!#REF!</f>
        <v>#REF!</v>
      </c>
      <c r="AY17" s="56" t="e">
        <f>+'Proyectos Base digitable'!#REF!</f>
        <v>#REF!</v>
      </c>
      <c r="AZ17" s="188" t="e">
        <f>+'Proyectos Base digitable'!#REF!</f>
        <v>#REF!</v>
      </c>
      <c r="BA17" s="188" t="e">
        <f>+'Proyectos Base digitable'!#REF!</f>
        <v>#REF!</v>
      </c>
    </row>
    <row r="18" spans="1:53" ht="12.5">
      <c r="A18" s="60" t="e">
        <f>+'Proyectos Base digitable'!#REF!</f>
        <v>#REF!</v>
      </c>
      <c r="B18" s="56" t="e">
        <f>+'Proyectos Base digitable'!#REF!</f>
        <v>#REF!</v>
      </c>
      <c r="C18" s="56" t="e">
        <f>+'Proyectos Base digitable'!#REF!</f>
        <v>#REF!</v>
      </c>
      <c r="D18" s="56" t="e">
        <f>+'Proyectos Base digitable'!#REF!</f>
        <v>#REF!</v>
      </c>
      <c r="E18" s="56" t="e">
        <f>+'Proyectos Base digitable'!#REF!</f>
        <v>#REF!</v>
      </c>
      <c r="F18" s="56" t="e">
        <f>+'Proyectos Base digitable'!#REF!</f>
        <v>#REF!</v>
      </c>
      <c r="G18" s="57" t="e">
        <f>+'Proyectos Base digitable'!#REF!</f>
        <v>#REF!</v>
      </c>
      <c r="H18" s="56" t="e">
        <f>+'Proyectos Base digitable'!#REF!</f>
        <v>#REF!</v>
      </c>
      <c r="I18" s="56" t="e">
        <f>+'Proyectos Base digitable'!#REF!</f>
        <v>#REF!</v>
      </c>
      <c r="J18" s="56" t="e">
        <f>+'Proyectos Base digitable'!#REF!</f>
        <v>#REF!</v>
      </c>
      <c r="K18" s="56" t="e">
        <f>+'Proyectos Base digitable'!#REF!</f>
        <v>#REF!</v>
      </c>
      <c r="L18" s="56" t="e">
        <f>+'Proyectos Base digitable'!#REF!</f>
        <v>#REF!</v>
      </c>
      <c r="M18" s="56" t="e">
        <f>+'Proyectos Base digitable'!#REF!</f>
        <v>#REF!</v>
      </c>
      <c r="N18" s="52" t="e">
        <f>+'Proyectos Base digitable'!#REF!</f>
        <v>#REF!</v>
      </c>
      <c r="O18" s="52" t="e">
        <f>+'Proyectos Base digitable'!#REF!</f>
        <v>#REF!</v>
      </c>
      <c r="P18" s="185" t="e">
        <f>+'Proyectos Base digitable'!#REF!</f>
        <v>#REF!</v>
      </c>
      <c r="Q18" s="58" t="e">
        <f>+'Proyectos Base digitable'!#REF!</f>
        <v>#REF!</v>
      </c>
      <c r="R18" s="58" t="e">
        <f>+'Proyectos Base digitable'!#REF!</f>
        <v>#REF!</v>
      </c>
      <c r="S18" s="58" t="e">
        <f>+'Proyectos Base digitable'!#REF!</f>
        <v>#REF!</v>
      </c>
      <c r="T18" s="58" t="e">
        <f>+'Proyectos Base digitable'!#REF!</f>
        <v>#REF!</v>
      </c>
      <c r="U18" s="63" t="e">
        <f>'Proyectos Base digitable'!#REF!</f>
        <v>#REF!</v>
      </c>
      <c r="V18" s="63" t="e">
        <f>'Proyectos Base digitable'!#REF!</f>
        <v>#REF!</v>
      </c>
      <c r="W18" s="63" t="e">
        <f>'Proyectos Base digitable'!#REF!</f>
        <v>#REF!</v>
      </c>
      <c r="X18" s="63" t="e">
        <f>'Proyectos Base digitable'!#REF!</f>
        <v>#REF!</v>
      </c>
      <c r="Y18" s="63" t="e">
        <f>'Proyectos Base digitable'!#REF!</f>
        <v>#REF!</v>
      </c>
      <c r="Z18" s="58" t="e">
        <f>+'Proyectos Base digitable'!#REF!</f>
        <v>#REF!</v>
      </c>
      <c r="AA18" s="58" t="e">
        <f>+'Proyectos Base digitable'!#REF!</f>
        <v>#REF!</v>
      </c>
      <c r="AB18" s="63" t="e">
        <f>'Proyectos Base digitable'!#REF!</f>
        <v>#REF!</v>
      </c>
      <c r="AC18" s="56" t="e">
        <f>+'Proyectos Base digitable'!#REF!</f>
        <v>#REF!</v>
      </c>
      <c r="AD18" s="52" t="e">
        <f>+'Proyectos Base digitable'!#REF!</f>
        <v>#REF!</v>
      </c>
      <c r="AE18" s="52" t="e">
        <f>+'Proyectos Base digitable'!#REF!</f>
        <v>#REF!</v>
      </c>
      <c r="AF18" s="52" t="e">
        <f>+'Proyectos Base digitable'!#REF!</f>
        <v>#REF!</v>
      </c>
      <c r="AG18" s="56" t="e">
        <f>+'Proyectos Base digitable'!#REF!</f>
        <v>#REF!</v>
      </c>
      <c r="AH18" s="52" t="e">
        <f>+'Proyectos Base digitable'!#REF!</f>
        <v>#REF!</v>
      </c>
      <c r="AI18" s="52" t="e">
        <f>+'Proyectos Base digitable'!#REF!</f>
        <v>#REF!</v>
      </c>
      <c r="AJ18" s="59" t="e">
        <f>+'Proyectos Base digitable'!#REF!</f>
        <v>#REF!</v>
      </c>
      <c r="AK18" s="186" t="e">
        <f>+'Proyectos Base digitable'!#REF!</f>
        <v>#REF!</v>
      </c>
      <c r="AL18" s="186" t="e">
        <f>+'Proyectos Base digitable'!#REF!</f>
        <v>#REF!</v>
      </c>
      <c r="AM18" s="186" t="e">
        <f>+'Proyectos Base digitable'!#REF!</f>
        <v>#REF!</v>
      </c>
      <c r="AN18" s="186" t="e">
        <f>+'Proyectos Base digitable'!#REF!</f>
        <v>#REF!</v>
      </c>
      <c r="AO18" s="186" t="e">
        <f>+'Proyectos Base digitable'!#REF!</f>
        <v>#REF!</v>
      </c>
      <c r="AP18" s="186" t="e">
        <f>+'Proyectos Base digitable'!#REF!</f>
        <v>#REF!</v>
      </c>
      <c r="AQ18" s="186" t="e">
        <f>+'Proyectos Base digitable'!#REF!</f>
        <v>#REF!</v>
      </c>
      <c r="AR18" s="186" t="e">
        <f>+'Proyectos Base digitable'!#REF!</f>
        <v>#REF!</v>
      </c>
      <c r="AS18" s="186" t="e">
        <f>+'Proyectos Base digitable'!#REF!</f>
        <v>#REF!</v>
      </c>
      <c r="AT18" s="187" t="e">
        <f>+'Proyectos Base digitable'!#REF!</f>
        <v>#REF!</v>
      </c>
      <c r="AU18" s="56" t="e">
        <f>+'Proyectos Base digitable'!#REF!</f>
        <v>#REF!</v>
      </c>
      <c r="AV18" s="56" t="e">
        <f>+'Proyectos Base digitable'!#REF!</f>
        <v>#REF!</v>
      </c>
      <c r="AW18" s="56" t="e">
        <f>+'Proyectos Base digitable'!#REF!</f>
        <v>#REF!</v>
      </c>
      <c r="AX18" s="56" t="e">
        <f>+'Proyectos Base digitable'!#REF!</f>
        <v>#REF!</v>
      </c>
      <c r="AY18" s="56" t="e">
        <f>+'Proyectos Base digitable'!#REF!</f>
        <v>#REF!</v>
      </c>
      <c r="AZ18" s="188" t="e">
        <f>+'Proyectos Base digitable'!#REF!</f>
        <v>#REF!</v>
      </c>
      <c r="BA18" s="188" t="e">
        <f>+'Proyectos Base digitable'!#REF!</f>
        <v>#REF!</v>
      </c>
    </row>
    <row r="19" spans="1:53" ht="12.5">
      <c r="A19" s="60" t="e">
        <f>+'Proyectos Base digitable'!#REF!</f>
        <v>#REF!</v>
      </c>
      <c r="B19" s="56" t="e">
        <f>+'Proyectos Base digitable'!#REF!</f>
        <v>#REF!</v>
      </c>
      <c r="C19" s="56" t="e">
        <f>+'Proyectos Base digitable'!#REF!</f>
        <v>#REF!</v>
      </c>
      <c r="D19" s="56" t="e">
        <f>+'Proyectos Base digitable'!#REF!</f>
        <v>#REF!</v>
      </c>
      <c r="E19" s="56" t="e">
        <f>+'Proyectos Base digitable'!#REF!</f>
        <v>#REF!</v>
      </c>
      <c r="F19" s="56" t="e">
        <f>+'Proyectos Base digitable'!#REF!</f>
        <v>#REF!</v>
      </c>
      <c r="G19" s="57" t="e">
        <f>+'Proyectos Base digitable'!#REF!</f>
        <v>#REF!</v>
      </c>
      <c r="H19" s="56" t="e">
        <f>+'Proyectos Base digitable'!#REF!</f>
        <v>#REF!</v>
      </c>
      <c r="I19" s="56" t="e">
        <f>+'Proyectos Base digitable'!#REF!</f>
        <v>#REF!</v>
      </c>
      <c r="J19" s="56" t="e">
        <f>+'Proyectos Base digitable'!#REF!</f>
        <v>#REF!</v>
      </c>
      <c r="K19" s="56" t="e">
        <f>+'Proyectos Base digitable'!#REF!</f>
        <v>#REF!</v>
      </c>
      <c r="L19" s="56" t="e">
        <f>+'Proyectos Base digitable'!#REF!</f>
        <v>#REF!</v>
      </c>
      <c r="M19" s="56" t="e">
        <f>+'Proyectos Base digitable'!#REF!</f>
        <v>#REF!</v>
      </c>
      <c r="N19" s="52" t="e">
        <f>+'Proyectos Base digitable'!#REF!</f>
        <v>#REF!</v>
      </c>
      <c r="O19" s="52" t="e">
        <f>+'Proyectos Base digitable'!#REF!</f>
        <v>#REF!</v>
      </c>
      <c r="P19" s="185" t="e">
        <f>+'Proyectos Base digitable'!#REF!</f>
        <v>#REF!</v>
      </c>
      <c r="Q19" s="58" t="e">
        <f>+'Proyectos Base digitable'!#REF!</f>
        <v>#REF!</v>
      </c>
      <c r="R19" s="58" t="e">
        <f>+'Proyectos Base digitable'!#REF!</f>
        <v>#REF!</v>
      </c>
      <c r="S19" s="58" t="e">
        <f>+'Proyectos Base digitable'!#REF!</f>
        <v>#REF!</v>
      </c>
      <c r="T19" s="58" t="e">
        <f>+'Proyectos Base digitable'!#REF!</f>
        <v>#REF!</v>
      </c>
      <c r="U19" s="63" t="e">
        <f>'Proyectos Base digitable'!#REF!</f>
        <v>#REF!</v>
      </c>
      <c r="V19" s="63" t="e">
        <f>'Proyectos Base digitable'!#REF!</f>
        <v>#REF!</v>
      </c>
      <c r="W19" s="63" t="e">
        <f>'Proyectos Base digitable'!#REF!</f>
        <v>#REF!</v>
      </c>
      <c r="X19" s="63" t="e">
        <f>'Proyectos Base digitable'!#REF!</f>
        <v>#REF!</v>
      </c>
      <c r="Y19" s="63" t="e">
        <f>'Proyectos Base digitable'!#REF!</f>
        <v>#REF!</v>
      </c>
      <c r="Z19" s="58" t="e">
        <f>+'Proyectos Base digitable'!#REF!</f>
        <v>#REF!</v>
      </c>
      <c r="AA19" s="58" t="e">
        <f>+'Proyectos Base digitable'!#REF!</f>
        <v>#REF!</v>
      </c>
      <c r="AB19" s="63" t="e">
        <f>'Proyectos Base digitable'!#REF!</f>
        <v>#REF!</v>
      </c>
      <c r="AC19" s="56" t="e">
        <f>+'Proyectos Base digitable'!#REF!</f>
        <v>#REF!</v>
      </c>
      <c r="AD19" s="52" t="e">
        <f>+'Proyectos Base digitable'!#REF!</f>
        <v>#REF!</v>
      </c>
      <c r="AE19" s="52" t="e">
        <f>+'Proyectos Base digitable'!#REF!</f>
        <v>#REF!</v>
      </c>
      <c r="AF19" s="52" t="e">
        <f>+'Proyectos Base digitable'!#REF!</f>
        <v>#REF!</v>
      </c>
      <c r="AG19" s="56" t="e">
        <f>+'Proyectos Base digitable'!#REF!</f>
        <v>#REF!</v>
      </c>
      <c r="AH19" s="52" t="e">
        <f>+'Proyectos Base digitable'!#REF!</f>
        <v>#REF!</v>
      </c>
      <c r="AI19" s="52" t="e">
        <f>+'Proyectos Base digitable'!#REF!</f>
        <v>#REF!</v>
      </c>
      <c r="AJ19" s="59" t="e">
        <f>+'Proyectos Base digitable'!#REF!</f>
        <v>#REF!</v>
      </c>
      <c r="AK19" s="186" t="e">
        <f>+'Proyectos Base digitable'!#REF!</f>
        <v>#REF!</v>
      </c>
      <c r="AL19" s="186" t="e">
        <f>+'Proyectos Base digitable'!#REF!</f>
        <v>#REF!</v>
      </c>
      <c r="AM19" s="186" t="e">
        <f>+'Proyectos Base digitable'!#REF!</f>
        <v>#REF!</v>
      </c>
      <c r="AN19" s="186" t="e">
        <f>+'Proyectos Base digitable'!#REF!</f>
        <v>#REF!</v>
      </c>
      <c r="AO19" s="186" t="e">
        <f>+'Proyectos Base digitable'!#REF!</f>
        <v>#REF!</v>
      </c>
      <c r="AP19" s="186" t="e">
        <f>+'Proyectos Base digitable'!#REF!</f>
        <v>#REF!</v>
      </c>
      <c r="AQ19" s="186" t="e">
        <f>+'Proyectos Base digitable'!#REF!</f>
        <v>#REF!</v>
      </c>
      <c r="AR19" s="186" t="e">
        <f>+'Proyectos Base digitable'!#REF!</f>
        <v>#REF!</v>
      </c>
      <c r="AS19" s="186" t="e">
        <f>+'Proyectos Base digitable'!#REF!</f>
        <v>#REF!</v>
      </c>
      <c r="AT19" s="187" t="e">
        <f>+'Proyectos Base digitable'!#REF!</f>
        <v>#REF!</v>
      </c>
      <c r="AU19" s="56" t="e">
        <f>+'Proyectos Base digitable'!#REF!</f>
        <v>#REF!</v>
      </c>
      <c r="AV19" s="56" t="e">
        <f>+'Proyectos Base digitable'!#REF!</f>
        <v>#REF!</v>
      </c>
      <c r="AW19" s="56" t="e">
        <f>+'Proyectos Base digitable'!#REF!</f>
        <v>#REF!</v>
      </c>
      <c r="AX19" s="56" t="e">
        <f>+'Proyectos Base digitable'!#REF!</f>
        <v>#REF!</v>
      </c>
      <c r="AY19" s="56" t="e">
        <f>+'Proyectos Base digitable'!#REF!</f>
        <v>#REF!</v>
      </c>
      <c r="AZ19" s="188" t="e">
        <f>+'Proyectos Base digitable'!#REF!</f>
        <v>#REF!</v>
      </c>
      <c r="BA19" s="188" t="e">
        <f>+'Proyectos Base digitable'!#REF!</f>
        <v>#REF!</v>
      </c>
    </row>
    <row r="20" spans="1:53" ht="12.5">
      <c r="A20" s="60" t="e">
        <f>+'Proyectos Base digitable'!#REF!</f>
        <v>#REF!</v>
      </c>
      <c r="B20" s="56" t="e">
        <f>+'Proyectos Base digitable'!#REF!</f>
        <v>#REF!</v>
      </c>
      <c r="C20" s="56" t="e">
        <f>+'Proyectos Base digitable'!#REF!</f>
        <v>#REF!</v>
      </c>
      <c r="D20" s="56" t="e">
        <f>+'Proyectos Base digitable'!#REF!</f>
        <v>#REF!</v>
      </c>
      <c r="E20" s="56" t="e">
        <f>+'Proyectos Base digitable'!#REF!</f>
        <v>#REF!</v>
      </c>
      <c r="F20" s="56" t="e">
        <f>+'Proyectos Base digitable'!#REF!</f>
        <v>#REF!</v>
      </c>
      <c r="G20" s="57" t="e">
        <f>+'Proyectos Base digitable'!#REF!</f>
        <v>#REF!</v>
      </c>
      <c r="H20" s="56" t="e">
        <f>+'Proyectos Base digitable'!#REF!</f>
        <v>#REF!</v>
      </c>
      <c r="I20" s="56" t="e">
        <f>+'Proyectos Base digitable'!#REF!</f>
        <v>#REF!</v>
      </c>
      <c r="J20" s="56" t="e">
        <f>+'Proyectos Base digitable'!#REF!</f>
        <v>#REF!</v>
      </c>
      <c r="K20" s="56" t="e">
        <f>+'Proyectos Base digitable'!#REF!</f>
        <v>#REF!</v>
      </c>
      <c r="L20" s="56" t="e">
        <f>+'Proyectos Base digitable'!#REF!</f>
        <v>#REF!</v>
      </c>
      <c r="M20" s="56" t="e">
        <f>+'Proyectos Base digitable'!#REF!</f>
        <v>#REF!</v>
      </c>
      <c r="N20" s="52" t="e">
        <f>+'Proyectos Base digitable'!#REF!</f>
        <v>#REF!</v>
      </c>
      <c r="O20" s="52" t="e">
        <f>+'Proyectos Base digitable'!#REF!</f>
        <v>#REF!</v>
      </c>
      <c r="P20" s="185" t="e">
        <f>+'Proyectos Base digitable'!#REF!</f>
        <v>#REF!</v>
      </c>
      <c r="Q20" s="58" t="e">
        <f>+'Proyectos Base digitable'!#REF!</f>
        <v>#REF!</v>
      </c>
      <c r="R20" s="58" t="e">
        <f>+'Proyectos Base digitable'!#REF!</f>
        <v>#REF!</v>
      </c>
      <c r="S20" s="58" t="e">
        <f>+'Proyectos Base digitable'!#REF!</f>
        <v>#REF!</v>
      </c>
      <c r="T20" s="58" t="e">
        <f>+'Proyectos Base digitable'!#REF!</f>
        <v>#REF!</v>
      </c>
      <c r="U20" s="63" t="e">
        <f>'Proyectos Base digitable'!#REF!</f>
        <v>#REF!</v>
      </c>
      <c r="V20" s="63" t="e">
        <f>'Proyectos Base digitable'!#REF!</f>
        <v>#REF!</v>
      </c>
      <c r="W20" s="63" t="e">
        <f>'Proyectos Base digitable'!#REF!</f>
        <v>#REF!</v>
      </c>
      <c r="X20" s="63" t="e">
        <f>'Proyectos Base digitable'!#REF!</f>
        <v>#REF!</v>
      </c>
      <c r="Y20" s="63" t="e">
        <f>'Proyectos Base digitable'!#REF!</f>
        <v>#REF!</v>
      </c>
      <c r="Z20" s="58" t="e">
        <f>+'Proyectos Base digitable'!#REF!</f>
        <v>#REF!</v>
      </c>
      <c r="AA20" s="58" t="e">
        <f>+'Proyectos Base digitable'!#REF!</f>
        <v>#REF!</v>
      </c>
      <c r="AB20" s="63" t="e">
        <f>'Proyectos Base digitable'!#REF!</f>
        <v>#REF!</v>
      </c>
      <c r="AC20" s="56" t="e">
        <f>+'Proyectos Base digitable'!#REF!</f>
        <v>#REF!</v>
      </c>
      <c r="AD20" s="52" t="e">
        <f>+'Proyectos Base digitable'!#REF!</f>
        <v>#REF!</v>
      </c>
      <c r="AE20" s="52" t="e">
        <f>+'Proyectos Base digitable'!#REF!</f>
        <v>#REF!</v>
      </c>
      <c r="AF20" s="52" t="e">
        <f>+'Proyectos Base digitable'!#REF!</f>
        <v>#REF!</v>
      </c>
      <c r="AG20" s="56" t="e">
        <f>+'Proyectos Base digitable'!#REF!</f>
        <v>#REF!</v>
      </c>
      <c r="AH20" s="52" t="e">
        <f>+'Proyectos Base digitable'!#REF!</f>
        <v>#REF!</v>
      </c>
      <c r="AI20" s="52" t="e">
        <f>+'Proyectos Base digitable'!#REF!</f>
        <v>#REF!</v>
      </c>
      <c r="AJ20" s="59" t="e">
        <f>+'Proyectos Base digitable'!#REF!</f>
        <v>#REF!</v>
      </c>
      <c r="AK20" s="186" t="e">
        <f>+'Proyectos Base digitable'!#REF!</f>
        <v>#REF!</v>
      </c>
      <c r="AL20" s="186" t="e">
        <f>+'Proyectos Base digitable'!#REF!</f>
        <v>#REF!</v>
      </c>
      <c r="AM20" s="186" t="e">
        <f>+'Proyectos Base digitable'!#REF!</f>
        <v>#REF!</v>
      </c>
      <c r="AN20" s="186" t="e">
        <f>+'Proyectos Base digitable'!#REF!</f>
        <v>#REF!</v>
      </c>
      <c r="AO20" s="186" t="e">
        <f>+'Proyectos Base digitable'!#REF!</f>
        <v>#REF!</v>
      </c>
      <c r="AP20" s="186" t="e">
        <f>+'Proyectos Base digitable'!#REF!</f>
        <v>#REF!</v>
      </c>
      <c r="AQ20" s="186" t="e">
        <f>+'Proyectos Base digitable'!#REF!</f>
        <v>#REF!</v>
      </c>
      <c r="AR20" s="186" t="e">
        <f>+'Proyectos Base digitable'!#REF!</f>
        <v>#REF!</v>
      </c>
      <c r="AS20" s="186" t="e">
        <f>+'Proyectos Base digitable'!#REF!</f>
        <v>#REF!</v>
      </c>
      <c r="AT20" s="187" t="e">
        <f>+'Proyectos Base digitable'!#REF!</f>
        <v>#REF!</v>
      </c>
      <c r="AU20" s="56" t="e">
        <f>+'Proyectos Base digitable'!#REF!</f>
        <v>#REF!</v>
      </c>
      <c r="AV20" s="56" t="e">
        <f>+'Proyectos Base digitable'!#REF!</f>
        <v>#REF!</v>
      </c>
      <c r="AW20" s="56" t="e">
        <f>+'Proyectos Base digitable'!#REF!</f>
        <v>#REF!</v>
      </c>
      <c r="AX20" s="56" t="e">
        <f>+'Proyectos Base digitable'!#REF!</f>
        <v>#REF!</v>
      </c>
      <c r="AY20" s="56" t="e">
        <f>+'Proyectos Base digitable'!#REF!</f>
        <v>#REF!</v>
      </c>
      <c r="AZ20" s="188" t="e">
        <f>+'Proyectos Base digitable'!#REF!</f>
        <v>#REF!</v>
      </c>
      <c r="BA20" s="188" t="e">
        <f>+'Proyectos Base digitable'!#REF!</f>
        <v>#REF!</v>
      </c>
    </row>
    <row r="21" spans="1:53" ht="12.5">
      <c r="A21" s="60" t="e">
        <f>+'Proyectos Base digitable'!#REF!</f>
        <v>#REF!</v>
      </c>
      <c r="B21" s="56" t="e">
        <f>+'Proyectos Base digitable'!#REF!</f>
        <v>#REF!</v>
      </c>
      <c r="C21" s="56" t="e">
        <f>+'Proyectos Base digitable'!#REF!</f>
        <v>#REF!</v>
      </c>
      <c r="D21" s="56" t="e">
        <f>+'Proyectos Base digitable'!#REF!</f>
        <v>#REF!</v>
      </c>
      <c r="E21" s="56" t="e">
        <f>+'Proyectos Base digitable'!#REF!</f>
        <v>#REF!</v>
      </c>
      <c r="F21" s="56" t="e">
        <f>+'Proyectos Base digitable'!#REF!</f>
        <v>#REF!</v>
      </c>
      <c r="G21" s="57" t="e">
        <f>+'Proyectos Base digitable'!#REF!</f>
        <v>#REF!</v>
      </c>
      <c r="H21" s="56" t="e">
        <f>+'Proyectos Base digitable'!#REF!</f>
        <v>#REF!</v>
      </c>
      <c r="I21" s="56" t="e">
        <f>+'Proyectos Base digitable'!#REF!</f>
        <v>#REF!</v>
      </c>
      <c r="J21" s="56" t="e">
        <f>+'Proyectos Base digitable'!#REF!</f>
        <v>#REF!</v>
      </c>
      <c r="K21" s="56" t="e">
        <f>+'Proyectos Base digitable'!#REF!</f>
        <v>#REF!</v>
      </c>
      <c r="L21" s="56" t="e">
        <f>+'Proyectos Base digitable'!#REF!</f>
        <v>#REF!</v>
      </c>
      <c r="M21" s="56" t="e">
        <f>+'Proyectos Base digitable'!#REF!</f>
        <v>#REF!</v>
      </c>
      <c r="N21" s="52" t="e">
        <f>+'Proyectos Base digitable'!#REF!</f>
        <v>#REF!</v>
      </c>
      <c r="O21" s="52" t="e">
        <f>+'Proyectos Base digitable'!#REF!</f>
        <v>#REF!</v>
      </c>
      <c r="P21" s="185" t="e">
        <f>+'Proyectos Base digitable'!#REF!</f>
        <v>#REF!</v>
      </c>
      <c r="Q21" s="58" t="e">
        <f>+'Proyectos Base digitable'!#REF!</f>
        <v>#REF!</v>
      </c>
      <c r="R21" s="58" t="e">
        <f>+'Proyectos Base digitable'!#REF!</f>
        <v>#REF!</v>
      </c>
      <c r="S21" s="58" t="e">
        <f>+'Proyectos Base digitable'!#REF!</f>
        <v>#REF!</v>
      </c>
      <c r="T21" s="58" t="e">
        <f>+'Proyectos Base digitable'!#REF!</f>
        <v>#REF!</v>
      </c>
      <c r="U21" s="63" t="e">
        <f>'Proyectos Base digitable'!#REF!</f>
        <v>#REF!</v>
      </c>
      <c r="V21" s="63" t="e">
        <f>'Proyectos Base digitable'!#REF!</f>
        <v>#REF!</v>
      </c>
      <c r="W21" s="63" t="e">
        <f>'Proyectos Base digitable'!#REF!</f>
        <v>#REF!</v>
      </c>
      <c r="X21" s="63" t="e">
        <f>'Proyectos Base digitable'!#REF!</f>
        <v>#REF!</v>
      </c>
      <c r="Y21" s="63" t="e">
        <f>'Proyectos Base digitable'!#REF!</f>
        <v>#REF!</v>
      </c>
      <c r="Z21" s="58" t="e">
        <f>+'Proyectos Base digitable'!#REF!</f>
        <v>#REF!</v>
      </c>
      <c r="AA21" s="58" t="e">
        <f>+'Proyectos Base digitable'!#REF!</f>
        <v>#REF!</v>
      </c>
      <c r="AB21" s="63" t="e">
        <f>'Proyectos Base digitable'!#REF!</f>
        <v>#REF!</v>
      </c>
      <c r="AC21" s="56" t="e">
        <f>+'Proyectos Base digitable'!#REF!</f>
        <v>#REF!</v>
      </c>
      <c r="AD21" s="52" t="e">
        <f>+'Proyectos Base digitable'!#REF!</f>
        <v>#REF!</v>
      </c>
      <c r="AE21" s="52" t="e">
        <f>+'Proyectos Base digitable'!#REF!</f>
        <v>#REF!</v>
      </c>
      <c r="AF21" s="52" t="e">
        <f>+'Proyectos Base digitable'!#REF!</f>
        <v>#REF!</v>
      </c>
      <c r="AG21" s="56" t="e">
        <f>+'Proyectos Base digitable'!#REF!</f>
        <v>#REF!</v>
      </c>
      <c r="AH21" s="52" t="e">
        <f>+'Proyectos Base digitable'!#REF!</f>
        <v>#REF!</v>
      </c>
      <c r="AI21" s="52" t="e">
        <f>+'Proyectos Base digitable'!#REF!</f>
        <v>#REF!</v>
      </c>
      <c r="AJ21" s="59" t="e">
        <f>+'Proyectos Base digitable'!#REF!</f>
        <v>#REF!</v>
      </c>
      <c r="AK21" s="186" t="e">
        <f>+'Proyectos Base digitable'!#REF!</f>
        <v>#REF!</v>
      </c>
      <c r="AL21" s="186" t="e">
        <f>+'Proyectos Base digitable'!#REF!</f>
        <v>#REF!</v>
      </c>
      <c r="AM21" s="186" t="e">
        <f>+'Proyectos Base digitable'!#REF!</f>
        <v>#REF!</v>
      </c>
      <c r="AN21" s="186" t="e">
        <f>+'Proyectos Base digitable'!#REF!</f>
        <v>#REF!</v>
      </c>
      <c r="AO21" s="186" t="e">
        <f>+'Proyectos Base digitable'!#REF!</f>
        <v>#REF!</v>
      </c>
      <c r="AP21" s="186" t="e">
        <f>+'Proyectos Base digitable'!#REF!</f>
        <v>#REF!</v>
      </c>
      <c r="AQ21" s="186" t="e">
        <f>+'Proyectos Base digitable'!#REF!</f>
        <v>#REF!</v>
      </c>
      <c r="AR21" s="186" t="e">
        <f>+'Proyectos Base digitable'!#REF!</f>
        <v>#REF!</v>
      </c>
      <c r="AS21" s="186" t="e">
        <f>+'Proyectos Base digitable'!#REF!</f>
        <v>#REF!</v>
      </c>
      <c r="AT21" s="187" t="e">
        <f>+'Proyectos Base digitable'!#REF!</f>
        <v>#REF!</v>
      </c>
      <c r="AU21" s="56" t="e">
        <f>+'Proyectos Base digitable'!#REF!</f>
        <v>#REF!</v>
      </c>
      <c r="AV21" s="56" t="e">
        <f>+'Proyectos Base digitable'!#REF!</f>
        <v>#REF!</v>
      </c>
      <c r="AW21" s="56" t="e">
        <f>+'Proyectos Base digitable'!#REF!</f>
        <v>#REF!</v>
      </c>
      <c r="AX21" s="56" t="e">
        <f>+'Proyectos Base digitable'!#REF!</f>
        <v>#REF!</v>
      </c>
      <c r="AY21" s="56" t="e">
        <f>+'Proyectos Base digitable'!#REF!</f>
        <v>#REF!</v>
      </c>
      <c r="AZ21" s="188" t="e">
        <f>+'Proyectos Base digitable'!#REF!</f>
        <v>#REF!</v>
      </c>
      <c r="BA21" s="188" t="e">
        <f>+'Proyectos Base digitable'!#REF!</f>
        <v>#REF!</v>
      </c>
    </row>
    <row r="22" spans="1:53" ht="12.5">
      <c r="A22" s="60" t="e">
        <f>+'Proyectos Base digitable'!#REF!</f>
        <v>#REF!</v>
      </c>
      <c r="B22" s="56" t="e">
        <f>+'Proyectos Base digitable'!#REF!</f>
        <v>#REF!</v>
      </c>
      <c r="C22" s="56" t="e">
        <f>+'Proyectos Base digitable'!#REF!</f>
        <v>#REF!</v>
      </c>
      <c r="D22" s="56" t="e">
        <f>+'Proyectos Base digitable'!#REF!</f>
        <v>#REF!</v>
      </c>
      <c r="E22" s="56" t="e">
        <f>+'Proyectos Base digitable'!#REF!</f>
        <v>#REF!</v>
      </c>
      <c r="F22" s="56" t="e">
        <f>+'Proyectos Base digitable'!#REF!</f>
        <v>#REF!</v>
      </c>
      <c r="G22" s="57" t="e">
        <f>+'Proyectos Base digitable'!#REF!</f>
        <v>#REF!</v>
      </c>
      <c r="H22" s="56" t="e">
        <f>+'Proyectos Base digitable'!#REF!</f>
        <v>#REF!</v>
      </c>
      <c r="I22" s="56" t="e">
        <f>+'Proyectos Base digitable'!#REF!</f>
        <v>#REF!</v>
      </c>
      <c r="J22" s="56" t="e">
        <f>+'Proyectos Base digitable'!#REF!</f>
        <v>#REF!</v>
      </c>
      <c r="K22" s="56" t="e">
        <f>+'Proyectos Base digitable'!#REF!</f>
        <v>#REF!</v>
      </c>
      <c r="L22" s="56" t="e">
        <f>+'Proyectos Base digitable'!#REF!</f>
        <v>#REF!</v>
      </c>
      <c r="M22" s="56" t="e">
        <f>+'Proyectos Base digitable'!#REF!</f>
        <v>#REF!</v>
      </c>
      <c r="N22" s="52" t="e">
        <f>+'Proyectos Base digitable'!#REF!</f>
        <v>#REF!</v>
      </c>
      <c r="O22" s="52" t="e">
        <f>+'Proyectos Base digitable'!#REF!</f>
        <v>#REF!</v>
      </c>
      <c r="P22" s="185" t="e">
        <f>+'Proyectos Base digitable'!#REF!</f>
        <v>#REF!</v>
      </c>
      <c r="Q22" s="58" t="e">
        <f>+'Proyectos Base digitable'!#REF!</f>
        <v>#REF!</v>
      </c>
      <c r="R22" s="58" t="e">
        <f>+'Proyectos Base digitable'!#REF!</f>
        <v>#REF!</v>
      </c>
      <c r="S22" s="58" t="e">
        <f>+'Proyectos Base digitable'!#REF!</f>
        <v>#REF!</v>
      </c>
      <c r="T22" s="58" t="e">
        <f>+'Proyectos Base digitable'!#REF!</f>
        <v>#REF!</v>
      </c>
      <c r="U22" s="63" t="e">
        <f>'Proyectos Base digitable'!#REF!</f>
        <v>#REF!</v>
      </c>
      <c r="V22" s="63" t="e">
        <f>'Proyectos Base digitable'!#REF!</f>
        <v>#REF!</v>
      </c>
      <c r="W22" s="63" t="e">
        <f>'Proyectos Base digitable'!#REF!</f>
        <v>#REF!</v>
      </c>
      <c r="X22" s="63" t="e">
        <f>'Proyectos Base digitable'!#REF!</f>
        <v>#REF!</v>
      </c>
      <c r="Y22" s="63" t="e">
        <f>'Proyectos Base digitable'!#REF!</f>
        <v>#REF!</v>
      </c>
      <c r="Z22" s="58" t="e">
        <f>+'Proyectos Base digitable'!#REF!</f>
        <v>#REF!</v>
      </c>
      <c r="AA22" s="58" t="e">
        <f>+'Proyectos Base digitable'!#REF!</f>
        <v>#REF!</v>
      </c>
      <c r="AB22" s="63" t="e">
        <f>'Proyectos Base digitable'!#REF!</f>
        <v>#REF!</v>
      </c>
      <c r="AC22" s="56" t="e">
        <f>+'Proyectos Base digitable'!#REF!</f>
        <v>#REF!</v>
      </c>
      <c r="AD22" s="52" t="e">
        <f>+'Proyectos Base digitable'!#REF!</f>
        <v>#REF!</v>
      </c>
      <c r="AE22" s="52" t="e">
        <f>+'Proyectos Base digitable'!#REF!</f>
        <v>#REF!</v>
      </c>
      <c r="AF22" s="52" t="e">
        <f>+'Proyectos Base digitable'!#REF!</f>
        <v>#REF!</v>
      </c>
      <c r="AG22" s="56" t="e">
        <f>+'Proyectos Base digitable'!#REF!</f>
        <v>#REF!</v>
      </c>
      <c r="AH22" s="52" t="e">
        <f>+'Proyectos Base digitable'!#REF!</f>
        <v>#REF!</v>
      </c>
      <c r="AI22" s="52" t="e">
        <f>+'Proyectos Base digitable'!#REF!</f>
        <v>#REF!</v>
      </c>
      <c r="AJ22" s="59" t="e">
        <f>+'Proyectos Base digitable'!#REF!</f>
        <v>#REF!</v>
      </c>
      <c r="AK22" s="186" t="e">
        <f>+'Proyectos Base digitable'!#REF!</f>
        <v>#REF!</v>
      </c>
      <c r="AL22" s="186" t="e">
        <f>+'Proyectos Base digitable'!#REF!</f>
        <v>#REF!</v>
      </c>
      <c r="AM22" s="186" t="e">
        <f>+'Proyectos Base digitable'!#REF!</f>
        <v>#REF!</v>
      </c>
      <c r="AN22" s="186" t="e">
        <f>+'Proyectos Base digitable'!#REF!</f>
        <v>#REF!</v>
      </c>
      <c r="AO22" s="186" t="e">
        <f>+'Proyectos Base digitable'!#REF!</f>
        <v>#REF!</v>
      </c>
      <c r="AP22" s="186" t="e">
        <f>+'Proyectos Base digitable'!#REF!</f>
        <v>#REF!</v>
      </c>
      <c r="AQ22" s="186" t="e">
        <f>+'Proyectos Base digitable'!#REF!</f>
        <v>#REF!</v>
      </c>
      <c r="AR22" s="186" t="e">
        <f>+'Proyectos Base digitable'!#REF!</f>
        <v>#REF!</v>
      </c>
      <c r="AS22" s="186" t="e">
        <f>+'Proyectos Base digitable'!#REF!</f>
        <v>#REF!</v>
      </c>
      <c r="AT22" s="187" t="e">
        <f>+'Proyectos Base digitable'!#REF!</f>
        <v>#REF!</v>
      </c>
      <c r="AU22" s="56" t="e">
        <f>+'Proyectos Base digitable'!#REF!</f>
        <v>#REF!</v>
      </c>
      <c r="AV22" s="56" t="e">
        <f>+'Proyectos Base digitable'!#REF!</f>
        <v>#REF!</v>
      </c>
      <c r="AW22" s="56" t="e">
        <f>+'Proyectos Base digitable'!#REF!</f>
        <v>#REF!</v>
      </c>
      <c r="AX22" s="56" t="e">
        <f>+'Proyectos Base digitable'!#REF!</f>
        <v>#REF!</v>
      </c>
      <c r="AY22" s="56" t="e">
        <f>+'Proyectos Base digitable'!#REF!</f>
        <v>#REF!</v>
      </c>
      <c r="AZ22" s="188" t="e">
        <f>+'Proyectos Base digitable'!#REF!</f>
        <v>#REF!</v>
      </c>
      <c r="BA22" s="188" t="e">
        <f>+'Proyectos Base digitable'!#REF!</f>
        <v>#REF!</v>
      </c>
    </row>
    <row r="23" spans="1:53" ht="12.5">
      <c r="A23" s="60" t="e">
        <f>+'Proyectos Base digitable'!#REF!</f>
        <v>#REF!</v>
      </c>
      <c r="B23" s="56" t="e">
        <f>+'Proyectos Base digitable'!#REF!</f>
        <v>#REF!</v>
      </c>
      <c r="C23" s="56" t="e">
        <f>+'Proyectos Base digitable'!#REF!</f>
        <v>#REF!</v>
      </c>
      <c r="D23" s="56" t="e">
        <f>+'Proyectos Base digitable'!#REF!</f>
        <v>#REF!</v>
      </c>
      <c r="E23" s="56" t="e">
        <f>+'Proyectos Base digitable'!#REF!</f>
        <v>#REF!</v>
      </c>
      <c r="F23" s="56" t="e">
        <f>+'Proyectos Base digitable'!#REF!</f>
        <v>#REF!</v>
      </c>
      <c r="G23" s="57" t="e">
        <f>+'Proyectos Base digitable'!#REF!</f>
        <v>#REF!</v>
      </c>
      <c r="H23" s="56" t="e">
        <f>+'Proyectos Base digitable'!#REF!</f>
        <v>#REF!</v>
      </c>
      <c r="I23" s="56" t="e">
        <f>+'Proyectos Base digitable'!#REF!</f>
        <v>#REF!</v>
      </c>
      <c r="J23" s="56" t="e">
        <f>+'Proyectos Base digitable'!#REF!</f>
        <v>#REF!</v>
      </c>
      <c r="K23" s="56" t="e">
        <f>+'Proyectos Base digitable'!#REF!</f>
        <v>#REF!</v>
      </c>
      <c r="L23" s="56" t="e">
        <f>+'Proyectos Base digitable'!#REF!</f>
        <v>#REF!</v>
      </c>
      <c r="M23" s="56" t="e">
        <f>+'Proyectos Base digitable'!#REF!</f>
        <v>#REF!</v>
      </c>
      <c r="N23" s="52" t="e">
        <f>+'Proyectos Base digitable'!#REF!</f>
        <v>#REF!</v>
      </c>
      <c r="O23" s="52" t="e">
        <f>+'Proyectos Base digitable'!#REF!</f>
        <v>#REF!</v>
      </c>
      <c r="P23" s="185" t="e">
        <f>+'Proyectos Base digitable'!#REF!</f>
        <v>#REF!</v>
      </c>
      <c r="Q23" s="58" t="e">
        <f>+'Proyectos Base digitable'!#REF!</f>
        <v>#REF!</v>
      </c>
      <c r="R23" s="58" t="e">
        <f>+'Proyectos Base digitable'!#REF!</f>
        <v>#REF!</v>
      </c>
      <c r="S23" s="58" t="e">
        <f>+'Proyectos Base digitable'!#REF!</f>
        <v>#REF!</v>
      </c>
      <c r="T23" s="58" t="e">
        <f>+'Proyectos Base digitable'!#REF!</f>
        <v>#REF!</v>
      </c>
      <c r="U23" s="63" t="e">
        <f>'Proyectos Base digitable'!#REF!</f>
        <v>#REF!</v>
      </c>
      <c r="V23" s="63" t="e">
        <f>'Proyectos Base digitable'!#REF!</f>
        <v>#REF!</v>
      </c>
      <c r="W23" s="63" t="e">
        <f>'Proyectos Base digitable'!#REF!</f>
        <v>#REF!</v>
      </c>
      <c r="X23" s="63" t="e">
        <f>'Proyectos Base digitable'!#REF!</f>
        <v>#REF!</v>
      </c>
      <c r="Y23" s="63" t="e">
        <f>'Proyectos Base digitable'!#REF!</f>
        <v>#REF!</v>
      </c>
      <c r="Z23" s="58" t="e">
        <f>+'Proyectos Base digitable'!#REF!</f>
        <v>#REF!</v>
      </c>
      <c r="AA23" s="58" t="e">
        <f>+'Proyectos Base digitable'!#REF!</f>
        <v>#REF!</v>
      </c>
      <c r="AB23" s="63" t="e">
        <f>'Proyectos Base digitable'!#REF!</f>
        <v>#REF!</v>
      </c>
      <c r="AC23" s="56" t="e">
        <f>+'Proyectos Base digitable'!#REF!</f>
        <v>#REF!</v>
      </c>
      <c r="AD23" s="52" t="e">
        <f>+'Proyectos Base digitable'!#REF!</f>
        <v>#REF!</v>
      </c>
      <c r="AE23" s="52" t="e">
        <f>+'Proyectos Base digitable'!#REF!</f>
        <v>#REF!</v>
      </c>
      <c r="AF23" s="52" t="e">
        <f>+'Proyectos Base digitable'!#REF!</f>
        <v>#REF!</v>
      </c>
      <c r="AG23" s="56" t="e">
        <f>+'Proyectos Base digitable'!#REF!</f>
        <v>#REF!</v>
      </c>
      <c r="AH23" s="52" t="e">
        <f>+'Proyectos Base digitable'!#REF!</f>
        <v>#REF!</v>
      </c>
      <c r="AI23" s="52" t="e">
        <f>+'Proyectos Base digitable'!#REF!</f>
        <v>#REF!</v>
      </c>
      <c r="AJ23" s="59" t="e">
        <f>+'Proyectos Base digitable'!#REF!</f>
        <v>#REF!</v>
      </c>
      <c r="AK23" s="186" t="e">
        <f>+'Proyectos Base digitable'!#REF!</f>
        <v>#REF!</v>
      </c>
      <c r="AL23" s="186" t="e">
        <f>+'Proyectos Base digitable'!#REF!</f>
        <v>#REF!</v>
      </c>
      <c r="AM23" s="186" t="e">
        <f>+'Proyectos Base digitable'!#REF!</f>
        <v>#REF!</v>
      </c>
      <c r="AN23" s="186" t="e">
        <f>+'Proyectos Base digitable'!#REF!</f>
        <v>#REF!</v>
      </c>
      <c r="AO23" s="186" t="e">
        <f>+'Proyectos Base digitable'!#REF!</f>
        <v>#REF!</v>
      </c>
      <c r="AP23" s="186" t="e">
        <f>+'Proyectos Base digitable'!#REF!</f>
        <v>#REF!</v>
      </c>
      <c r="AQ23" s="186" t="e">
        <f>+'Proyectos Base digitable'!#REF!</f>
        <v>#REF!</v>
      </c>
      <c r="AR23" s="186" t="e">
        <f>+'Proyectos Base digitable'!#REF!</f>
        <v>#REF!</v>
      </c>
      <c r="AS23" s="186" t="e">
        <f>+'Proyectos Base digitable'!#REF!</f>
        <v>#REF!</v>
      </c>
      <c r="AT23" s="187" t="e">
        <f>+'Proyectos Base digitable'!#REF!</f>
        <v>#REF!</v>
      </c>
      <c r="AU23" s="56" t="e">
        <f>+'Proyectos Base digitable'!#REF!</f>
        <v>#REF!</v>
      </c>
      <c r="AV23" s="56" t="e">
        <f>+'Proyectos Base digitable'!#REF!</f>
        <v>#REF!</v>
      </c>
      <c r="AW23" s="56" t="e">
        <f>+'Proyectos Base digitable'!#REF!</f>
        <v>#REF!</v>
      </c>
      <c r="AX23" s="56" t="e">
        <f>+'Proyectos Base digitable'!#REF!</f>
        <v>#REF!</v>
      </c>
      <c r="AY23" s="56" t="e">
        <f>+'Proyectos Base digitable'!#REF!</f>
        <v>#REF!</v>
      </c>
      <c r="AZ23" s="188" t="e">
        <f>+'Proyectos Base digitable'!#REF!</f>
        <v>#REF!</v>
      </c>
      <c r="BA23" s="188" t="e">
        <f>+'Proyectos Base digitable'!#REF!</f>
        <v>#REF!</v>
      </c>
    </row>
    <row r="24" spans="1:53" ht="12.5">
      <c r="A24" s="60" t="e">
        <f>+'Proyectos Base digitable'!#REF!</f>
        <v>#REF!</v>
      </c>
      <c r="B24" s="56" t="e">
        <f>+'Proyectos Base digitable'!#REF!</f>
        <v>#REF!</v>
      </c>
      <c r="C24" s="56" t="e">
        <f>+'Proyectos Base digitable'!#REF!</f>
        <v>#REF!</v>
      </c>
      <c r="D24" s="56" t="e">
        <f>+'Proyectos Base digitable'!#REF!</f>
        <v>#REF!</v>
      </c>
      <c r="E24" s="56" t="e">
        <f>+'Proyectos Base digitable'!#REF!</f>
        <v>#REF!</v>
      </c>
      <c r="F24" s="56" t="e">
        <f>+'Proyectos Base digitable'!#REF!</f>
        <v>#REF!</v>
      </c>
      <c r="G24" s="57" t="e">
        <f>+'Proyectos Base digitable'!#REF!</f>
        <v>#REF!</v>
      </c>
      <c r="H24" s="56" t="e">
        <f>+'Proyectos Base digitable'!#REF!</f>
        <v>#REF!</v>
      </c>
      <c r="I24" s="56" t="e">
        <f>+'Proyectos Base digitable'!#REF!</f>
        <v>#REF!</v>
      </c>
      <c r="J24" s="56" t="e">
        <f>+'Proyectos Base digitable'!#REF!</f>
        <v>#REF!</v>
      </c>
      <c r="K24" s="56" t="e">
        <f>+'Proyectos Base digitable'!#REF!</f>
        <v>#REF!</v>
      </c>
      <c r="L24" s="56" t="e">
        <f>+'Proyectos Base digitable'!#REF!</f>
        <v>#REF!</v>
      </c>
      <c r="M24" s="56" t="e">
        <f>+'Proyectos Base digitable'!#REF!</f>
        <v>#REF!</v>
      </c>
      <c r="N24" s="52" t="e">
        <f>+'Proyectos Base digitable'!#REF!</f>
        <v>#REF!</v>
      </c>
      <c r="O24" s="52" t="e">
        <f>+'Proyectos Base digitable'!#REF!</f>
        <v>#REF!</v>
      </c>
      <c r="P24" s="185" t="e">
        <f>+'Proyectos Base digitable'!#REF!</f>
        <v>#REF!</v>
      </c>
      <c r="Q24" s="58" t="e">
        <f>+'Proyectos Base digitable'!#REF!</f>
        <v>#REF!</v>
      </c>
      <c r="R24" s="58" t="e">
        <f>+'Proyectos Base digitable'!#REF!</f>
        <v>#REF!</v>
      </c>
      <c r="S24" s="58" t="e">
        <f>+'Proyectos Base digitable'!#REF!</f>
        <v>#REF!</v>
      </c>
      <c r="T24" s="58" t="e">
        <f>+'Proyectos Base digitable'!#REF!</f>
        <v>#REF!</v>
      </c>
      <c r="U24" s="63" t="e">
        <f>'Proyectos Base digitable'!#REF!</f>
        <v>#REF!</v>
      </c>
      <c r="V24" s="63" t="e">
        <f>'Proyectos Base digitable'!#REF!</f>
        <v>#REF!</v>
      </c>
      <c r="W24" s="63" t="e">
        <f>'Proyectos Base digitable'!#REF!</f>
        <v>#REF!</v>
      </c>
      <c r="X24" s="63" t="e">
        <f>'Proyectos Base digitable'!#REF!</f>
        <v>#REF!</v>
      </c>
      <c r="Y24" s="63" t="e">
        <f>'Proyectos Base digitable'!#REF!</f>
        <v>#REF!</v>
      </c>
      <c r="Z24" s="58" t="e">
        <f>+'Proyectos Base digitable'!#REF!</f>
        <v>#REF!</v>
      </c>
      <c r="AA24" s="58" t="e">
        <f>+'Proyectos Base digitable'!#REF!</f>
        <v>#REF!</v>
      </c>
      <c r="AB24" s="63" t="e">
        <f>'Proyectos Base digitable'!#REF!</f>
        <v>#REF!</v>
      </c>
      <c r="AC24" s="56" t="e">
        <f>+'Proyectos Base digitable'!#REF!</f>
        <v>#REF!</v>
      </c>
      <c r="AD24" s="52" t="e">
        <f>+'Proyectos Base digitable'!#REF!</f>
        <v>#REF!</v>
      </c>
      <c r="AE24" s="52" t="e">
        <f>+'Proyectos Base digitable'!#REF!</f>
        <v>#REF!</v>
      </c>
      <c r="AF24" s="52" t="e">
        <f>+'Proyectos Base digitable'!#REF!</f>
        <v>#REF!</v>
      </c>
      <c r="AG24" s="56" t="e">
        <f>+'Proyectos Base digitable'!#REF!</f>
        <v>#REF!</v>
      </c>
      <c r="AH24" s="52" t="e">
        <f>+'Proyectos Base digitable'!#REF!</f>
        <v>#REF!</v>
      </c>
      <c r="AI24" s="52" t="e">
        <f>+'Proyectos Base digitable'!#REF!</f>
        <v>#REF!</v>
      </c>
      <c r="AJ24" s="59" t="e">
        <f>+'Proyectos Base digitable'!#REF!</f>
        <v>#REF!</v>
      </c>
      <c r="AK24" s="186" t="e">
        <f>+'Proyectos Base digitable'!#REF!</f>
        <v>#REF!</v>
      </c>
      <c r="AL24" s="186" t="e">
        <f>+'Proyectos Base digitable'!#REF!</f>
        <v>#REF!</v>
      </c>
      <c r="AM24" s="186" t="e">
        <f>+'Proyectos Base digitable'!#REF!</f>
        <v>#REF!</v>
      </c>
      <c r="AN24" s="186" t="e">
        <f>+'Proyectos Base digitable'!#REF!</f>
        <v>#REF!</v>
      </c>
      <c r="AO24" s="186" t="e">
        <f>+'Proyectos Base digitable'!#REF!</f>
        <v>#REF!</v>
      </c>
      <c r="AP24" s="186" t="e">
        <f>+'Proyectos Base digitable'!#REF!</f>
        <v>#REF!</v>
      </c>
      <c r="AQ24" s="186" t="e">
        <f>+'Proyectos Base digitable'!#REF!</f>
        <v>#REF!</v>
      </c>
      <c r="AR24" s="186" t="e">
        <f>+'Proyectos Base digitable'!#REF!</f>
        <v>#REF!</v>
      </c>
      <c r="AS24" s="186" t="e">
        <f>+'Proyectos Base digitable'!#REF!</f>
        <v>#REF!</v>
      </c>
      <c r="AT24" s="187" t="e">
        <f>+'Proyectos Base digitable'!#REF!</f>
        <v>#REF!</v>
      </c>
      <c r="AU24" s="56" t="e">
        <f>+'Proyectos Base digitable'!#REF!</f>
        <v>#REF!</v>
      </c>
      <c r="AV24" s="56" t="e">
        <f>+'Proyectos Base digitable'!#REF!</f>
        <v>#REF!</v>
      </c>
      <c r="AW24" s="56" t="e">
        <f>+'Proyectos Base digitable'!#REF!</f>
        <v>#REF!</v>
      </c>
      <c r="AX24" s="56" t="e">
        <f>+'Proyectos Base digitable'!#REF!</f>
        <v>#REF!</v>
      </c>
      <c r="AY24" s="56" t="e">
        <f>+'Proyectos Base digitable'!#REF!</f>
        <v>#REF!</v>
      </c>
      <c r="AZ24" s="188" t="e">
        <f>+'Proyectos Base digitable'!#REF!</f>
        <v>#REF!</v>
      </c>
      <c r="BA24" s="188" t="e">
        <f>+'Proyectos Base digitable'!#REF!</f>
        <v>#REF!</v>
      </c>
    </row>
    <row r="25" spans="1:53" ht="12.5">
      <c r="A25" s="60" t="e">
        <f>+'Proyectos Base digitable'!#REF!</f>
        <v>#REF!</v>
      </c>
      <c r="B25" s="56" t="e">
        <f>+'Proyectos Base digitable'!#REF!</f>
        <v>#REF!</v>
      </c>
      <c r="C25" s="56" t="e">
        <f>+'Proyectos Base digitable'!#REF!</f>
        <v>#REF!</v>
      </c>
      <c r="D25" s="56" t="e">
        <f>+'Proyectos Base digitable'!#REF!</f>
        <v>#REF!</v>
      </c>
      <c r="E25" s="56" t="e">
        <f>+'Proyectos Base digitable'!#REF!</f>
        <v>#REF!</v>
      </c>
      <c r="F25" s="56" t="e">
        <f>+'Proyectos Base digitable'!#REF!</f>
        <v>#REF!</v>
      </c>
      <c r="G25" s="57" t="e">
        <f>+'Proyectos Base digitable'!#REF!</f>
        <v>#REF!</v>
      </c>
      <c r="H25" s="56" t="e">
        <f>+'Proyectos Base digitable'!#REF!</f>
        <v>#REF!</v>
      </c>
      <c r="I25" s="56" t="e">
        <f>+'Proyectos Base digitable'!#REF!</f>
        <v>#REF!</v>
      </c>
      <c r="J25" s="56" t="e">
        <f>+'Proyectos Base digitable'!#REF!</f>
        <v>#REF!</v>
      </c>
      <c r="K25" s="56" t="e">
        <f>+'Proyectos Base digitable'!#REF!</f>
        <v>#REF!</v>
      </c>
      <c r="L25" s="56" t="e">
        <f>+'Proyectos Base digitable'!#REF!</f>
        <v>#REF!</v>
      </c>
      <c r="M25" s="56" t="e">
        <f>+'Proyectos Base digitable'!#REF!</f>
        <v>#REF!</v>
      </c>
      <c r="N25" s="52" t="e">
        <f>+'Proyectos Base digitable'!#REF!</f>
        <v>#REF!</v>
      </c>
      <c r="O25" s="52" t="e">
        <f>+'Proyectos Base digitable'!#REF!</f>
        <v>#REF!</v>
      </c>
      <c r="P25" s="185" t="e">
        <f>+'Proyectos Base digitable'!#REF!</f>
        <v>#REF!</v>
      </c>
      <c r="Q25" s="58" t="e">
        <f>+'Proyectos Base digitable'!#REF!</f>
        <v>#REF!</v>
      </c>
      <c r="R25" s="58" t="e">
        <f>+'Proyectos Base digitable'!#REF!</f>
        <v>#REF!</v>
      </c>
      <c r="S25" s="58" t="e">
        <f>+'Proyectos Base digitable'!#REF!</f>
        <v>#REF!</v>
      </c>
      <c r="T25" s="58" t="e">
        <f>+'Proyectos Base digitable'!#REF!</f>
        <v>#REF!</v>
      </c>
      <c r="U25" s="63" t="e">
        <f>'Proyectos Base digitable'!#REF!</f>
        <v>#REF!</v>
      </c>
      <c r="V25" s="63" t="e">
        <f>'Proyectos Base digitable'!#REF!</f>
        <v>#REF!</v>
      </c>
      <c r="W25" s="63" t="e">
        <f>'Proyectos Base digitable'!#REF!</f>
        <v>#REF!</v>
      </c>
      <c r="X25" s="63" t="e">
        <f>'Proyectos Base digitable'!#REF!</f>
        <v>#REF!</v>
      </c>
      <c r="Y25" s="63" t="e">
        <f>'Proyectos Base digitable'!#REF!</f>
        <v>#REF!</v>
      </c>
      <c r="Z25" s="58" t="e">
        <f>+'Proyectos Base digitable'!#REF!</f>
        <v>#REF!</v>
      </c>
      <c r="AA25" s="58" t="e">
        <f>+'Proyectos Base digitable'!#REF!</f>
        <v>#REF!</v>
      </c>
      <c r="AB25" s="63" t="e">
        <f>'Proyectos Base digitable'!#REF!</f>
        <v>#REF!</v>
      </c>
      <c r="AC25" s="56" t="e">
        <f>+'Proyectos Base digitable'!#REF!</f>
        <v>#REF!</v>
      </c>
      <c r="AD25" s="52" t="e">
        <f>+'Proyectos Base digitable'!#REF!</f>
        <v>#REF!</v>
      </c>
      <c r="AE25" s="52" t="e">
        <f>+'Proyectos Base digitable'!#REF!</f>
        <v>#REF!</v>
      </c>
      <c r="AF25" s="52" t="e">
        <f>+'Proyectos Base digitable'!#REF!</f>
        <v>#REF!</v>
      </c>
      <c r="AG25" s="56" t="e">
        <f>+'Proyectos Base digitable'!#REF!</f>
        <v>#REF!</v>
      </c>
      <c r="AH25" s="52" t="e">
        <f>+'Proyectos Base digitable'!#REF!</f>
        <v>#REF!</v>
      </c>
      <c r="AI25" s="52" t="e">
        <f>+'Proyectos Base digitable'!#REF!</f>
        <v>#REF!</v>
      </c>
      <c r="AJ25" s="59" t="e">
        <f>+'Proyectos Base digitable'!#REF!</f>
        <v>#REF!</v>
      </c>
      <c r="AK25" s="186" t="e">
        <f>+'Proyectos Base digitable'!#REF!</f>
        <v>#REF!</v>
      </c>
      <c r="AL25" s="186" t="e">
        <f>+'Proyectos Base digitable'!#REF!</f>
        <v>#REF!</v>
      </c>
      <c r="AM25" s="186" t="e">
        <f>+'Proyectos Base digitable'!#REF!</f>
        <v>#REF!</v>
      </c>
      <c r="AN25" s="186" t="e">
        <f>+'Proyectos Base digitable'!#REF!</f>
        <v>#REF!</v>
      </c>
      <c r="AO25" s="186" t="e">
        <f>+'Proyectos Base digitable'!#REF!</f>
        <v>#REF!</v>
      </c>
      <c r="AP25" s="186" t="e">
        <f>+'Proyectos Base digitable'!#REF!</f>
        <v>#REF!</v>
      </c>
      <c r="AQ25" s="186" t="e">
        <f>+'Proyectos Base digitable'!#REF!</f>
        <v>#REF!</v>
      </c>
      <c r="AR25" s="186" t="e">
        <f>+'Proyectos Base digitable'!#REF!</f>
        <v>#REF!</v>
      </c>
      <c r="AS25" s="186" t="e">
        <f>+'Proyectos Base digitable'!#REF!</f>
        <v>#REF!</v>
      </c>
      <c r="AT25" s="187" t="e">
        <f>+'Proyectos Base digitable'!#REF!</f>
        <v>#REF!</v>
      </c>
      <c r="AU25" s="56" t="e">
        <f>+'Proyectos Base digitable'!#REF!</f>
        <v>#REF!</v>
      </c>
      <c r="AV25" s="56" t="e">
        <f>+'Proyectos Base digitable'!#REF!</f>
        <v>#REF!</v>
      </c>
      <c r="AW25" s="56" t="e">
        <f>+'Proyectos Base digitable'!#REF!</f>
        <v>#REF!</v>
      </c>
      <c r="AX25" s="56" t="e">
        <f>+'Proyectos Base digitable'!#REF!</f>
        <v>#REF!</v>
      </c>
      <c r="AY25" s="56" t="e">
        <f>+'Proyectos Base digitable'!#REF!</f>
        <v>#REF!</v>
      </c>
      <c r="AZ25" s="188" t="e">
        <f>+'Proyectos Base digitable'!#REF!</f>
        <v>#REF!</v>
      </c>
      <c r="BA25" s="188" t="e">
        <f>+'Proyectos Base digitable'!#REF!</f>
        <v>#REF!</v>
      </c>
    </row>
    <row r="26" spans="1:53" ht="12.5">
      <c r="A26" s="60" t="e">
        <f>+'Proyectos Base digitable'!#REF!</f>
        <v>#REF!</v>
      </c>
      <c r="B26" s="56" t="e">
        <f>+'Proyectos Base digitable'!#REF!</f>
        <v>#REF!</v>
      </c>
      <c r="C26" s="56" t="e">
        <f>+'Proyectos Base digitable'!#REF!</f>
        <v>#REF!</v>
      </c>
      <c r="D26" s="56" t="e">
        <f>+'Proyectos Base digitable'!#REF!</f>
        <v>#REF!</v>
      </c>
      <c r="E26" s="56" t="e">
        <f>+'Proyectos Base digitable'!#REF!</f>
        <v>#REF!</v>
      </c>
      <c r="F26" s="56" t="e">
        <f>+'Proyectos Base digitable'!#REF!</f>
        <v>#REF!</v>
      </c>
      <c r="G26" s="57" t="e">
        <f>+'Proyectos Base digitable'!#REF!</f>
        <v>#REF!</v>
      </c>
      <c r="H26" s="56" t="e">
        <f>+'Proyectos Base digitable'!#REF!</f>
        <v>#REF!</v>
      </c>
      <c r="I26" s="56" t="e">
        <f>+'Proyectos Base digitable'!#REF!</f>
        <v>#REF!</v>
      </c>
      <c r="J26" s="56" t="e">
        <f>+'Proyectos Base digitable'!#REF!</f>
        <v>#REF!</v>
      </c>
      <c r="K26" s="56" t="e">
        <f>+'Proyectos Base digitable'!#REF!</f>
        <v>#REF!</v>
      </c>
      <c r="L26" s="56" t="e">
        <f>+'Proyectos Base digitable'!#REF!</f>
        <v>#REF!</v>
      </c>
      <c r="M26" s="56" t="e">
        <f>+'Proyectos Base digitable'!#REF!</f>
        <v>#REF!</v>
      </c>
      <c r="N26" s="52" t="e">
        <f>+'Proyectos Base digitable'!#REF!</f>
        <v>#REF!</v>
      </c>
      <c r="O26" s="52" t="e">
        <f>+'Proyectos Base digitable'!#REF!</f>
        <v>#REF!</v>
      </c>
      <c r="P26" s="185" t="e">
        <f>+'Proyectos Base digitable'!#REF!</f>
        <v>#REF!</v>
      </c>
      <c r="Q26" s="58" t="e">
        <f>+'Proyectos Base digitable'!#REF!</f>
        <v>#REF!</v>
      </c>
      <c r="R26" s="58" t="e">
        <f>+'Proyectos Base digitable'!#REF!</f>
        <v>#REF!</v>
      </c>
      <c r="S26" s="58" t="e">
        <f>+'Proyectos Base digitable'!#REF!</f>
        <v>#REF!</v>
      </c>
      <c r="T26" s="58" t="e">
        <f>+'Proyectos Base digitable'!#REF!</f>
        <v>#REF!</v>
      </c>
      <c r="U26" s="63" t="e">
        <f>'Proyectos Base digitable'!#REF!</f>
        <v>#REF!</v>
      </c>
      <c r="V26" s="63" t="e">
        <f>'Proyectos Base digitable'!#REF!</f>
        <v>#REF!</v>
      </c>
      <c r="W26" s="63" t="e">
        <f>'Proyectos Base digitable'!#REF!</f>
        <v>#REF!</v>
      </c>
      <c r="X26" s="63" t="e">
        <f>'Proyectos Base digitable'!#REF!</f>
        <v>#REF!</v>
      </c>
      <c r="Y26" s="63" t="e">
        <f>'Proyectos Base digitable'!#REF!</f>
        <v>#REF!</v>
      </c>
      <c r="Z26" s="58" t="e">
        <f>+'Proyectos Base digitable'!#REF!</f>
        <v>#REF!</v>
      </c>
      <c r="AA26" s="58" t="e">
        <f>+'Proyectos Base digitable'!#REF!</f>
        <v>#REF!</v>
      </c>
      <c r="AB26" s="63" t="e">
        <f>'Proyectos Base digitable'!#REF!</f>
        <v>#REF!</v>
      </c>
      <c r="AC26" s="56" t="e">
        <f>+'Proyectos Base digitable'!#REF!</f>
        <v>#REF!</v>
      </c>
      <c r="AD26" s="52" t="e">
        <f>+'Proyectos Base digitable'!#REF!</f>
        <v>#REF!</v>
      </c>
      <c r="AE26" s="52" t="e">
        <f>+'Proyectos Base digitable'!#REF!</f>
        <v>#REF!</v>
      </c>
      <c r="AF26" s="52" t="e">
        <f>+'Proyectos Base digitable'!#REF!</f>
        <v>#REF!</v>
      </c>
      <c r="AG26" s="56" t="e">
        <f>+'Proyectos Base digitable'!#REF!</f>
        <v>#REF!</v>
      </c>
      <c r="AH26" s="52" t="e">
        <f>+'Proyectos Base digitable'!#REF!</f>
        <v>#REF!</v>
      </c>
      <c r="AI26" s="52" t="e">
        <f>+'Proyectos Base digitable'!#REF!</f>
        <v>#REF!</v>
      </c>
      <c r="AJ26" s="59" t="e">
        <f>+'Proyectos Base digitable'!#REF!</f>
        <v>#REF!</v>
      </c>
      <c r="AK26" s="186" t="e">
        <f>+'Proyectos Base digitable'!#REF!</f>
        <v>#REF!</v>
      </c>
      <c r="AL26" s="186" t="e">
        <f>+'Proyectos Base digitable'!#REF!</f>
        <v>#REF!</v>
      </c>
      <c r="AM26" s="186" t="e">
        <f>+'Proyectos Base digitable'!#REF!</f>
        <v>#REF!</v>
      </c>
      <c r="AN26" s="186" t="e">
        <f>+'Proyectos Base digitable'!#REF!</f>
        <v>#REF!</v>
      </c>
      <c r="AO26" s="186" t="e">
        <f>+'Proyectos Base digitable'!#REF!</f>
        <v>#REF!</v>
      </c>
      <c r="AP26" s="186" t="e">
        <f>+'Proyectos Base digitable'!#REF!</f>
        <v>#REF!</v>
      </c>
      <c r="AQ26" s="186" t="e">
        <f>+'Proyectos Base digitable'!#REF!</f>
        <v>#REF!</v>
      </c>
      <c r="AR26" s="186" t="e">
        <f>+'Proyectos Base digitable'!#REF!</f>
        <v>#REF!</v>
      </c>
      <c r="AS26" s="186" t="e">
        <f>+'Proyectos Base digitable'!#REF!</f>
        <v>#REF!</v>
      </c>
      <c r="AT26" s="187" t="e">
        <f>+'Proyectos Base digitable'!#REF!</f>
        <v>#REF!</v>
      </c>
      <c r="AU26" s="56" t="e">
        <f>+'Proyectos Base digitable'!#REF!</f>
        <v>#REF!</v>
      </c>
      <c r="AV26" s="56" t="e">
        <f>+'Proyectos Base digitable'!#REF!</f>
        <v>#REF!</v>
      </c>
      <c r="AW26" s="56" t="e">
        <f>+'Proyectos Base digitable'!#REF!</f>
        <v>#REF!</v>
      </c>
      <c r="AX26" s="56" t="e">
        <f>+'Proyectos Base digitable'!#REF!</f>
        <v>#REF!</v>
      </c>
      <c r="AY26" s="56" t="e">
        <f>+'Proyectos Base digitable'!#REF!</f>
        <v>#REF!</v>
      </c>
      <c r="AZ26" s="188" t="e">
        <f>+'Proyectos Base digitable'!#REF!</f>
        <v>#REF!</v>
      </c>
      <c r="BA26" s="188" t="e">
        <f>+'Proyectos Base digitable'!#REF!</f>
        <v>#REF!</v>
      </c>
    </row>
    <row r="27" spans="1:53" ht="12.5">
      <c r="A27" s="60" t="e">
        <f>+'Proyectos Base digitable'!#REF!</f>
        <v>#REF!</v>
      </c>
      <c r="B27" s="56" t="e">
        <f>+'Proyectos Base digitable'!#REF!</f>
        <v>#REF!</v>
      </c>
      <c r="C27" s="56" t="e">
        <f>+'Proyectos Base digitable'!#REF!</f>
        <v>#REF!</v>
      </c>
      <c r="D27" s="56" t="e">
        <f>+'Proyectos Base digitable'!#REF!</f>
        <v>#REF!</v>
      </c>
      <c r="E27" s="56" t="e">
        <f>+'Proyectos Base digitable'!#REF!</f>
        <v>#REF!</v>
      </c>
      <c r="F27" s="56" t="e">
        <f>+'Proyectos Base digitable'!#REF!</f>
        <v>#REF!</v>
      </c>
      <c r="G27" s="57" t="e">
        <f>+'Proyectos Base digitable'!#REF!</f>
        <v>#REF!</v>
      </c>
      <c r="H27" s="56" t="e">
        <f>+'Proyectos Base digitable'!#REF!</f>
        <v>#REF!</v>
      </c>
      <c r="I27" s="56" t="e">
        <f>+'Proyectos Base digitable'!#REF!</f>
        <v>#REF!</v>
      </c>
      <c r="J27" s="56" t="e">
        <f>+'Proyectos Base digitable'!#REF!</f>
        <v>#REF!</v>
      </c>
      <c r="K27" s="56" t="e">
        <f>+'Proyectos Base digitable'!#REF!</f>
        <v>#REF!</v>
      </c>
      <c r="L27" s="56" t="e">
        <f>+'Proyectos Base digitable'!#REF!</f>
        <v>#REF!</v>
      </c>
      <c r="M27" s="56" t="e">
        <f>+'Proyectos Base digitable'!#REF!</f>
        <v>#REF!</v>
      </c>
      <c r="N27" s="52" t="e">
        <f>+'Proyectos Base digitable'!#REF!</f>
        <v>#REF!</v>
      </c>
      <c r="O27" s="52" t="e">
        <f>+'Proyectos Base digitable'!#REF!</f>
        <v>#REF!</v>
      </c>
      <c r="P27" s="185" t="e">
        <f>+'Proyectos Base digitable'!#REF!</f>
        <v>#REF!</v>
      </c>
      <c r="Q27" s="58" t="e">
        <f>+'Proyectos Base digitable'!#REF!</f>
        <v>#REF!</v>
      </c>
      <c r="R27" s="58" t="e">
        <f>+'Proyectos Base digitable'!#REF!</f>
        <v>#REF!</v>
      </c>
      <c r="S27" s="58" t="e">
        <f>+'Proyectos Base digitable'!#REF!</f>
        <v>#REF!</v>
      </c>
      <c r="T27" s="58" t="e">
        <f>+'Proyectos Base digitable'!#REF!</f>
        <v>#REF!</v>
      </c>
      <c r="U27" s="63" t="e">
        <f>'Proyectos Base digitable'!#REF!</f>
        <v>#REF!</v>
      </c>
      <c r="V27" s="63" t="e">
        <f>'Proyectos Base digitable'!#REF!</f>
        <v>#REF!</v>
      </c>
      <c r="W27" s="63" t="e">
        <f>'Proyectos Base digitable'!#REF!</f>
        <v>#REF!</v>
      </c>
      <c r="X27" s="63" t="e">
        <f>'Proyectos Base digitable'!#REF!</f>
        <v>#REF!</v>
      </c>
      <c r="Y27" s="63" t="e">
        <f>'Proyectos Base digitable'!#REF!</f>
        <v>#REF!</v>
      </c>
      <c r="Z27" s="58" t="e">
        <f>+'Proyectos Base digitable'!#REF!</f>
        <v>#REF!</v>
      </c>
      <c r="AA27" s="58" t="e">
        <f>+'Proyectos Base digitable'!#REF!</f>
        <v>#REF!</v>
      </c>
      <c r="AB27" s="63" t="e">
        <f>'Proyectos Base digitable'!#REF!</f>
        <v>#REF!</v>
      </c>
      <c r="AC27" s="56" t="e">
        <f>+'Proyectos Base digitable'!#REF!</f>
        <v>#REF!</v>
      </c>
      <c r="AD27" s="52" t="e">
        <f>+'Proyectos Base digitable'!#REF!</f>
        <v>#REF!</v>
      </c>
      <c r="AE27" s="52" t="e">
        <f>+'Proyectos Base digitable'!#REF!</f>
        <v>#REF!</v>
      </c>
      <c r="AF27" s="52" t="e">
        <f>+'Proyectos Base digitable'!#REF!</f>
        <v>#REF!</v>
      </c>
      <c r="AG27" s="56" t="e">
        <f>+'Proyectos Base digitable'!#REF!</f>
        <v>#REF!</v>
      </c>
      <c r="AH27" s="52" t="e">
        <f>+'Proyectos Base digitable'!#REF!</f>
        <v>#REF!</v>
      </c>
      <c r="AI27" s="52" t="e">
        <f>+'Proyectos Base digitable'!#REF!</f>
        <v>#REF!</v>
      </c>
      <c r="AJ27" s="59" t="e">
        <f>+'Proyectos Base digitable'!#REF!</f>
        <v>#REF!</v>
      </c>
      <c r="AK27" s="186" t="e">
        <f>+'Proyectos Base digitable'!#REF!</f>
        <v>#REF!</v>
      </c>
      <c r="AL27" s="186" t="e">
        <f>+'Proyectos Base digitable'!#REF!</f>
        <v>#REF!</v>
      </c>
      <c r="AM27" s="186" t="e">
        <f>+'Proyectos Base digitable'!#REF!</f>
        <v>#REF!</v>
      </c>
      <c r="AN27" s="186" t="e">
        <f>+'Proyectos Base digitable'!#REF!</f>
        <v>#REF!</v>
      </c>
      <c r="AO27" s="186" t="e">
        <f>+'Proyectos Base digitable'!#REF!</f>
        <v>#REF!</v>
      </c>
      <c r="AP27" s="186" t="e">
        <f>+'Proyectos Base digitable'!#REF!</f>
        <v>#REF!</v>
      </c>
      <c r="AQ27" s="186" t="e">
        <f>+'Proyectos Base digitable'!#REF!</f>
        <v>#REF!</v>
      </c>
      <c r="AR27" s="186" t="e">
        <f>+'Proyectos Base digitable'!#REF!</f>
        <v>#REF!</v>
      </c>
      <c r="AS27" s="186" t="e">
        <f>+'Proyectos Base digitable'!#REF!</f>
        <v>#REF!</v>
      </c>
      <c r="AT27" s="187" t="e">
        <f>+'Proyectos Base digitable'!#REF!</f>
        <v>#REF!</v>
      </c>
      <c r="AU27" s="56" t="e">
        <f>+'Proyectos Base digitable'!#REF!</f>
        <v>#REF!</v>
      </c>
      <c r="AV27" s="56" t="e">
        <f>+'Proyectos Base digitable'!#REF!</f>
        <v>#REF!</v>
      </c>
      <c r="AW27" s="56" t="e">
        <f>+'Proyectos Base digitable'!#REF!</f>
        <v>#REF!</v>
      </c>
      <c r="AX27" s="56" t="e">
        <f>+'Proyectos Base digitable'!#REF!</f>
        <v>#REF!</v>
      </c>
      <c r="AY27" s="56" t="e">
        <f>+'Proyectos Base digitable'!#REF!</f>
        <v>#REF!</v>
      </c>
      <c r="AZ27" s="188" t="e">
        <f>+'Proyectos Base digitable'!#REF!</f>
        <v>#REF!</v>
      </c>
      <c r="BA27" s="188" t="e">
        <f>+'Proyectos Base digitable'!#REF!</f>
        <v>#REF!</v>
      </c>
    </row>
    <row r="28" spans="1:53" ht="12.5">
      <c r="A28" s="60" t="e">
        <f>+'Proyectos Base digitable'!#REF!</f>
        <v>#REF!</v>
      </c>
      <c r="B28" s="56" t="e">
        <f>+'Proyectos Base digitable'!#REF!</f>
        <v>#REF!</v>
      </c>
      <c r="C28" s="56" t="e">
        <f>+'Proyectos Base digitable'!#REF!</f>
        <v>#REF!</v>
      </c>
      <c r="D28" s="56" t="e">
        <f>+'Proyectos Base digitable'!#REF!</f>
        <v>#REF!</v>
      </c>
      <c r="E28" s="56" t="e">
        <f>+'Proyectos Base digitable'!#REF!</f>
        <v>#REF!</v>
      </c>
      <c r="F28" s="56" t="e">
        <f>+'Proyectos Base digitable'!#REF!</f>
        <v>#REF!</v>
      </c>
      <c r="G28" s="57" t="e">
        <f>+'Proyectos Base digitable'!#REF!</f>
        <v>#REF!</v>
      </c>
      <c r="H28" s="56" t="e">
        <f>+'Proyectos Base digitable'!#REF!</f>
        <v>#REF!</v>
      </c>
      <c r="I28" s="56" t="e">
        <f>+'Proyectos Base digitable'!#REF!</f>
        <v>#REF!</v>
      </c>
      <c r="J28" s="56" t="e">
        <f>+'Proyectos Base digitable'!#REF!</f>
        <v>#REF!</v>
      </c>
      <c r="K28" s="56" t="e">
        <f>+'Proyectos Base digitable'!#REF!</f>
        <v>#REF!</v>
      </c>
      <c r="L28" s="56" t="e">
        <f>+'Proyectos Base digitable'!#REF!</f>
        <v>#REF!</v>
      </c>
      <c r="M28" s="56" t="e">
        <f>+'Proyectos Base digitable'!#REF!</f>
        <v>#REF!</v>
      </c>
      <c r="N28" s="52" t="e">
        <f>+'Proyectos Base digitable'!#REF!</f>
        <v>#REF!</v>
      </c>
      <c r="O28" s="52" t="e">
        <f>+'Proyectos Base digitable'!#REF!</f>
        <v>#REF!</v>
      </c>
      <c r="P28" s="185" t="e">
        <f>+'Proyectos Base digitable'!#REF!</f>
        <v>#REF!</v>
      </c>
      <c r="Q28" s="58" t="e">
        <f>+'Proyectos Base digitable'!#REF!</f>
        <v>#REF!</v>
      </c>
      <c r="R28" s="58" t="e">
        <f>+'Proyectos Base digitable'!#REF!</f>
        <v>#REF!</v>
      </c>
      <c r="S28" s="58" t="e">
        <f>+'Proyectos Base digitable'!#REF!</f>
        <v>#REF!</v>
      </c>
      <c r="T28" s="58" t="e">
        <f>+'Proyectos Base digitable'!#REF!</f>
        <v>#REF!</v>
      </c>
      <c r="U28" s="63" t="e">
        <f>'Proyectos Base digitable'!#REF!</f>
        <v>#REF!</v>
      </c>
      <c r="V28" s="63" t="e">
        <f>'Proyectos Base digitable'!#REF!</f>
        <v>#REF!</v>
      </c>
      <c r="W28" s="63" t="e">
        <f>'Proyectos Base digitable'!#REF!</f>
        <v>#REF!</v>
      </c>
      <c r="X28" s="63" t="e">
        <f>'Proyectos Base digitable'!#REF!</f>
        <v>#REF!</v>
      </c>
      <c r="Y28" s="63" t="e">
        <f>'Proyectos Base digitable'!#REF!</f>
        <v>#REF!</v>
      </c>
      <c r="Z28" s="58" t="e">
        <f>+'Proyectos Base digitable'!#REF!</f>
        <v>#REF!</v>
      </c>
      <c r="AA28" s="58" t="e">
        <f>+'Proyectos Base digitable'!#REF!</f>
        <v>#REF!</v>
      </c>
      <c r="AB28" s="63" t="e">
        <f>'Proyectos Base digitable'!#REF!</f>
        <v>#REF!</v>
      </c>
      <c r="AC28" s="56" t="e">
        <f>+'Proyectos Base digitable'!#REF!</f>
        <v>#REF!</v>
      </c>
      <c r="AD28" s="52" t="e">
        <f>+'Proyectos Base digitable'!#REF!</f>
        <v>#REF!</v>
      </c>
      <c r="AE28" s="52" t="e">
        <f>+'Proyectos Base digitable'!#REF!</f>
        <v>#REF!</v>
      </c>
      <c r="AF28" s="52" t="e">
        <f>+'Proyectos Base digitable'!#REF!</f>
        <v>#REF!</v>
      </c>
      <c r="AG28" s="56" t="e">
        <f>+'Proyectos Base digitable'!#REF!</f>
        <v>#REF!</v>
      </c>
      <c r="AH28" s="52" t="e">
        <f>+'Proyectos Base digitable'!#REF!</f>
        <v>#REF!</v>
      </c>
      <c r="AI28" s="52" t="e">
        <f>+'Proyectos Base digitable'!#REF!</f>
        <v>#REF!</v>
      </c>
      <c r="AJ28" s="59" t="e">
        <f>+'Proyectos Base digitable'!#REF!</f>
        <v>#REF!</v>
      </c>
      <c r="AK28" s="186" t="e">
        <f>+'Proyectos Base digitable'!#REF!</f>
        <v>#REF!</v>
      </c>
      <c r="AL28" s="186" t="e">
        <f>+'Proyectos Base digitable'!#REF!</f>
        <v>#REF!</v>
      </c>
      <c r="AM28" s="186" t="e">
        <f>+'Proyectos Base digitable'!#REF!</f>
        <v>#REF!</v>
      </c>
      <c r="AN28" s="186" t="e">
        <f>+'Proyectos Base digitable'!#REF!</f>
        <v>#REF!</v>
      </c>
      <c r="AO28" s="186" t="e">
        <f>+'Proyectos Base digitable'!#REF!</f>
        <v>#REF!</v>
      </c>
      <c r="AP28" s="186" t="e">
        <f>+'Proyectos Base digitable'!#REF!</f>
        <v>#REF!</v>
      </c>
      <c r="AQ28" s="186" t="e">
        <f>+'Proyectos Base digitable'!#REF!</f>
        <v>#REF!</v>
      </c>
      <c r="AR28" s="186" t="e">
        <f>+'Proyectos Base digitable'!#REF!</f>
        <v>#REF!</v>
      </c>
      <c r="AS28" s="186" t="e">
        <f>+'Proyectos Base digitable'!#REF!</f>
        <v>#REF!</v>
      </c>
      <c r="AT28" s="187" t="e">
        <f>+'Proyectos Base digitable'!#REF!</f>
        <v>#REF!</v>
      </c>
      <c r="AU28" s="56" t="e">
        <f>+'Proyectos Base digitable'!#REF!</f>
        <v>#REF!</v>
      </c>
      <c r="AV28" s="56" t="e">
        <f>+'Proyectos Base digitable'!#REF!</f>
        <v>#REF!</v>
      </c>
      <c r="AW28" s="56" t="e">
        <f>+'Proyectos Base digitable'!#REF!</f>
        <v>#REF!</v>
      </c>
      <c r="AX28" s="56" t="e">
        <f>+'Proyectos Base digitable'!#REF!</f>
        <v>#REF!</v>
      </c>
      <c r="AY28" s="56" t="e">
        <f>+'Proyectos Base digitable'!#REF!</f>
        <v>#REF!</v>
      </c>
      <c r="AZ28" s="188" t="e">
        <f>+'Proyectos Base digitable'!#REF!</f>
        <v>#REF!</v>
      </c>
      <c r="BA28" s="188" t="e">
        <f>+'Proyectos Base digitable'!#REF!</f>
        <v>#REF!</v>
      </c>
    </row>
    <row r="29" spans="1:53" ht="14.15" customHeight="1">
      <c r="A29" s="60" t="e">
        <f>+'Proyectos Base digitable'!#REF!</f>
        <v>#REF!</v>
      </c>
      <c r="B29" s="56" t="e">
        <f>+'Proyectos Base digitable'!#REF!</f>
        <v>#REF!</v>
      </c>
      <c r="C29" s="56" t="e">
        <f>+'Proyectos Base digitable'!#REF!</f>
        <v>#REF!</v>
      </c>
      <c r="D29" s="56" t="e">
        <f>+'Proyectos Base digitable'!#REF!</f>
        <v>#REF!</v>
      </c>
      <c r="E29" s="56" t="e">
        <f>+'Proyectos Base digitable'!#REF!</f>
        <v>#REF!</v>
      </c>
      <c r="F29" s="56" t="e">
        <f>+'Proyectos Base digitable'!#REF!</f>
        <v>#REF!</v>
      </c>
      <c r="G29" s="57" t="e">
        <f>+'Proyectos Base digitable'!#REF!</f>
        <v>#REF!</v>
      </c>
      <c r="H29" s="56" t="e">
        <f>+'Proyectos Base digitable'!#REF!</f>
        <v>#REF!</v>
      </c>
      <c r="I29" s="56" t="e">
        <f>+'Proyectos Base digitable'!#REF!</f>
        <v>#REF!</v>
      </c>
      <c r="J29" s="56" t="e">
        <f>+'Proyectos Base digitable'!#REF!</f>
        <v>#REF!</v>
      </c>
      <c r="K29" s="56" t="e">
        <f>+'Proyectos Base digitable'!#REF!</f>
        <v>#REF!</v>
      </c>
      <c r="L29" s="56" t="e">
        <f>+'Proyectos Base digitable'!#REF!</f>
        <v>#REF!</v>
      </c>
      <c r="M29" s="56" t="e">
        <f>+'Proyectos Base digitable'!#REF!</f>
        <v>#REF!</v>
      </c>
      <c r="N29" s="52" t="e">
        <f>+'Proyectos Base digitable'!#REF!</f>
        <v>#REF!</v>
      </c>
      <c r="O29" s="52" t="e">
        <f>+'Proyectos Base digitable'!#REF!</f>
        <v>#REF!</v>
      </c>
      <c r="P29" s="185" t="e">
        <f>+'Proyectos Base digitable'!#REF!</f>
        <v>#REF!</v>
      </c>
      <c r="Q29" s="58" t="e">
        <f>+'Proyectos Base digitable'!#REF!</f>
        <v>#REF!</v>
      </c>
      <c r="R29" s="58" t="e">
        <f>+'Proyectos Base digitable'!#REF!</f>
        <v>#REF!</v>
      </c>
      <c r="S29" s="58" t="e">
        <f>+'Proyectos Base digitable'!#REF!</f>
        <v>#REF!</v>
      </c>
      <c r="T29" s="58" t="e">
        <f>+'Proyectos Base digitable'!#REF!</f>
        <v>#REF!</v>
      </c>
      <c r="U29" s="63" t="e">
        <f>'Proyectos Base digitable'!#REF!</f>
        <v>#REF!</v>
      </c>
      <c r="V29" s="63" t="e">
        <f>'Proyectos Base digitable'!#REF!</f>
        <v>#REF!</v>
      </c>
      <c r="W29" s="63" t="e">
        <f>'Proyectos Base digitable'!#REF!</f>
        <v>#REF!</v>
      </c>
      <c r="X29" s="63" t="e">
        <f>'Proyectos Base digitable'!#REF!</f>
        <v>#REF!</v>
      </c>
      <c r="Y29" s="63" t="e">
        <f>'Proyectos Base digitable'!#REF!</f>
        <v>#REF!</v>
      </c>
      <c r="Z29" s="58" t="e">
        <f>+'Proyectos Base digitable'!#REF!</f>
        <v>#REF!</v>
      </c>
      <c r="AA29" s="58" t="e">
        <f>+'Proyectos Base digitable'!#REF!</f>
        <v>#REF!</v>
      </c>
      <c r="AB29" s="63" t="e">
        <f>'Proyectos Base digitable'!#REF!</f>
        <v>#REF!</v>
      </c>
      <c r="AC29" s="56" t="e">
        <f>+'Proyectos Base digitable'!#REF!</f>
        <v>#REF!</v>
      </c>
      <c r="AD29" s="52" t="e">
        <f>+'Proyectos Base digitable'!#REF!</f>
        <v>#REF!</v>
      </c>
      <c r="AE29" s="52" t="e">
        <f>+'Proyectos Base digitable'!#REF!</f>
        <v>#REF!</v>
      </c>
      <c r="AF29" s="52" t="e">
        <f>+'Proyectos Base digitable'!#REF!</f>
        <v>#REF!</v>
      </c>
      <c r="AG29" s="56" t="e">
        <f>+'Proyectos Base digitable'!#REF!</f>
        <v>#REF!</v>
      </c>
      <c r="AH29" s="52" t="e">
        <f>+'Proyectos Base digitable'!#REF!</f>
        <v>#REF!</v>
      </c>
      <c r="AI29" s="52" t="e">
        <f>+'Proyectos Base digitable'!#REF!</f>
        <v>#REF!</v>
      </c>
      <c r="AJ29" s="59" t="e">
        <f>+'Proyectos Base digitable'!#REF!</f>
        <v>#REF!</v>
      </c>
      <c r="AK29" s="186" t="e">
        <f>+'Proyectos Base digitable'!#REF!</f>
        <v>#REF!</v>
      </c>
      <c r="AL29" s="186" t="e">
        <f>+'Proyectos Base digitable'!#REF!</f>
        <v>#REF!</v>
      </c>
      <c r="AM29" s="186" t="e">
        <f>+'Proyectos Base digitable'!#REF!</f>
        <v>#REF!</v>
      </c>
      <c r="AN29" s="186" t="e">
        <f>+'Proyectos Base digitable'!#REF!</f>
        <v>#REF!</v>
      </c>
      <c r="AO29" s="186" t="e">
        <f>+'Proyectos Base digitable'!#REF!</f>
        <v>#REF!</v>
      </c>
      <c r="AP29" s="186" t="e">
        <f>+'Proyectos Base digitable'!#REF!</f>
        <v>#REF!</v>
      </c>
      <c r="AQ29" s="186" t="e">
        <f>+'Proyectos Base digitable'!#REF!</f>
        <v>#REF!</v>
      </c>
      <c r="AR29" s="186" t="e">
        <f>+'Proyectos Base digitable'!#REF!</f>
        <v>#REF!</v>
      </c>
      <c r="AS29" s="186" t="e">
        <f>+'Proyectos Base digitable'!#REF!</f>
        <v>#REF!</v>
      </c>
      <c r="AT29" s="187" t="e">
        <f>+'Proyectos Base digitable'!#REF!</f>
        <v>#REF!</v>
      </c>
      <c r="AU29" s="56" t="e">
        <f>+'Proyectos Base digitable'!#REF!</f>
        <v>#REF!</v>
      </c>
      <c r="AV29" s="56" t="e">
        <f>+'Proyectos Base digitable'!#REF!</f>
        <v>#REF!</v>
      </c>
      <c r="AW29" s="56" t="e">
        <f>+'Proyectos Base digitable'!#REF!</f>
        <v>#REF!</v>
      </c>
      <c r="AX29" s="56" t="e">
        <f>+'Proyectos Base digitable'!#REF!</f>
        <v>#REF!</v>
      </c>
      <c r="AY29" s="56" t="e">
        <f>+'Proyectos Base digitable'!#REF!</f>
        <v>#REF!</v>
      </c>
      <c r="AZ29" s="188" t="e">
        <f>+'Proyectos Base digitable'!#REF!</f>
        <v>#REF!</v>
      </c>
      <c r="BA29" s="188" t="e">
        <f>+'Proyectos Base digitable'!#REF!</f>
        <v>#REF!</v>
      </c>
    </row>
    <row r="30" spans="1:53" ht="12.5">
      <c r="A30" s="60" t="e">
        <f>+'Proyectos Base digitable'!#REF!</f>
        <v>#REF!</v>
      </c>
      <c r="B30" s="56" t="e">
        <f>+'Proyectos Base digitable'!#REF!</f>
        <v>#REF!</v>
      </c>
      <c r="C30" s="56" t="e">
        <f>+'Proyectos Base digitable'!#REF!</f>
        <v>#REF!</v>
      </c>
      <c r="D30" s="56" t="e">
        <f>+'Proyectos Base digitable'!#REF!</f>
        <v>#REF!</v>
      </c>
      <c r="E30" s="56" t="e">
        <f>+'Proyectos Base digitable'!#REF!</f>
        <v>#REF!</v>
      </c>
      <c r="F30" s="56" t="e">
        <f>+'Proyectos Base digitable'!#REF!</f>
        <v>#REF!</v>
      </c>
      <c r="G30" s="57" t="e">
        <f>+'Proyectos Base digitable'!#REF!</f>
        <v>#REF!</v>
      </c>
      <c r="H30" s="56" t="e">
        <f>+'Proyectos Base digitable'!#REF!</f>
        <v>#REF!</v>
      </c>
      <c r="I30" s="56" t="e">
        <f>+'Proyectos Base digitable'!#REF!</f>
        <v>#REF!</v>
      </c>
      <c r="J30" s="56" t="e">
        <f>+'Proyectos Base digitable'!#REF!</f>
        <v>#REF!</v>
      </c>
      <c r="K30" s="56" t="e">
        <f>+'Proyectos Base digitable'!#REF!</f>
        <v>#REF!</v>
      </c>
      <c r="L30" s="56" t="e">
        <f>+'Proyectos Base digitable'!#REF!</f>
        <v>#REF!</v>
      </c>
      <c r="M30" s="56" t="e">
        <f>+'Proyectos Base digitable'!#REF!</f>
        <v>#REF!</v>
      </c>
      <c r="N30" s="52" t="e">
        <f>+'Proyectos Base digitable'!#REF!</f>
        <v>#REF!</v>
      </c>
      <c r="O30" s="52" t="e">
        <f>+'Proyectos Base digitable'!#REF!</f>
        <v>#REF!</v>
      </c>
      <c r="P30" s="185" t="e">
        <f>+'Proyectos Base digitable'!#REF!</f>
        <v>#REF!</v>
      </c>
      <c r="Q30" s="58" t="e">
        <f>+'Proyectos Base digitable'!#REF!</f>
        <v>#REF!</v>
      </c>
      <c r="R30" s="58" t="e">
        <f>+'Proyectos Base digitable'!#REF!</f>
        <v>#REF!</v>
      </c>
      <c r="S30" s="58" t="e">
        <f>+'Proyectos Base digitable'!#REF!</f>
        <v>#REF!</v>
      </c>
      <c r="T30" s="58" t="e">
        <f>+'Proyectos Base digitable'!#REF!</f>
        <v>#REF!</v>
      </c>
      <c r="U30" s="63" t="e">
        <f>'Proyectos Base digitable'!#REF!</f>
        <v>#REF!</v>
      </c>
      <c r="V30" s="63" t="e">
        <f>'Proyectos Base digitable'!#REF!</f>
        <v>#REF!</v>
      </c>
      <c r="W30" s="63" t="e">
        <f>'Proyectos Base digitable'!#REF!</f>
        <v>#REF!</v>
      </c>
      <c r="X30" s="63" t="e">
        <f>'Proyectos Base digitable'!#REF!</f>
        <v>#REF!</v>
      </c>
      <c r="Y30" s="63" t="e">
        <f>'Proyectos Base digitable'!#REF!</f>
        <v>#REF!</v>
      </c>
      <c r="Z30" s="58" t="e">
        <f>+'Proyectos Base digitable'!#REF!</f>
        <v>#REF!</v>
      </c>
      <c r="AA30" s="58" t="e">
        <f>+'Proyectos Base digitable'!#REF!</f>
        <v>#REF!</v>
      </c>
      <c r="AB30" s="63" t="e">
        <f>'Proyectos Base digitable'!#REF!</f>
        <v>#REF!</v>
      </c>
      <c r="AC30" s="56" t="e">
        <f>+'Proyectos Base digitable'!#REF!</f>
        <v>#REF!</v>
      </c>
      <c r="AD30" s="52" t="e">
        <f>+'Proyectos Base digitable'!#REF!</f>
        <v>#REF!</v>
      </c>
      <c r="AE30" s="52" t="e">
        <f>+'Proyectos Base digitable'!#REF!</f>
        <v>#REF!</v>
      </c>
      <c r="AF30" s="52" t="e">
        <f>+'Proyectos Base digitable'!#REF!</f>
        <v>#REF!</v>
      </c>
      <c r="AG30" s="56" t="e">
        <f>+'Proyectos Base digitable'!#REF!</f>
        <v>#REF!</v>
      </c>
      <c r="AH30" s="52" t="e">
        <f>+'Proyectos Base digitable'!#REF!</f>
        <v>#REF!</v>
      </c>
      <c r="AI30" s="52" t="e">
        <f>+'Proyectos Base digitable'!#REF!</f>
        <v>#REF!</v>
      </c>
      <c r="AJ30" s="59" t="e">
        <f>+'Proyectos Base digitable'!#REF!</f>
        <v>#REF!</v>
      </c>
      <c r="AK30" s="186" t="e">
        <f>+'Proyectos Base digitable'!#REF!</f>
        <v>#REF!</v>
      </c>
      <c r="AL30" s="186" t="e">
        <f>+'Proyectos Base digitable'!#REF!</f>
        <v>#REF!</v>
      </c>
      <c r="AM30" s="186" t="e">
        <f>+'Proyectos Base digitable'!#REF!</f>
        <v>#REF!</v>
      </c>
      <c r="AN30" s="186" t="e">
        <f>+'Proyectos Base digitable'!#REF!</f>
        <v>#REF!</v>
      </c>
      <c r="AO30" s="186" t="e">
        <f>+'Proyectos Base digitable'!#REF!</f>
        <v>#REF!</v>
      </c>
      <c r="AP30" s="186" t="e">
        <f>+'Proyectos Base digitable'!#REF!</f>
        <v>#REF!</v>
      </c>
      <c r="AQ30" s="186" t="e">
        <f>+'Proyectos Base digitable'!#REF!</f>
        <v>#REF!</v>
      </c>
      <c r="AR30" s="186" t="e">
        <f>+'Proyectos Base digitable'!#REF!</f>
        <v>#REF!</v>
      </c>
      <c r="AS30" s="186" t="e">
        <f>+'Proyectos Base digitable'!#REF!</f>
        <v>#REF!</v>
      </c>
      <c r="AT30" s="187" t="e">
        <f>+'Proyectos Base digitable'!#REF!</f>
        <v>#REF!</v>
      </c>
      <c r="AU30" s="56" t="e">
        <f>+'Proyectos Base digitable'!#REF!</f>
        <v>#REF!</v>
      </c>
      <c r="AV30" s="56" t="e">
        <f>+'Proyectos Base digitable'!#REF!</f>
        <v>#REF!</v>
      </c>
      <c r="AW30" s="56" t="e">
        <f>+'Proyectos Base digitable'!#REF!</f>
        <v>#REF!</v>
      </c>
      <c r="AX30" s="56" t="e">
        <f>+'Proyectos Base digitable'!#REF!</f>
        <v>#REF!</v>
      </c>
      <c r="AY30" s="56" t="e">
        <f>+'Proyectos Base digitable'!#REF!</f>
        <v>#REF!</v>
      </c>
      <c r="AZ30" s="188" t="e">
        <f>+'Proyectos Base digitable'!#REF!</f>
        <v>#REF!</v>
      </c>
      <c r="BA30" s="188" t="e">
        <f>+'Proyectos Base digitable'!#REF!</f>
        <v>#REF!</v>
      </c>
    </row>
    <row r="31" spans="1:53" ht="12.5">
      <c r="A31" s="60" t="e">
        <f>+'Proyectos Base digitable'!#REF!</f>
        <v>#REF!</v>
      </c>
      <c r="B31" s="56" t="e">
        <f>+'Proyectos Base digitable'!#REF!</f>
        <v>#REF!</v>
      </c>
      <c r="C31" s="56" t="e">
        <f>+'Proyectos Base digitable'!#REF!</f>
        <v>#REF!</v>
      </c>
      <c r="D31" s="56" t="e">
        <f>+'Proyectos Base digitable'!#REF!</f>
        <v>#REF!</v>
      </c>
      <c r="E31" s="56" t="e">
        <f>+'Proyectos Base digitable'!#REF!</f>
        <v>#REF!</v>
      </c>
      <c r="F31" s="56" t="e">
        <f>+'Proyectos Base digitable'!#REF!</f>
        <v>#REF!</v>
      </c>
      <c r="G31" s="57" t="e">
        <f>+'Proyectos Base digitable'!#REF!</f>
        <v>#REF!</v>
      </c>
      <c r="H31" s="56" t="e">
        <f>+'Proyectos Base digitable'!#REF!</f>
        <v>#REF!</v>
      </c>
      <c r="I31" s="56" t="e">
        <f>+'Proyectos Base digitable'!#REF!</f>
        <v>#REF!</v>
      </c>
      <c r="J31" s="56" t="e">
        <f>+'Proyectos Base digitable'!#REF!</f>
        <v>#REF!</v>
      </c>
      <c r="K31" s="56" t="e">
        <f>+'Proyectos Base digitable'!#REF!</f>
        <v>#REF!</v>
      </c>
      <c r="L31" s="56" t="e">
        <f>+'Proyectos Base digitable'!#REF!</f>
        <v>#REF!</v>
      </c>
      <c r="M31" s="56" t="e">
        <f>+'Proyectos Base digitable'!#REF!</f>
        <v>#REF!</v>
      </c>
      <c r="N31" s="52" t="e">
        <f>+'Proyectos Base digitable'!#REF!</f>
        <v>#REF!</v>
      </c>
      <c r="O31" s="52" t="e">
        <f>+'Proyectos Base digitable'!#REF!</f>
        <v>#REF!</v>
      </c>
      <c r="P31" s="185" t="e">
        <f>+'Proyectos Base digitable'!#REF!</f>
        <v>#REF!</v>
      </c>
      <c r="Q31" s="58" t="e">
        <f>+'Proyectos Base digitable'!#REF!</f>
        <v>#REF!</v>
      </c>
      <c r="R31" s="58" t="e">
        <f>+'Proyectos Base digitable'!#REF!</f>
        <v>#REF!</v>
      </c>
      <c r="S31" s="58" t="e">
        <f>+'Proyectos Base digitable'!#REF!</f>
        <v>#REF!</v>
      </c>
      <c r="T31" s="58" t="e">
        <f>+'Proyectos Base digitable'!#REF!</f>
        <v>#REF!</v>
      </c>
      <c r="U31" s="63" t="e">
        <f>'Proyectos Base digitable'!#REF!</f>
        <v>#REF!</v>
      </c>
      <c r="V31" s="63" t="e">
        <f>'Proyectos Base digitable'!#REF!</f>
        <v>#REF!</v>
      </c>
      <c r="W31" s="63" t="e">
        <f>'Proyectos Base digitable'!#REF!</f>
        <v>#REF!</v>
      </c>
      <c r="X31" s="63" t="e">
        <f>'Proyectos Base digitable'!#REF!</f>
        <v>#REF!</v>
      </c>
      <c r="Y31" s="63" t="e">
        <f>'Proyectos Base digitable'!#REF!</f>
        <v>#REF!</v>
      </c>
      <c r="Z31" s="58" t="e">
        <f>+'Proyectos Base digitable'!#REF!</f>
        <v>#REF!</v>
      </c>
      <c r="AA31" s="58" t="e">
        <f>+'Proyectos Base digitable'!#REF!</f>
        <v>#REF!</v>
      </c>
      <c r="AB31" s="63" t="e">
        <f>'Proyectos Base digitable'!#REF!</f>
        <v>#REF!</v>
      </c>
      <c r="AC31" s="56" t="e">
        <f>+'Proyectos Base digitable'!#REF!</f>
        <v>#REF!</v>
      </c>
      <c r="AD31" s="52" t="e">
        <f>+'Proyectos Base digitable'!#REF!</f>
        <v>#REF!</v>
      </c>
      <c r="AE31" s="52" t="e">
        <f>+'Proyectos Base digitable'!#REF!</f>
        <v>#REF!</v>
      </c>
      <c r="AF31" s="52" t="e">
        <f>+'Proyectos Base digitable'!#REF!</f>
        <v>#REF!</v>
      </c>
      <c r="AG31" s="56" t="e">
        <f>+'Proyectos Base digitable'!#REF!</f>
        <v>#REF!</v>
      </c>
      <c r="AH31" s="52" t="e">
        <f>+'Proyectos Base digitable'!#REF!</f>
        <v>#REF!</v>
      </c>
      <c r="AI31" s="52" t="e">
        <f>+'Proyectos Base digitable'!#REF!</f>
        <v>#REF!</v>
      </c>
      <c r="AJ31" s="59" t="e">
        <f>+'Proyectos Base digitable'!#REF!</f>
        <v>#REF!</v>
      </c>
      <c r="AK31" s="186" t="e">
        <f>+'Proyectos Base digitable'!#REF!</f>
        <v>#REF!</v>
      </c>
      <c r="AL31" s="186" t="e">
        <f>+'Proyectos Base digitable'!#REF!</f>
        <v>#REF!</v>
      </c>
      <c r="AM31" s="186" t="e">
        <f>+'Proyectos Base digitable'!#REF!</f>
        <v>#REF!</v>
      </c>
      <c r="AN31" s="186" t="e">
        <f>+'Proyectos Base digitable'!#REF!</f>
        <v>#REF!</v>
      </c>
      <c r="AO31" s="186" t="e">
        <f>+'Proyectos Base digitable'!#REF!</f>
        <v>#REF!</v>
      </c>
      <c r="AP31" s="186" t="e">
        <f>+'Proyectos Base digitable'!#REF!</f>
        <v>#REF!</v>
      </c>
      <c r="AQ31" s="186" t="e">
        <f>+'Proyectos Base digitable'!#REF!</f>
        <v>#REF!</v>
      </c>
      <c r="AR31" s="186" t="e">
        <f>+'Proyectos Base digitable'!#REF!</f>
        <v>#REF!</v>
      </c>
      <c r="AS31" s="186" t="e">
        <f>+'Proyectos Base digitable'!#REF!</f>
        <v>#REF!</v>
      </c>
      <c r="AT31" s="187" t="e">
        <f>+'Proyectos Base digitable'!#REF!</f>
        <v>#REF!</v>
      </c>
      <c r="AU31" s="56" t="e">
        <f>+'Proyectos Base digitable'!#REF!</f>
        <v>#REF!</v>
      </c>
      <c r="AV31" s="56" t="e">
        <f>+'Proyectos Base digitable'!#REF!</f>
        <v>#REF!</v>
      </c>
      <c r="AW31" s="56" t="e">
        <f>+'Proyectos Base digitable'!#REF!</f>
        <v>#REF!</v>
      </c>
      <c r="AX31" s="56" t="e">
        <f>+'Proyectos Base digitable'!#REF!</f>
        <v>#REF!</v>
      </c>
      <c r="AY31" s="56" t="e">
        <f>+'Proyectos Base digitable'!#REF!</f>
        <v>#REF!</v>
      </c>
      <c r="AZ31" s="188" t="e">
        <f>+'Proyectos Base digitable'!#REF!</f>
        <v>#REF!</v>
      </c>
      <c r="BA31" s="188" t="e">
        <f>+'Proyectos Base digitable'!#REF!</f>
        <v>#REF!</v>
      </c>
    </row>
    <row r="32" spans="1:53" ht="12.5">
      <c r="A32" s="60" t="e">
        <f>+'Proyectos Base digitable'!#REF!</f>
        <v>#REF!</v>
      </c>
      <c r="B32" s="56" t="e">
        <f>+'Proyectos Base digitable'!#REF!</f>
        <v>#REF!</v>
      </c>
      <c r="C32" s="56" t="e">
        <f>+'Proyectos Base digitable'!#REF!</f>
        <v>#REF!</v>
      </c>
      <c r="D32" s="56" t="e">
        <f>+'Proyectos Base digitable'!#REF!</f>
        <v>#REF!</v>
      </c>
      <c r="E32" s="56" t="e">
        <f>+'Proyectos Base digitable'!#REF!</f>
        <v>#REF!</v>
      </c>
      <c r="F32" s="56" t="e">
        <f>+'Proyectos Base digitable'!#REF!</f>
        <v>#REF!</v>
      </c>
      <c r="G32" s="57" t="e">
        <f>+'Proyectos Base digitable'!#REF!</f>
        <v>#REF!</v>
      </c>
      <c r="H32" s="56" t="e">
        <f>+'Proyectos Base digitable'!#REF!</f>
        <v>#REF!</v>
      </c>
      <c r="I32" s="56" t="e">
        <f>+'Proyectos Base digitable'!#REF!</f>
        <v>#REF!</v>
      </c>
      <c r="J32" s="56" t="e">
        <f>+'Proyectos Base digitable'!#REF!</f>
        <v>#REF!</v>
      </c>
      <c r="K32" s="56" t="e">
        <f>+'Proyectos Base digitable'!#REF!</f>
        <v>#REF!</v>
      </c>
      <c r="L32" s="56" t="e">
        <f>+'Proyectos Base digitable'!#REF!</f>
        <v>#REF!</v>
      </c>
      <c r="M32" s="56" t="e">
        <f>+'Proyectos Base digitable'!#REF!</f>
        <v>#REF!</v>
      </c>
      <c r="N32" s="52" t="e">
        <f>+'Proyectos Base digitable'!#REF!</f>
        <v>#REF!</v>
      </c>
      <c r="O32" s="52" t="e">
        <f>+'Proyectos Base digitable'!#REF!</f>
        <v>#REF!</v>
      </c>
      <c r="P32" s="185" t="e">
        <f>+'Proyectos Base digitable'!#REF!</f>
        <v>#REF!</v>
      </c>
      <c r="Q32" s="58" t="e">
        <f>+'Proyectos Base digitable'!#REF!</f>
        <v>#REF!</v>
      </c>
      <c r="R32" s="58" t="e">
        <f>+'Proyectos Base digitable'!#REF!</f>
        <v>#REF!</v>
      </c>
      <c r="S32" s="58" t="e">
        <f>+'Proyectos Base digitable'!#REF!</f>
        <v>#REF!</v>
      </c>
      <c r="T32" s="58" t="e">
        <f>+'Proyectos Base digitable'!#REF!</f>
        <v>#REF!</v>
      </c>
      <c r="U32" s="63" t="e">
        <f>'Proyectos Base digitable'!#REF!</f>
        <v>#REF!</v>
      </c>
      <c r="V32" s="63" t="e">
        <f>'Proyectos Base digitable'!#REF!</f>
        <v>#REF!</v>
      </c>
      <c r="W32" s="63" t="e">
        <f>'Proyectos Base digitable'!#REF!</f>
        <v>#REF!</v>
      </c>
      <c r="X32" s="63" t="e">
        <f>'Proyectos Base digitable'!#REF!</f>
        <v>#REF!</v>
      </c>
      <c r="Y32" s="63" t="e">
        <f>'Proyectos Base digitable'!#REF!</f>
        <v>#REF!</v>
      </c>
      <c r="Z32" s="58" t="e">
        <f>+'Proyectos Base digitable'!#REF!</f>
        <v>#REF!</v>
      </c>
      <c r="AA32" s="58" t="e">
        <f>+'Proyectos Base digitable'!#REF!</f>
        <v>#REF!</v>
      </c>
      <c r="AB32" s="63" t="e">
        <f>'Proyectos Base digitable'!#REF!</f>
        <v>#REF!</v>
      </c>
      <c r="AC32" s="56" t="e">
        <f>+'Proyectos Base digitable'!#REF!</f>
        <v>#REF!</v>
      </c>
      <c r="AD32" s="52" t="e">
        <f>+'Proyectos Base digitable'!#REF!</f>
        <v>#REF!</v>
      </c>
      <c r="AE32" s="52" t="e">
        <f>+'Proyectos Base digitable'!#REF!</f>
        <v>#REF!</v>
      </c>
      <c r="AF32" s="52" t="e">
        <f>+'Proyectos Base digitable'!#REF!</f>
        <v>#REF!</v>
      </c>
      <c r="AG32" s="56" t="e">
        <f>+'Proyectos Base digitable'!#REF!</f>
        <v>#REF!</v>
      </c>
      <c r="AH32" s="52" t="e">
        <f>+'Proyectos Base digitable'!#REF!</f>
        <v>#REF!</v>
      </c>
      <c r="AI32" s="52" t="e">
        <f>+'Proyectos Base digitable'!#REF!</f>
        <v>#REF!</v>
      </c>
      <c r="AJ32" s="59" t="e">
        <f>+'Proyectos Base digitable'!#REF!</f>
        <v>#REF!</v>
      </c>
      <c r="AK32" s="186" t="e">
        <f>+'Proyectos Base digitable'!#REF!</f>
        <v>#REF!</v>
      </c>
      <c r="AL32" s="186" t="e">
        <f>+'Proyectos Base digitable'!#REF!</f>
        <v>#REF!</v>
      </c>
      <c r="AM32" s="186" t="e">
        <f>+'Proyectos Base digitable'!#REF!</f>
        <v>#REF!</v>
      </c>
      <c r="AN32" s="186" t="e">
        <f>+'Proyectos Base digitable'!#REF!</f>
        <v>#REF!</v>
      </c>
      <c r="AO32" s="186" t="e">
        <f>+'Proyectos Base digitable'!#REF!</f>
        <v>#REF!</v>
      </c>
      <c r="AP32" s="186" t="e">
        <f>+'Proyectos Base digitable'!#REF!</f>
        <v>#REF!</v>
      </c>
      <c r="AQ32" s="186" t="e">
        <f>+'Proyectos Base digitable'!#REF!</f>
        <v>#REF!</v>
      </c>
      <c r="AR32" s="186" t="e">
        <f>+'Proyectos Base digitable'!#REF!</f>
        <v>#REF!</v>
      </c>
      <c r="AS32" s="186" t="e">
        <f>+'Proyectos Base digitable'!#REF!</f>
        <v>#REF!</v>
      </c>
      <c r="AT32" s="187" t="e">
        <f>+'Proyectos Base digitable'!#REF!</f>
        <v>#REF!</v>
      </c>
      <c r="AU32" s="56" t="e">
        <f>+'Proyectos Base digitable'!#REF!</f>
        <v>#REF!</v>
      </c>
      <c r="AV32" s="56" t="e">
        <f>+'Proyectos Base digitable'!#REF!</f>
        <v>#REF!</v>
      </c>
      <c r="AW32" s="56" t="e">
        <f>+'Proyectos Base digitable'!#REF!</f>
        <v>#REF!</v>
      </c>
      <c r="AX32" s="56" t="e">
        <f>+'Proyectos Base digitable'!#REF!</f>
        <v>#REF!</v>
      </c>
      <c r="AY32" s="56" t="e">
        <f>+'Proyectos Base digitable'!#REF!</f>
        <v>#REF!</v>
      </c>
      <c r="AZ32" s="188" t="e">
        <f>+'Proyectos Base digitable'!#REF!</f>
        <v>#REF!</v>
      </c>
      <c r="BA32" s="188" t="e">
        <f>+'Proyectos Base digitable'!#REF!</f>
        <v>#REF!</v>
      </c>
    </row>
    <row r="33" spans="1:53" ht="12.5">
      <c r="A33" s="60" t="e">
        <f>+'Proyectos Base digitable'!#REF!</f>
        <v>#REF!</v>
      </c>
      <c r="B33" s="56" t="e">
        <f>+'Proyectos Base digitable'!#REF!</f>
        <v>#REF!</v>
      </c>
      <c r="C33" s="56" t="e">
        <f>+'Proyectos Base digitable'!#REF!</f>
        <v>#REF!</v>
      </c>
      <c r="D33" s="56" t="e">
        <f>+'Proyectos Base digitable'!#REF!</f>
        <v>#REF!</v>
      </c>
      <c r="E33" s="56" t="e">
        <f>+'Proyectos Base digitable'!#REF!</f>
        <v>#REF!</v>
      </c>
      <c r="F33" s="56" t="e">
        <f>+'Proyectos Base digitable'!#REF!</f>
        <v>#REF!</v>
      </c>
      <c r="G33" s="57" t="e">
        <f>+'Proyectos Base digitable'!#REF!</f>
        <v>#REF!</v>
      </c>
      <c r="H33" s="56" t="e">
        <f>+'Proyectos Base digitable'!#REF!</f>
        <v>#REF!</v>
      </c>
      <c r="I33" s="56" t="e">
        <f>+'Proyectos Base digitable'!#REF!</f>
        <v>#REF!</v>
      </c>
      <c r="J33" s="56" t="e">
        <f>+'Proyectos Base digitable'!#REF!</f>
        <v>#REF!</v>
      </c>
      <c r="K33" s="56" t="e">
        <f>+'Proyectos Base digitable'!#REF!</f>
        <v>#REF!</v>
      </c>
      <c r="L33" s="56" t="e">
        <f>+'Proyectos Base digitable'!#REF!</f>
        <v>#REF!</v>
      </c>
      <c r="M33" s="56" t="e">
        <f>+'Proyectos Base digitable'!#REF!</f>
        <v>#REF!</v>
      </c>
      <c r="N33" s="52" t="e">
        <f>+'Proyectos Base digitable'!#REF!</f>
        <v>#REF!</v>
      </c>
      <c r="O33" s="52" t="e">
        <f>+'Proyectos Base digitable'!#REF!</f>
        <v>#REF!</v>
      </c>
      <c r="P33" s="185" t="e">
        <f>+'Proyectos Base digitable'!#REF!</f>
        <v>#REF!</v>
      </c>
      <c r="Q33" s="58" t="e">
        <f>+'Proyectos Base digitable'!#REF!</f>
        <v>#REF!</v>
      </c>
      <c r="R33" s="58" t="e">
        <f>+'Proyectos Base digitable'!#REF!</f>
        <v>#REF!</v>
      </c>
      <c r="S33" s="58" t="e">
        <f>+'Proyectos Base digitable'!#REF!</f>
        <v>#REF!</v>
      </c>
      <c r="T33" s="58" t="e">
        <f>+'Proyectos Base digitable'!#REF!</f>
        <v>#REF!</v>
      </c>
      <c r="U33" s="63" t="e">
        <f>'Proyectos Base digitable'!#REF!</f>
        <v>#REF!</v>
      </c>
      <c r="V33" s="63" t="e">
        <f>'Proyectos Base digitable'!#REF!</f>
        <v>#REF!</v>
      </c>
      <c r="W33" s="63" t="e">
        <f>'Proyectos Base digitable'!#REF!</f>
        <v>#REF!</v>
      </c>
      <c r="X33" s="63" t="e">
        <f>'Proyectos Base digitable'!#REF!</f>
        <v>#REF!</v>
      </c>
      <c r="Y33" s="63" t="e">
        <f>'Proyectos Base digitable'!#REF!</f>
        <v>#REF!</v>
      </c>
      <c r="Z33" s="58" t="e">
        <f>+'Proyectos Base digitable'!#REF!</f>
        <v>#REF!</v>
      </c>
      <c r="AA33" s="58" t="e">
        <f>+'Proyectos Base digitable'!#REF!</f>
        <v>#REF!</v>
      </c>
      <c r="AB33" s="63" t="e">
        <f>'Proyectos Base digitable'!#REF!</f>
        <v>#REF!</v>
      </c>
      <c r="AC33" s="56" t="e">
        <f>+'Proyectos Base digitable'!#REF!</f>
        <v>#REF!</v>
      </c>
      <c r="AD33" s="52" t="e">
        <f>+'Proyectos Base digitable'!#REF!</f>
        <v>#REF!</v>
      </c>
      <c r="AE33" s="52" t="e">
        <f>+'Proyectos Base digitable'!#REF!</f>
        <v>#REF!</v>
      </c>
      <c r="AF33" s="52" t="e">
        <f>+'Proyectos Base digitable'!#REF!</f>
        <v>#REF!</v>
      </c>
      <c r="AG33" s="56" t="e">
        <f>+'Proyectos Base digitable'!#REF!</f>
        <v>#REF!</v>
      </c>
      <c r="AH33" s="52" t="e">
        <f>+'Proyectos Base digitable'!#REF!</f>
        <v>#REF!</v>
      </c>
      <c r="AI33" s="52" t="e">
        <f>+'Proyectos Base digitable'!#REF!</f>
        <v>#REF!</v>
      </c>
      <c r="AJ33" s="59" t="e">
        <f>+'Proyectos Base digitable'!#REF!</f>
        <v>#REF!</v>
      </c>
      <c r="AK33" s="186" t="e">
        <f>+'Proyectos Base digitable'!#REF!</f>
        <v>#REF!</v>
      </c>
      <c r="AL33" s="186" t="e">
        <f>+'Proyectos Base digitable'!#REF!</f>
        <v>#REF!</v>
      </c>
      <c r="AM33" s="186" t="e">
        <f>+'Proyectos Base digitable'!#REF!</f>
        <v>#REF!</v>
      </c>
      <c r="AN33" s="186" t="e">
        <f>+'Proyectos Base digitable'!#REF!</f>
        <v>#REF!</v>
      </c>
      <c r="AO33" s="186" t="e">
        <f>+'Proyectos Base digitable'!#REF!</f>
        <v>#REF!</v>
      </c>
      <c r="AP33" s="186" t="e">
        <f>+'Proyectos Base digitable'!#REF!</f>
        <v>#REF!</v>
      </c>
      <c r="AQ33" s="186" t="e">
        <f>+'Proyectos Base digitable'!#REF!</f>
        <v>#REF!</v>
      </c>
      <c r="AR33" s="186" t="e">
        <f>+'Proyectos Base digitable'!#REF!</f>
        <v>#REF!</v>
      </c>
      <c r="AS33" s="186" t="e">
        <f>+'Proyectos Base digitable'!#REF!</f>
        <v>#REF!</v>
      </c>
      <c r="AT33" s="187" t="e">
        <f>+'Proyectos Base digitable'!#REF!</f>
        <v>#REF!</v>
      </c>
      <c r="AU33" s="56" t="e">
        <f>+'Proyectos Base digitable'!#REF!</f>
        <v>#REF!</v>
      </c>
      <c r="AV33" s="56" t="e">
        <f>+'Proyectos Base digitable'!#REF!</f>
        <v>#REF!</v>
      </c>
      <c r="AW33" s="56" t="e">
        <f>+'Proyectos Base digitable'!#REF!</f>
        <v>#REF!</v>
      </c>
      <c r="AX33" s="56" t="e">
        <f>+'Proyectos Base digitable'!#REF!</f>
        <v>#REF!</v>
      </c>
      <c r="AY33" s="56" t="e">
        <f>+'Proyectos Base digitable'!#REF!</f>
        <v>#REF!</v>
      </c>
      <c r="AZ33" s="188" t="e">
        <f>+'Proyectos Base digitable'!#REF!</f>
        <v>#REF!</v>
      </c>
      <c r="BA33" s="188" t="e">
        <f>+'Proyectos Base digitable'!#REF!</f>
        <v>#REF!</v>
      </c>
    </row>
    <row r="34" spans="1:53" ht="12.5">
      <c r="A34" s="60" t="e">
        <f>+'Proyectos Base digitable'!#REF!</f>
        <v>#REF!</v>
      </c>
      <c r="B34" s="56" t="e">
        <f>+'Proyectos Base digitable'!#REF!</f>
        <v>#REF!</v>
      </c>
      <c r="C34" s="56" t="e">
        <f>+'Proyectos Base digitable'!#REF!</f>
        <v>#REF!</v>
      </c>
      <c r="D34" s="56" t="e">
        <f>+'Proyectos Base digitable'!#REF!</f>
        <v>#REF!</v>
      </c>
      <c r="E34" s="56" t="e">
        <f>+'Proyectos Base digitable'!#REF!</f>
        <v>#REF!</v>
      </c>
      <c r="F34" s="56" t="e">
        <f>+'Proyectos Base digitable'!#REF!</f>
        <v>#REF!</v>
      </c>
      <c r="G34" s="57" t="e">
        <f>+'Proyectos Base digitable'!#REF!</f>
        <v>#REF!</v>
      </c>
      <c r="H34" s="56" t="e">
        <f>+'Proyectos Base digitable'!#REF!</f>
        <v>#REF!</v>
      </c>
      <c r="I34" s="56" t="e">
        <f>+'Proyectos Base digitable'!#REF!</f>
        <v>#REF!</v>
      </c>
      <c r="J34" s="56" t="e">
        <f>+'Proyectos Base digitable'!#REF!</f>
        <v>#REF!</v>
      </c>
      <c r="K34" s="56" t="e">
        <f>+'Proyectos Base digitable'!#REF!</f>
        <v>#REF!</v>
      </c>
      <c r="L34" s="56" t="e">
        <f>+'Proyectos Base digitable'!#REF!</f>
        <v>#REF!</v>
      </c>
      <c r="M34" s="56" t="e">
        <f>+'Proyectos Base digitable'!#REF!</f>
        <v>#REF!</v>
      </c>
      <c r="N34" s="52" t="e">
        <f>+'Proyectos Base digitable'!#REF!</f>
        <v>#REF!</v>
      </c>
      <c r="O34" s="52" t="e">
        <f>+'Proyectos Base digitable'!#REF!</f>
        <v>#REF!</v>
      </c>
      <c r="P34" s="185" t="e">
        <f>+'Proyectos Base digitable'!#REF!</f>
        <v>#REF!</v>
      </c>
      <c r="Q34" s="58" t="e">
        <f>+'Proyectos Base digitable'!#REF!</f>
        <v>#REF!</v>
      </c>
      <c r="R34" s="58" t="e">
        <f>+'Proyectos Base digitable'!#REF!</f>
        <v>#REF!</v>
      </c>
      <c r="S34" s="58" t="e">
        <f>+'Proyectos Base digitable'!#REF!</f>
        <v>#REF!</v>
      </c>
      <c r="T34" s="58" t="e">
        <f>+'Proyectos Base digitable'!#REF!</f>
        <v>#REF!</v>
      </c>
      <c r="U34" s="63" t="e">
        <f>'Proyectos Base digitable'!#REF!</f>
        <v>#REF!</v>
      </c>
      <c r="V34" s="63" t="e">
        <f>'Proyectos Base digitable'!#REF!</f>
        <v>#REF!</v>
      </c>
      <c r="W34" s="63" t="e">
        <f>'Proyectos Base digitable'!#REF!</f>
        <v>#REF!</v>
      </c>
      <c r="X34" s="63" t="e">
        <f>'Proyectos Base digitable'!#REF!</f>
        <v>#REF!</v>
      </c>
      <c r="Y34" s="63" t="e">
        <f>'Proyectos Base digitable'!#REF!</f>
        <v>#REF!</v>
      </c>
      <c r="Z34" s="58" t="e">
        <f>+'Proyectos Base digitable'!#REF!</f>
        <v>#REF!</v>
      </c>
      <c r="AA34" s="58" t="e">
        <f>+'Proyectos Base digitable'!#REF!</f>
        <v>#REF!</v>
      </c>
      <c r="AB34" s="63" t="e">
        <f>'Proyectos Base digitable'!#REF!</f>
        <v>#REF!</v>
      </c>
      <c r="AC34" s="56" t="e">
        <f>+'Proyectos Base digitable'!#REF!</f>
        <v>#REF!</v>
      </c>
      <c r="AD34" s="52" t="e">
        <f>+'Proyectos Base digitable'!#REF!</f>
        <v>#REF!</v>
      </c>
      <c r="AE34" s="52" t="e">
        <f>+'Proyectos Base digitable'!#REF!</f>
        <v>#REF!</v>
      </c>
      <c r="AF34" s="52" t="e">
        <f>+'Proyectos Base digitable'!#REF!</f>
        <v>#REF!</v>
      </c>
      <c r="AG34" s="56" t="e">
        <f>+'Proyectos Base digitable'!#REF!</f>
        <v>#REF!</v>
      </c>
      <c r="AH34" s="52" t="e">
        <f>+'Proyectos Base digitable'!#REF!</f>
        <v>#REF!</v>
      </c>
      <c r="AI34" s="52" t="e">
        <f>+'Proyectos Base digitable'!#REF!</f>
        <v>#REF!</v>
      </c>
      <c r="AJ34" s="59" t="e">
        <f>+'Proyectos Base digitable'!#REF!</f>
        <v>#REF!</v>
      </c>
      <c r="AK34" s="186" t="e">
        <f>+'Proyectos Base digitable'!#REF!</f>
        <v>#REF!</v>
      </c>
      <c r="AL34" s="186" t="e">
        <f>+'Proyectos Base digitable'!#REF!</f>
        <v>#REF!</v>
      </c>
      <c r="AM34" s="186" t="e">
        <f>+'Proyectos Base digitable'!#REF!</f>
        <v>#REF!</v>
      </c>
      <c r="AN34" s="186" t="e">
        <f>+'Proyectos Base digitable'!#REF!</f>
        <v>#REF!</v>
      </c>
      <c r="AO34" s="186" t="e">
        <f>+'Proyectos Base digitable'!#REF!</f>
        <v>#REF!</v>
      </c>
      <c r="AP34" s="186" t="e">
        <f>+'Proyectos Base digitable'!#REF!</f>
        <v>#REF!</v>
      </c>
      <c r="AQ34" s="186" t="e">
        <f>+'Proyectos Base digitable'!#REF!</f>
        <v>#REF!</v>
      </c>
      <c r="AR34" s="186" t="e">
        <f>+'Proyectos Base digitable'!#REF!</f>
        <v>#REF!</v>
      </c>
      <c r="AS34" s="186" t="e">
        <f>+'Proyectos Base digitable'!#REF!</f>
        <v>#REF!</v>
      </c>
      <c r="AT34" s="187" t="e">
        <f>+'Proyectos Base digitable'!#REF!</f>
        <v>#REF!</v>
      </c>
      <c r="AU34" s="56" t="e">
        <f>+'Proyectos Base digitable'!#REF!</f>
        <v>#REF!</v>
      </c>
      <c r="AV34" s="56" t="e">
        <f>+'Proyectos Base digitable'!#REF!</f>
        <v>#REF!</v>
      </c>
      <c r="AW34" s="56" t="e">
        <f>+'Proyectos Base digitable'!#REF!</f>
        <v>#REF!</v>
      </c>
      <c r="AX34" s="56" t="e">
        <f>+'Proyectos Base digitable'!#REF!</f>
        <v>#REF!</v>
      </c>
      <c r="AY34" s="56" t="e">
        <f>+'Proyectos Base digitable'!#REF!</f>
        <v>#REF!</v>
      </c>
      <c r="AZ34" s="188" t="e">
        <f>+'Proyectos Base digitable'!#REF!</f>
        <v>#REF!</v>
      </c>
      <c r="BA34" s="188" t="e">
        <f>+'Proyectos Base digitable'!#REF!</f>
        <v>#REF!</v>
      </c>
    </row>
    <row r="35" spans="1:53" ht="12.5">
      <c r="A35" s="60" t="e">
        <f>+'Proyectos Base digitable'!#REF!</f>
        <v>#REF!</v>
      </c>
      <c r="B35" s="56" t="e">
        <f>+'Proyectos Base digitable'!#REF!</f>
        <v>#REF!</v>
      </c>
      <c r="C35" s="56" t="e">
        <f>+'Proyectos Base digitable'!#REF!</f>
        <v>#REF!</v>
      </c>
      <c r="D35" s="56" t="e">
        <f>+'Proyectos Base digitable'!#REF!</f>
        <v>#REF!</v>
      </c>
      <c r="E35" s="56" t="e">
        <f>+'Proyectos Base digitable'!#REF!</f>
        <v>#REF!</v>
      </c>
      <c r="F35" s="56" t="e">
        <f>+'Proyectos Base digitable'!#REF!</f>
        <v>#REF!</v>
      </c>
      <c r="G35" s="57" t="e">
        <f>+'Proyectos Base digitable'!#REF!</f>
        <v>#REF!</v>
      </c>
      <c r="H35" s="56" t="e">
        <f>+'Proyectos Base digitable'!#REF!</f>
        <v>#REF!</v>
      </c>
      <c r="I35" s="56" t="e">
        <f>+'Proyectos Base digitable'!#REF!</f>
        <v>#REF!</v>
      </c>
      <c r="J35" s="56" t="e">
        <f>+'Proyectos Base digitable'!#REF!</f>
        <v>#REF!</v>
      </c>
      <c r="K35" s="56" t="e">
        <f>+'Proyectos Base digitable'!#REF!</f>
        <v>#REF!</v>
      </c>
      <c r="L35" s="56" t="e">
        <f>+'Proyectos Base digitable'!#REF!</f>
        <v>#REF!</v>
      </c>
      <c r="M35" s="56" t="e">
        <f>+'Proyectos Base digitable'!#REF!</f>
        <v>#REF!</v>
      </c>
      <c r="N35" s="52" t="e">
        <f>+'Proyectos Base digitable'!#REF!</f>
        <v>#REF!</v>
      </c>
      <c r="O35" s="52" t="e">
        <f>+'Proyectos Base digitable'!#REF!</f>
        <v>#REF!</v>
      </c>
      <c r="P35" s="185" t="e">
        <f>+'Proyectos Base digitable'!#REF!</f>
        <v>#REF!</v>
      </c>
      <c r="Q35" s="58" t="e">
        <f>+'Proyectos Base digitable'!#REF!</f>
        <v>#REF!</v>
      </c>
      <c r="R35" s="58" t="e">
        <f>+'Proyectos Base digitable'!#REF!</f>
        <v>#REF!</v>
      </c>
      <c r="S35" s="58" t="e">
        <f>+'Proyectos Base digitable'!#REF!</f>
        <v>#REF!</v>
      </c>
      <c r="T35" s="58" t="e">
        <f>+'Proyectos Base digitable'!#REF!</f>
        <v>#REF!</v>
      </c>
      <c r="U35" s="63" t="e">
        <f>'Proyectos Base digitable'!#REF!</f>
        <v>#REF!</v>
      </c>
      <c r="V35" s="63" t="e">
        <f>'Proyectos Base digitable'!#REF!</f>
        <v>#REF!</v>
      </c>
      <c r="W35" s="63" t="e">
        <f>'Proyectos Base digitable'!#REF!</f>
        <v>#REF!</v>
      </c>
      <c r="X35" s="63" t="e">
        <f>'Proyectos Base digitable'!#REF!</f>
        <v>#REF!</v>
      </c>
      <c r="Y35" s="63" t="e">
        <f>'Proyectos Base digitable'!#REF!</f>
        <v>#REF!</v>
      </c>
      <c r="Z35" s="58" t="e">
        <f>+'Proyectos Base digitable'!#REF!</f>
        <v>#REF!</v>
      </c>
      <c r="AA35" s="58" t="e">
        <f>+'Proyectos Base digitable'!#REF!</f>
        <v>#REF!</v>
      </c>
      <c r="AB35" s="63" t="e">
        <f>'Proyectos Base digitable'!#REF!</f>
        <v>#REF!</v>
      </c>
      <c r="AC35" s="56" t="e">
        <f>+'Proyectos Base digitable'!#REF!</f>
        <v>#REF!</v>
      </c>
      <c r="AD35" s="52" t="e">
        <f>+'Proyectos Base digitable'!#REF!</f>
        <v>#REF!</v>
      </c>
      <c r="AE35" s="52" t="e">
        <f>+'Proyectos Base digitable'!#REF!</f>
        <v>#REF!</v>
      </c>
      <c r="AF35" s="52" t="e">
        <f>+'Proyectos Base digitable'!#REF!</f>
        <v>#REF!</v>
      </c>
      <c r="AG35" s="56" t="e">
        <f>+'Proyectos Base digitable'!#REF!</f>
        <v>#REF!</v>
      </c>
      <c r="AH35" s="52" t="e">
        <f>+'Proyectos Base digitable'!#REF!</f>
        <v>#REF!</v>
      </c>
      <c r="AI35" s="52" t="e">
        <f>+'Proyectos Base digitable'!#REF!</f>
        <v>#REF!</v>
      </c>
      <c r="AJ35" s="59" t="e">
        <f>+'Proyectos Base digitable'!#REF!</f>
        <v>#REF!</v>
      </c>
      <c r="AK35" s="186" t="e">
        <f>+'Proyectos Base digitable'!#REF!</f>
        <v>#REF!</v>
      </c>
      <c r="AL35" s="186" t="e">
        <f>+'Proyectos Base digitable'!#REF!</f>
        <v>#REF!</v>
      </c>
      <c r="AM35" s="186" t="e">
        <f>+'Proyectos Base digitable'!#REF!</f>
        <v>#REF!</v>
      </c>
      <c r="AN35" s="186" t="e">
        <f>+'Proyectos Base digitable'!#REF!</f>
        <v>#REF!</v>
      </c>
      <c r="AO35" s="186" t="e">
        <f>+'Proyectos Base digitable'!#REF!</f>
        <v>#REF!</v>
      </c>
      <c r="AP35" s="186" t="e">
        <f>+'Proyectos Base digitable'!#REF!</f>
        <v>#REF!</v>
      </c>
      <c r="AQ35" s="186" t="e">
        <f>+'Proyectos Base digitable'!#REF!</f>
        <v>#REF!</v>
      </c>
      <c r="AR35" s="186" t="e">
        <f>+'Proyectos Base digitable'!#REF!</f>
        <v>#REF!</v>
      </c>
      <c r="AS35" s="186" t="e">
        <f>+'Proyectos Base digitable'!#REF!</f>
        <v>#REF!</v>
      </c>
      <c r="AT35" s="187" t="e">
        <f>+'Proyectos Base digitable'!#REF!</f>
        <v>#REF!</v>
      </c>
      <c r="AU35" s="56" t="e">
        <f>+'Proyectos Base digitable'!#REF!</f>
        <v>#REF!</v>
      </c>
      <c r="AV35" s="56" t="e">
        <f>+'Proyectos Base digitable'!#REF!</f>
        <v>#REF!</v>
      </c>
      <c r="AW35" s="56" t="e">
        <f>+'Proyectos Base digitable'!#REF!</f>
        <v>#REF!</v>
      </c>
      <c r="AX35" s="56" t="e">
        <f>+'Proyectos Base digitable'!#REF!</f>
        <v>#REF!</v>
      </c>
      <c r="AY35" s="56" t="e">
        <f>+'Proyectos Base digitable'!#REF!</f>
        <v>#REF!</v>
      </c>
      <c r="AZ35" s="188" t="e">
        <f>+'Proyectos Base digitable'!#REF!</f>
        <v>#REF!</v>
      </c>
      <c r="BA35" s="188" t="e">
        <f>+'Proyectos Base digitable'!#REF!</f>
        <v>#REF!</v>
      </c>
    </row>
    <row r="36" spans="1:53" ht="12.5">
      <c r="A36" s="60" t="e">
        <f>+'Proyectos Base digitable'!#REF!</f>
        <v>#REF!</v>
      </c>
      <c r="B36" s="56" t="e">
        <f>+'Proyectos Base digitable'!#REF!</f>
        <v>#REF!</v>
      </c>
      <c r="C36" s="56" t="e">
        <f>+'Proyectos Base digitable'!#REF!</f>
        <v>#REF!</v>
      </c>
      <c r="D36" s="56" t="e">
        <f>+'Proyectos Base digitable'!#REF!</f>
        <v>#REF!</v>
      </c>
      <c r="E36" s="56" t="e">
        <f>+'Proyectos Base digitable'!#REF!</f>
        <v>#REF!</v>
      </c>
      <c r="F36" s="56" t="e">
        <f>+'Proyectos Base digitable'!#REF!</f>
        <v>#REF!</v>
      </c>
      <c r="G36" s="57" t="e">
        <f>+'Proyectos Base digitable'!#REF!</f>
        <v>#REF!</v>
      </c>
      <c r="H36" s="56" t="e">
        <f>+'Proyectos Base digitable'!#REF!</f>
        <v>#REF!</v>
      </c>
      <c r="I36" s="56" t="e">
        <f>+'Proyectos Base digitable'!#REF!</f>
        <v>#REF!</v>
      </c>
      <c r="J36" s="56" t="e">
        <f>+'Proyectos Base digitable'!#REF!</f>
        <v>#REF!</v>
      </c>
      <c r="K36" s="56" t="e">
        <f>+'Proyectos Base digitable'!#REF!</f>
        <v>#REF!</v>
      </c>
      <c r="L36" s="56" t="e">
        <f>+'Proyectos Base digitable'!#REF!</f>
        <v>#REF!</v>
      </c>
      <c r="M36" s="56" t="e">
        <f>+'Proyectos Base digitable'!#REF!</f>
        <v>#REF!</v>
      </c>
      <c r="N36" s="52" t="e">
        <f>+'Proyectos Base digitable'!#REF!</f>
        <v>#REF!</v>
      </c>
      <c r="O36" s="52" t="e">
        <f>+'Proyectos Base digitable'!#REF!</f>
        <v>#REF!</v>
      </c>
      <c r="P36" s="185" t="e">
        <f>+'Proyectos Base digitable'!#REF!</f>
        <v>#REF!</v>
      </c>
      <c r="Q36" s="58" t="e">
        <f>+'Proyectos Base digitable'!#REF!</f>
        <v>#REF!</v>
      </c>
      <c r="R36" s="58" t="e">
        <f>+'Proyectos Base digitable'!#REF!</f>
        <v>#REF!</v>
      </c>
      <c r="S36" s="58" t="e">
        <f>+'Proyectos Base digitable'!#REF!</f>
        <v>#REF!</v>
      </c>
      <c r="T36" s="58" t="e">
        <f>+'Proyectos Base digitable'!#REF!</f>
        <v>#REF!</v>
      </c>
      <c r="U36" s="63" t="e">
        <f>'Proyectos Base digitable'!#REF!</f>
        <v>#REF!</v>
      </c>
      <c r="V36" s="63" t="e">
        <f>'Proyectos Base digitable'!#REF!</f>
        <v>#REF!</v>
      </c>
      <c r="W36" s="63" t="e">
        <f>'Proyectos Base digitable'!#REF!</f>
        <v>#REF!</v>
      </c>
      <c r="X36" s="63" t="e">
        <f>'Proyectos Base digitable'!#REF!</f>
        <v>#REF!</v>
      </c>
      <c r="Y36" s="63" t="e">
        <f>'Proyectos Base digitable'!#REF!</f>
        <v>#REF!</v>
      </c>
      <c r="Z36" s="58" t="e">
        <f>+'Proyectos Base digitable'!#REF!</f>
        <v>#REF!</v>
      </c>
      <c r="AA36" s="58" t="e">
        <f>+'Proyectos Base digitable'!#REF!</f>
        <v>#REF!</v>
      </c>
      <c r="AB36" s="63" t="e">
        <f>'Proyectos Base digitable'!#REF!</f>
        <v>#REF!</v>
      </c>
      <c r="AC36" s="56" t="e">
        <f>+'Proyectos Base digitable'!#REF!</f>
        <v>#REF!</v>
      </c>
      <c r="AD36" s="52" t="e">
        <f>+'Proyectos Base digitable'!#REF!</f>
        <v>#REF!</v>
      </c>
      <c r="AE36" s="52" t="e">
        <f>+'Proyectos Base digitable'!#REF!</f>
        <v>#REF!</v>
      </c>
      <c r="AF36" s="52" t="e">
        <f>+'Proyectos Base digitable'!#REF!</f>
        <v>#REF!</v>
      </c>
      <c r="AG36" s="56" t="e">
        <f>+'Proyectos Base digitable'!#REF!</f>
        <v>#REF!</v>
      </c>
      <c r="AH36" s="52" t="e">
        <f>+'Proyectos Base digitable'!#REF!</f>
        <v>#REF!</v>
      </c>
      <c r="AI36" s="52" t="e">
        <f>+'Proyectos Base digitable'!#REF!</f>
        <v>#REF!</v>
      </c>
      <c r="AJ36" s="59" t="e">
        <f>+'Proyectos Base digitable'!#REF!</f>
        <v>#REF!</v>
      </c>
      <c r="AK36" s="186" t="e">
        <f>+'Proyectos Base digitable'!#REF!</f>
        <v>#REF!</v>
      </c>
      <c r="AL36" s="186" t="e">
        <f>+'Proyectos Base digitable'!#REF!</f>
        <v>#REF!</v>
      </c>
      <c r="AM36" s="186" t="e">
        <f>+'Proyectos Base digitable'!#REF!</f>
        <v>#REF!</v>
      </c>
      <c r="AN36" s="186" t="e">
        <f>+'Proyectos Base digitable'!#REF!</f>
        <v>#REF!</v>
      </c>
      <c r="AO36" s="186" t="e">
        <f>+'Proyectos Base digitable'!#REF!</f>
        <v>#REF!</v>
      </c>
      <c r="AP36" s="186" t="e">
        <f>+'Proyectos Base digitable'!#REF!</f>
        <v>#REF!</v>
      </c>
      <c r="AQ36" s="186" t="e">
        <f>+'Proyectos Base digitable'!#REF!</f>
        <v>#REF!</v>
      </c>
      <c r="AR36" s="186" t="e">
        <f>+'Proyectos Base digitable'!#REF!</f>
        <v>#REF!</v>
      </c>
      <c r="AS36" s="186" t="e">
        <f>+'Proyectos Base digitable'!#REF!</f>
        <v>#REF!</v>
      </c>
      <c r="AT36" s="187" t="e">
        <f>+'Proyectos Base digitable'!#REF!</f>
        <v>#REF!</v>
      </c>
      <c r="AU36" s="56" t="e">
        <f>+'Proyectos Base digitable'!#REF!</f>
        <v>#REF!</v>
      </c>
      <c r="AV36" s="56" t="e">
        <f>+'Proyectos Base digitable'!#REF!</f>
        <v>#REF!</v>
      </c>
      <c r="AW36" s="56" t="e">
        <f>+'Proyectos Base digitable'!#REF!</f>
        <v>#REF!</v>
      </c>
      <c r="AX36" s="56" t="e">
        <f>+'Proyectos Base digitable'!#REF!</f>
        <v>#REF!</v>
      </c>
      <c r="AY36" s="56" t="e">
        <f>+'Proyectos Base digitable'!#REF!</f>
        <v>#REF!</v>
      </c>
      <c r="AZ36" s="188" t="e">
        <f>+'Proyectos Base digitable'!#REF!</f>
        <v>#REF!</v>
      </c>
      <c r="BA36" s="188" t="e">
        <f>+'Proyectos Base digitable'!#REF!</f>
        <v>#REF!</v>
      </c>
    </row>
    <row r="37" spans="1:53" ht="12.5">
      <c r="A37" s="60" t="e">
        <f>+'Proyectos Base digitable'!#REF!</f>
        <v>#REF!</v>
      </c>
      <c r="B37" s="56" t="e">
        <f>+'Proyectos Base digitable'!#REF!</f>
        <v>#REF!</v>
      </c>
      <c r="C37" s="56" t="e">
        <f>+'Proyectos Base digitable'!#REF!</f>
        <v>#REF!</v>
      </c>
      <c r="D37" s="56" t="e">
        <f>+'Proyectos Base digitable'!#REF!</f>
        <v>#REF!</v>
      </c>
      <c r="E37" s="56" t="e">
        <f>+'Proyectos Base digitable'!#REF!</f>
        <v>#REF!</v>
      </c>
      <c r="F37" s="56" t="e">
        <f>+'Proyectos Base digitable'!#REF!</f>
        <v>#REF!</v>
      </c>
      <c r="G37" s="57" t="e">
        <f>+'Proyectos Base digitable'!#REF!</f>
        <v>#REF!</v>
      </c>
      <c r="H37" s="56" t="e">
        <f>+'Proyectos Base digitable'!#REF!</f>
        <v>#REF!</v>
      </c>
      <c r="I37" s="56" t="e">
        <f>+'Proyectos Base digitable'!#REF!</f>
        <v>#REF!</v>
      </c>
      <c r="J37" s="56" t="e">
        <f>+'Proyectos Base digitable'!#REF!</f>
        <v>#REF!</v>
      </c>
      <c r="K37" s="56" t="e">
        <f>+'Proyectos Base digitable'!#REF!</f>
        <v>#REF!</v>
      </c>
      <c r="L37" s="56" t="e">
        <f>+'Proyectos Base digitable'!#REF!</f>
        <v>#REF!</v>
      </c>
      <c r="M37" s="56" t="e">
        <f>+'Proyectos Base digitable'!#REF!</f>
        <v>#REF!</v>
      </c>
      <c r="N37" s="52" t="e">
        <f>+'Proyectos Base digitable'!#REF!</f>
        <v>#REF!</v>
      </c>
      <c r="O37" s="52" t="e">
        <f>+'Proyectos Base digitable'!#REF!</f>
        <v>#REF!</v>
      </c>
      <c r="P37" s="185" t="e">
        <f>+'Proyectos Base digitable'!#REF!</f>
        <v>#REF!</v>
      </c>
      <c r="Q37" s="58" t="e">
        <f>+'Proyectos Base digitable'!#REF!</f>
        <v>#REF!</v>
      </c>
      <c r="R37" s="58" t="e">
        <f>+'Proyectos Base digitable'!#REF!</f>
        <v>#REF!</v>
      </c>
      <c r="S37" s="58" t="e">
        <f>+'Proyectos Base digitable'!#REF!</f>
        <v>#REF!</v>
      </c>
      <c r="T37" s="58" t="e">
        <f>+'Proyectos Base digitable'!#REF!</f>
        <v>#REF!</v>
      </c>
      <c r="U37" s="63" t="e">
        <f>'Proyectos Base digitable'!#REF!</f>
        <v>#REF!</v>
      </c>
      <c r="V37" s="63" t="e">
        <f>'Proyectos Base digitable'!#REF!</f>
        <v>#REF!</v>
      </c>
      <c r="W37" s="63" t="e">
        <f>'Proyectos Base digitable'!#REF!</f>
        <v>#REF!</v>
      </c>
      <c r="X37" s="63" t="e">
        <f>'Proyectos Base digitable'!#REF!</f>
        <v>#REF!</v>
      </c>
      <c r="Y37" s="63" t="e">
        <f>'Proyectos Base digitable'!#REF!</f>
        <v>#REF!</v>
      </c>
      <c r="Z37" s="58" t="e">
        <f>+'Proyectos Base digitable'!#REF!</f>
        <v>#REF!</v>
      </c>
      <c r="AA37" s="58" t="e">
        <f>+'Proyectos Base digitable'!#REF!</f>
        <v>#REF!</v>
      </c>
      <c r="AB37" s="63" t="e">
        <f>'Proyectos Base digitable'!#REF!</f>
        <v>#REF!</v>
      </c>
      <c r="AC37" s="56" t="e">
        <f>+'Proyectos Base digitable'!#REF!</f>
        <v>#REF!</v>
      </c>
      <c r="AD37" s="52" t="e">
        <f>+'Proyectos Base digitable'!#REF!</f>
        <v>#REF!</v>
      </c>
      <c r="AE37" s="52" t="e">
        <f>+'Proyectos Base digitable'!#REF!</f>
        <v>#REF!</v>
      </c>
      <c r="AF37" s="52" t="e">
        <f>+'Proyectos Base digitable'!#REF!</f>
        <v>#REF!</v>
      </c>
      <c r="AG37" s="56" t="e">
        <f>+'Proyectos Base digitable'!#REF!</f>
        <v>#REF!</v>
      </c>
      <c r="AH37" s="52" t="e">
        <f>+'Proyectos Base digitable'!#REF!</f>
        <v>#REF!</v>
      </c>
      <c r="AI37" s="52" t="e">
        <f>+'Proyectos Base digitable'!#REF!</f>
        <v>#REF!</v>
      </c>
      <c r="AJ37" s="59" t="e">
        <f>+'Proyectos Base digitable'!#REF!</f>
        <v>#REF!</v>
      </c>
      <c r="AK37" s="186" t="e">
        <f>+'Proyectos Base digitable'!#REF!</f>
        <v>#REF!</v>
      </c>
      <c r="AL37" s="186" t="e">
        <f>+'Proyectos Base digitable'!#REF!</f>
        <v>#REF!</v>
      </c>
      <c r="AM37" s="186" t="e">
        <f>+'Proyectos Base digitable'!#REF!</f>
        <v>#REF!</v>
      </c>
      <c r="AN37" s="186" t="e">
        <f>+'Proyectos Base digitable'!#REF!</f>
        <v>#REF!</v>
      </c>
      <c r="AO37" s="186" t="e">
        <f>+'Proyectos Base digitable'!#REF!</f>
        <v>#REF!</v>
      </c>
      <c r="AP37" s="186" t="e">
        <f>+'Proyectos Base digitable'!#REF!</f>
        <v>#REF!</v>
      </c>
      <c r="AQ37" s="186" t="e">
        <f>+'Proyectos Base digitable'!#REF!</f>
        <v>#REF!</v>
      </c>
      <c r="AR37" s="186" t="e">
        <f>+'Proyectos Base digitable'!#REF!</f>
        <v>#REF!</v>
      </c>
      <c r="AS37" s="186" t="e">
        <f>+'Proyectos Base digitable'!#REF!</f>
        <v>#REF!</v>
      </c>
      <c r="AT37" s="187" t="e">
        <f>+'Proyectos Base digitable'!#REF!</f>
        <v>#REF!</v>
      </c>
      <c r="AU37" s="56" t="e">
        <f>+'Proyectos Base digitable'!#REF!</f>
        <v>#REF!</v>
      </c>
      <c r="AV37" s="56" t="e">
        <f>+'Proyectos Base digitable'!#REF!</f>
        <v>#REF!</v>
      </c>
      <c r="AW37" s="56" t="e">
        <f>+'Proyectos Base digitable'!#REF!</f>
        <v>#REF!</v>
      </c>
      <c r="AX37" s="56" t="e">
        <f>+'Proyectos Base digitable'!#REF!</f>
        <v>#REF!</v>
      </c>
      <c r="AY37" s="56" t="e">
        <f>+'Proyectos Base digitable'!#REF!</f>
        <v>#REF!</v>
      </c>
      <c r="AZ37" s="188" t="e">
        <f>+'Proyectos Base digitable'!#REF!</f>
        <v>#REF!</v>
      </c>
      <c r="BA37" s="188" t="e">
        <f>+'Proyectos Base digitable'!#REF!</f>
        <v>#REF!</v>
      </c>
    </row>
    <row r="38" spans="1:53" ht="12.5">
      <c r="A38" s="60" t="e">
        <f>+'Proyectos Base digitable'!#REF!</f>
        <v>#REF!</v>
      </c>
      <c r="B38" s="56" t="e">
        <f>+'Proyectos Base digitable'!#REF!</f>
        <v>#REF!</v>
      </c>
      <c r="C38" s="56" t="e">
        <f>+'Proyectos Base digitable'!#REF!</f>
        <v>#REF!</v>
      </c>
      <c r="D38" s="56" t="e">
        <f>+'Proyectos Base digitable'!#REF!</f>
        <v>#REF!</v>
      </c>
      <c r="E38" s="56" t="e">
        <f>+'Proyectos Base digitable'!#REF!</f>
        <v>#REF!</v>
      </c>
      <c r="F38" s="56" t="e">
        <f>+'Proyectos Base digitable'!#REF!</f>
        <v>#REF!</v>
      </c>
      <c r="G38" s="57" t="e">
        <f>+'Proyectos Base digitable'!#REF!</f>
        <v>#REF!</v>
      </c>
      <c r="H38" s="56" t="e">
        <f>+'Proyectos Base digitable'!#REF!</f>
        <v>#REF!</v>
      </c>
      <c r="I38" s="56" t="e">
        <f>+'Proyectos Base digitable'!#REF!</f>
        <v>#REF!</v>
      </c>
      <c r="J38" s="56" t="e">
        <f>+'Proyectos Base digitable'!#REF!</f>
        <v>#REF!</v>
      </c>
      <c r="K38" s="56" t="e">
        <f>+'Proyectos Base digitable'!#REF!</f>
        <v>#REF!</v>
      </c>
      <c r="L38" s="56" t="e">
        <f>+'Proyectos Base digitable'!#REF!</f>
        <v>#REF!</v>
      </c>
      <c r="M38" s="56" t="e">
        <f>+'Proyectos Base digitable'!#REF!</f>
        <v>#REF!</v>
      </c>
      <c r="N38" s="52" t="e">
        <f>+'Proyectos Base digitable'!#REF!</f>
        <v>#REF!</v>
      </c>
      <c r="O38" s="52" t="e">
        <f>+'Proyectos Base digitable'!#REF!</f>
        <v>#REF!</v>
      </c>
      <c r="P38" s="185" t="e">
        <f>+'Proyectos Base digitable'!#REF!</f>
        <v>#REF!</v>
      </c>
      <c r="Q38" s="58" t="e">
        <f>+'Proyectos Base digitable'!#REF!</f>
        <v>#REF!</v>
      </c>
      <c r="R38" s="58" t="e">
        <f>+'Proyectos Base digitable'!#REF!</f>
        <v>#REF!</v>
      </c>
      <c r="S38" s="58" t="e">
        <f>+'Proyectos Base digitable'!#REF!</f>
        <v>#REF!</v>
      </c>
      <c r="T38" s="58" t="e">
        <f>+'Proyectos Base digitable'!#REF!</f>
        <v>#REF!</v>
      </c>
      <c r="U38" s="63" t="e">
        <f>'Proyectos Base digitable'!#REF!</f>
        <v>#REF!</v>
      </c>
      <c r="V38" s="63" t="e">
        <f>'Proyectos Base digitable'!#REF!</f>
        <v>#REF!</v>
      </c>
      <c r="W38" s="63" t="e">
        <f>'Proyectos Base digitable'!#REF!</f>
        <v>#REF!</v>
      </c>
      <c r="X38" s="63" t="e">
        <f>'Proyectos Base digitable'!#REF!</f>
        <v>#REF!</v>
      </c>
      <c r="Y38" s="63" t="e">
        <f>'Proyectos Base digitable'!#REF!</f>
        <v>#REF!</v>
      </c>
      <c r="Z38" s="58" t="e">
        <f>+'Proyectos Base digitable'!#REF!</f>
        <v>#REF!</v>
      </c>
      <c r="AA38" s="58" t="e">
        <f>+'Proyectos Base digitable'!#REF!</f>
        <v>#REF!</v>
      </c>
      <c r="AB38" s="63" t="e">
        <f>'Proyectos Base digitable'!#REF!</f>
        <v>#REF!</v>
      </c>
      <c r="AC38" s="56" t="e">
        <f>+'Proyectos Base digitable'!#REF!</f>
        <v>#REF!</v>
      </c>
      <c r="AD38" s="52" t="e">
        <f>+'Proyectos Base digitable'!#REF!</f>
        <v>#REF!</v>
      </c>
      <c r="AE38" s="52" t="e">
        <f>+'Proyectos Base digitable'!#REF!</f>
        <v>#REF!</v>
      </c>
      <c r="AF38" s="52" t="e">
        <f>+'Proyectos Base digitable'!#REF!</f>
        <v>#REF!</v>
      </c>
      <c r="AG38" s="56" t="e">
        <f>+'Proyectos Base digitable'!#REF!</f>
        <v>#REF!</v>
      </c>
      <c r="AH38" s="52" t="e">
        <f>+'Proyectos Base digitable'!#REF!</f>
        <v>#REF!</v>
      </c>
      <c r="AI38" s="52" t="e">
        <f>+'Proyectos Base digitable'!#REF!</f>
        <v>#REF!</v>
      </c>
      <c r="AJ38" s="59" t="e">
        <f>+'Proyectos Base digitable'!#REF!</f>
        <v>#REF!</v>
      </c>
      <c r="AK38" s="186" t="e">
        <f>+'Proyectos Base digitable'!#REF!</f>
        <v>#REF!</v>
      </c>
      <c r="AL38" s="186" t="e">
        <f>+'Proyectos Base digitable'!#REF!</f>
        <v>#REF!</v>
      </c>
      <c r="AM38" s="186" t="e">
        <f>+'Proyectos Base digitable'!#REF!</f>
        <v>#REF!</v>
      </c>
      <c r="AN38" s="186" t="e">
        <f>+'Proyectos Base digitable'!#REF!</f>
        <v>#REF!</v>
      </c>
      <c r="AO38" s="186" t="e">
        <f>+'Proyectos Base digitable'!#REF!</f>
        <v>#REF!</v>
      </c>
      <c r="AP38" s="186" t="e">
        <f>+'Proyectos Base digitable'!#REF!</f>
        <v>#REF!</v>
      </c>
      <c r="AQ38" s="186" t="e">
        <f>+'Proyectos Base digitable'!#REF!</f>
        <v>#REF!</v>
      </c>
      <c r="AR38" s="186" t="e">
        <f>+'Proyectos Base digitable'!#REF!</f>
        <v>#REF!</v>
      </c>
      <c r="AS38" s="186" t="e">
        <f>+'Proyectos Base digitable'!#REF!</f>
        <v>#REF!</v>
      </c>
      <c r="AT38" s="187" t="e">
        <f>+'Proyectos Base digitable'!#REF!</f>
        <v>#REF!</v>
      </c>
      <c r="AU38" s="56" t="e">
        <f>+'Proyectos Base digitable'!#REF!</f>
        <v>#REF!</v>
      </c>
      <c r="AV38" s="56" t="e">
        <f>+'Proyectos Base digitable'!#REF!</f>
        <v>#REF!</v>
      </c>
      <c r="AW38" s="56" t="e">
        <f>+'Proyectos Base digitable'!#REF!</f>
        <v>#REF!</v>
      </c>
      <c r="AX38" s="56" t="e">
        <f>+'Proyectos Base digitable'!#REF!</f>
        <v>#REF!</v>
      </c>
      <c r="AY38" s="56" t="e">
        <f>+'Proyectos Base digitable'!#REF!</f>
        <v>#REF!</v>
      </c>
      <c r="AZ38" s="188" t="e">
        <f>+'Proyectos Base digitable'!#REF!</f>
        <v>#REF!</v>
      </c>
      <c r="BA38" s="188" t="e">
        <f>+'Proyectos Base digitable'!#REF!</f>
        <v>#REF!</v>
      </c>
    </row>
    <row r="39" spans="1:53" ht="12.5">
      <c r="A39" s="60" t="e">
        <f>+'Proyectos Base digitable'!#REF!</f>
        <v>#REF!</v>
      </c>
      <c r="B39" s="56" t="e">
        <f>+'Proyectos Base digitable'!#REF!</f>
        <v>#REF!</v>
      </c>
      <c r="C39" s="56" t="e">
        <f>+'Proyectos Base digitable'!#REF!</f>
        <v>#REF!</v>
      </c>
      <c r="D39" s="56" t="e">
        <f>+'Proyectos Base digitable'!#REF!</f>
        <v>#REF!</v>
      </c>
      <c r="E39" s="56" t="e">
        <f>+'Proyectos Base digitable'!#REF!</f>
        <v>#REF!</v>
      </c>
      <c r="F39" s="56" t="e">
        <f>+'Proyectos Base digitable'!#REF!</f>
        <v>#REF!</v>
      </c>
      <c r="G39" s="57" t="e">
        <f>+'Proyectos Base digitable'!#REF!</f>
        <v>#REF!</v>
      </c>
      <c r="H39" s="56" t="e">
        <f>+'Proyectos Base digitable'!#REF!</f>
        <v>#REF!</v>
      </c>
      <c r="I39" s="56" t="e">
        <f>+'Proyectos Base digitable'!#REF!</f>
        <v>#REF!</v>
      </c>
      <c r="J39" s="56" t="e">
        <f>+'Proyectos Base digitable'!#REF!</f>
        <v>#REF!</v>
      </c>
      <c r="K39" s="56" t="e">
        <f>+'Proyectos Base digitable'!#REF!</f>
        <v>#REF!</v>
      </c>
      <c r="L39" s="56" t="e">
        <f>+'Proyectos Base digitable'!#REF!</f>
        <v>#REF!</v>
      </c>
      <c r="M39" s="56" t="e">
        <f>+'Proyectos Base digitable'!#REF!</f>
        <v>#REF!</v>
      </c>
      <c r="N39" s="52" t="e">
        <f>+'Proyectos Base digitable'!#REF!</f>
        <v>#REF!</v>
      </c>
      <c r="O39" s="52" t="e">
        <f>+'Proyectos Base digitable'!#REF!</f>
        <v>#REF!</v>
      </c>
      <c r="P39" s="185" t="e">
        <f>+'Proyectos Base digitable'!#REF!</f>
        <v>#REF!</v>
      </c>
      <c r="Q39" s="58" t="e">
        <f>+'Proyectos Base digitable'!#REF!</f>
        <v>#REF!</v>
      </c>
      <c r="R39" s="58" t="e">
        <f>+'Proyectos Base digitable'!#REF!</f>
        <v>#REF!</v>
      </c>
      <c r="S39" s="58" t="e">
        <f>+'Proyectos Base digitable'!#REF!</f>
        <v>#REF!</v>
      </c>
      <c r="T39" s="58" t="e">
        <f>+'Proyectos Base digitable'!#REF!</f>
        <v>#REF!</v>
      </c>
      <c r="U39" s="63" t="e">
        <f>'Proyectos Base digitable'!#REF!</f>
        <v>#REF!</v>
      </c>
      <c r="V39" s="63" t="e">
        <f>'Proyectos Base digitable'!#REF!</f>
        <v>#REF!</v>
      </c>
      <c r="W39" s="63" t="e">
        <f>'Proyectos Base digitable'!#REF!</f>
        <v>#REF!</v>
      </c>
      <c r="X39" s="63" t="e">
        <f>'Proyectos Base digitable'!#REF!</f>
        <v>#REF!</v>
      </c>
      <c r="Y39" s="63" t="e">
        <f>'Proyectos Base digitable'!#REF!</f>
        <v>#REF!</v>
      </c>
      <c r="Z39" s="58" t="e">
        <f>+'Proyectos Base digitable'!#REF!</f>
        <v>#REF!</v>
      </c>
      <c r="AA39" s="58" t="e">
        <f>+'Proyectos Base digitable'!#REF!</f>
        <v>#REF!</v>
      </c>
      <c r="AB39" s="63" t="e">
        <f>'Proyectos Base digitable'!#REF!</f>
        <v>#REF!</v>
      </c>
      <c r="AC39" s="56" t="e">
        <f>+'Proyectos Base digitable'!#REF!</f>
        <v>#REF!</v>
      </c>
      <c r="AD39" s="52" t="e">
        <f>+'Proyectos Base digitable'!#REF!</f>
        <v>#REF!</v>
      </c>
      <c r="AE39" s="52" t="e">
        <f>+'Proyectos Base digitable'!#REF!</f>
        <v>#REF!</v>
      </c>
      <c r="AF39" s="52" t="e">
        <f>+'Proyectos Base digitable'!#REF!</f>
        <v>#REF!</v>
      </c>
      <c r="AG39" s="56" t="e">
        <f>+'Proyectos Base digitable'!#REF!</f>
        <v>#REF!</v>
      </c>
      <c r="AH39" s="52" t="e">
        <f>+'Proyectos Base digitable'!#REF!</f>
        <v>#REF!</v>
      </c>
      <c r="AI39" s="52" t="e">
        <f>+'Proyectos Base digitable'!#REF!</f>
        <v>#REF!</v>
      </c>
      <c r="AJ39" s="59" t="e">
        <f>+'Proyectos Base digitable'!#REF!</f>
        <v>#REF!</v>
      </c>
      <c r="AK39" s="186" t="e">
        <f>+'Proyectos Base digitable'!#REF!</f>
        <v>#REF!</v>
      </c>
      <c r="AL39" s="186" t="e">
        <f>+'Proyectos Base digitable'!#REF!</f>
        <v>#REF!</v>
      </c>
      <c r="AM39" s="186" t="e">
        <f>+'Proyectos Base digitable'!#REF!</f>
        <v>#REF!</v>
      </c>
      <c r="AN39" s="186" t="e">
        <f>+'Proyectos Base digitable'!#REF!</f>
        <v>#REF!</v>
      </c>
      <c r="AO39" s="186" t="e">
        <f>+'Proyectos Base digitable'!#REF!</f>
        <v>#REF!</v>
      </c>
      <c r="AP39" s="186" t="e">
        <f>+'Proyectos Base digitable'!#REF!</f>
        <v>#REF!</v>
      </c>
      <c r="AQ39" s="186" t="e">
        <f>+'Proyectos Base digitable'!#REF!</f>
        <v>#REF!</v>
      </c>
      <c r="AR39" s="186" t="e">
        <f>+'Proyectos Base digitable'!#REF!</f>
        <v>#REF!</v>
      </c>
      <c r="AS39" s="186" t="e">
        <f>+'Proyectos Base digitable'!#REF!</f>
        <v>#REF!</v>
      </c>
      <c r="AT39" s="187" t="e">
        <f>+'Proyectos Base digitable'!#REF!</f>
        <v>#REF!</v>
      </c>
      <c r="AU39" s="56" t="e">
        <f>+'Proyectos Base digitable'!#REF!</f>
        <v>#REF!</v>
      </c>
      <c r="AV39" s="56" t="e">
        <f>+'Proyectos Base digitable'!#REF!</f>
        <v>#REF!</v>
      </c>
      <c r="AW39" s="56" t="e">
        <f>+'Proyectos Base digitable'!#REF!</f>
        <v>#REF!</v>
      </c>
      <c r="AX39" s="56" t="e">
        <f>+'Proyectos Base digitable'!#REF!</f>
        <v>#REF!</v>
      </c>
      <c r="AY39" s="56" t="e">
        <f>+'Proyectos Base digitable'!#REF!</f>
        <v>#REF!</v>
      </c>
      <c r="AZ39" s="188" t="e">
        <f>+'Proyectos Base digitable'!#REF!</f>
        <v>#REF!</v>
      </c>
      <c r="BA39" s="188" t="e">
        <f>+'Proyectos Base digitable'!#REF!</f>
        <v>#REF!</v>
      </c>
    </row>
    <row r="40" spans="1:53" ht="12.5">
      <c r="A40" s="60" t="e">
        <f>+'Proyectos Base digitable'!#REF!</f>
        <v>#REF!</v>
      </c>
      <c r="B40" s="56" t="e">
        <f>+'Proyectos Base digitable'!#REF!</f>
        <v>#REF!</v>
      </c>
      <c r="C40" s="56" t="e">
        <f>+'Proyectos Base digitable'!#REF!</f>
        <v>#REF!</v>
      </c>
      <c r="D40" s="56" t="e">
        <f>+'Proyectos Base digitable'!#REF!</f>
        <v>#REF!</v>
      </c>
      <c r="E40" s="56" t="e">
        <f>+'Proyectos Base digitable'!#REF!</f>
        <v>#REF!</v>
      </c>
      <c r="F40" s="56" t="e">
        <f>+'Proyectos Base digitable'!#REF!</f>
        <v>#REF!</v>
      </c>
      <c r="G40" s="57" t="e">
        <f>+'Proyectos Base digitable'!#REF!</f>
        <v>#REF!</v>
      </c>
      <c r="H40" s="56" t="e">
        <f>+'Proyectos Base digitable'!#REF!</f>
        <v>#REF!</v>
      </c>
      <c r="I40" s="56" t="e">
        <f>+'Proyectos Base digitable'!#REF!</f>
        <v>#REF!</v>
      </c>
      <c r="J40" s="56" t="e">
        <f>+'Proyectos Base digitable'!#REF!</f>
        <v>#REF!</v>
      </c>
      <c r="K40" s="56" t="e">
        <f>+'Proyectos Base digitable'!#REF!</f>
        <v>#REF!</v>
      </c>
      <c r="L40" s="56" t="e">
        <f>+'Proyectos Base digitable'!#REF!</f>
        <v>#REF!</v>
      </c>
      <c r="M40" s="56" t="e">
        <f>+'Proyectos Base digitable'!#REF!</f>
        <v>#REF!</v>
      </c>
      <c r="N40" s="52" t="e">
        <f>+'Proyectos Base digitable'!#REF!</f>
        <v>#REF!</v>
      </c>
      <c r="O40" s="52" t="e">
        <f>+'Proyectos Base digitable'!#REF!</f>
        <v>#REF!</v>
      </c>
      <c r="P40" s="185" t="e">
        <f>+'Proyectos Base digitable'!#REF!</f>
        <v>#REF!</v>
      </c>
      <c r="Q40" s="58" t="e">
        <f>+'Proyectos Base digitable'!#REF!</f>
        <v>#REF!</v>
      </c>
      <c r="R40" s="58" t="e">
        <f>+'Proyectos Base digitable'!#REF!</f>
        <v>#REF!</v>
      </c>
      <c r="S40" s="58" t="e">
        <f>+'Proyectos Base digitable'!#REF!</f>
        <v>#REF!</v>
      </c>
      <c r="T40" s="58" t="e">
        <f>+'Proyectos Base digitable'!#REF!</f>
        <v>#REF!</v>
      </c>
      <c r="U40" s="63" t="e">
        <f>'Proyectos Base digitable'!#REF!</f>
        <v>#REF!</v>
      </c>
      <c r="V40" s="63" t="e">
        <f>'Proyectos Base digitable'!#REF!</f>
        <v>#REF!</v>
      </c>
      <c r="W40" s="63" t="e">
        <f>'Proyectos Base digitable'!#REF!</f>
        <v>#REF!</v>
      </c>
      <c r="X40" s="63" t="e">
        <f>'Proyectos Base digitable'!#REF!</f>
        <v>#REF!</v>
      </c>
      <c r="Y40" s="63" t="e">
        <f>'Proyectos Base digitable'!#REF!</f>
        <v>#REF!</v>
      </c>
      <c r="Z40" s="58" t="e">
        <f>+'Proyectos Base digitable'!#REF!</f>
        <v>#REF!</v>
      </c>
      <c r="AA40" s="58" t="e">
        <f>+'Proyectos Base digitable'!#REF!</f>
        <v>#REF!</v>
      </c>
      <c r="AB40" s="63" t="e">
        <f>'Proyectos Base digitable'!#REF!</f>
        <v>#REF!</v>
      </c>
      <c r="AC40" s="56" t="e">
        <f>+'Proyectos Base digitable'!#REF!</f>
        <v>#REF!</v>
      </c>
      <c r="AD40" s="52" t="e">
        <f>+'Proyectos Base digitable'!#REF!</f>
        <v>#REF!</v>
      </c>
      <c r="AE40" s="52" t="e">
        <f>+'Proyectos Base digitable'!#REF!</f>
        <v>#REF!</v>
      </c>
      <c r="AF40" s="52" t="e">
        <f>+'Proyectos Base digitable'!#REF!</f>
        <v>#REF!</v>
      </c>
      <c r="AG40" s="56" t="e">
        <f>+'Proyectos Base digitable'!#REF!</f>
        <v>#REF!</v>
      </c>
      <c r="AH40" s="52" t="e">
        <f>+'Proyectos Base digitable'!#REF!</f>
        <v>#REF!</v>
      </c>
      <c r="AI40" s="52" t="e">
        <f>+'Proyectos Base digitable'!#REF!</f>
        <v>#REF!</v>
      </c>
      <c r="AJ40" s="59" t="e">
        <f>+'Proyectos Base digitable'!#REF!</f>
        <v>#REF!</v>
      </c>
      <c r="AK40" s="186" t="e">
        <f>+'Proyectos Base digitable'!#REF!</f>
        <v>#REF!</v>
      </c>
      <c r="AL40" s="186" t="e">
        <f>+'Proyectos Base digitable'!#REF!</f>
        <v>#REF!</v>
      </c>
      <c r="AM40" s="186" t="e">
        <f>+'Proyectos Base digitable'!#REF!</f>
        <v>#REF!</v>
      </c>
      <c r="AN40" s="186" t="e">
        <f>+'Proyectos Base digitable'!#REF!</f>
        <v>#REF!</v>
      </c>
      <c r="AO40" s="186" t="e">
        <f>+'Proyectos Base digitable'!#REF!</f>
        <v>#REF!</v>
      </c>
      <c r="AP40" s="186" t="e">
        <f>+'Proyectos Base digitable'!#REF!</f>
        <v>#REF!</v>
      </c>
      <c r="AQ40" s="186" t="e">
        <f>+'Proyectos Base digitable'!#REF!</f>
        <v>#REF!</v>
      </c>
      <c r="AR40" s="186" t="e">
        <f>+'Proyectos Base digitable'!#REF!</f>
        <v>#REF!</v>
      </c>
      <c r="AS40" s="186" t="e">
        <f>+'Proyectos Base digitable'!#REF!</f>
        <v>#REF!</v>
      </c>
      <c r="AT40" s="187" t="e">
        <f>+'Proyectos Base digitable'!#REF!</f>
        <v>#REF!</v>
      </c>
      <c r="AU40" s="56" t="e">
        <f>+'Proyectos Base digitable'!#REF!</f>
        <v>#REF!</v>
      </c>
      <c r="AV40" s="56" t="e">
        <f>+'Proyectos Base digitable'!#REF!</f>
        <v>#REF!</v>
      </c>
      <c r="AW40" s="56" t="e">
        <f>+'Proyectos Base digitable'!#REF!</f>
        <v>#REF!</v>
      </c>
      <c r="AX40" s="56" t="e">
        <f>+'Proyectos Base digitable'!#REF!</f>
        <v>#REF!</v>
      </c>
      <c r="AY40" s="56" t="e">
        <f>+'Proyectos Base digitable'!#REF!</f>
        <v>#REF!</v>
      </c>
      <c r="AZ40" s="188" t="e">
        <f>+'Proyectos Base digitable'!#REF!</f>
        <v>#REF!</v>
      </c>
      <c r="BA40" s="188" t="e">
        <f>+'Proyectos Base digitable'!#REF!</f>
        <v>#REF!</v>
      </c>
    </row>
    <row r="41" spans="1:53" ht="12.5">
      <c r="A41" s="60" t="e">
        <f>+'Proyectos Base digitable'!#REF!</f>
        <v>#REF!</v>
      </c>
      <c r="B41" s="56" t="e">
        <f>+'Proyectos Base digitable'!#REF!</f>
        <v>#REF!</v>
      </c>
      <c r="C41" s="56" t="e">
        <f>+'Proyectos Base digitable'!#REF!</f>
        <v>#REF!</v>
      </c>
      <c r="D41" s="56" t="e">
        <f>+'Proyectos Base digitable'!#REF!</f>
        <v>#REF!</v>
      </c>
      <c r="E41" s="56" t="e">
        <f>+'Proyectos Base digitable'!#REF!</f>
        <v>#REF!</v>
      </c>
      <c r="F41" s="56" t="e">
        <f>+'Proyectos Base digitable'!#REF!</f>
        <v>#REF!</v>
      </c>
      <c r="G41" s="57" t="e">
        <f>+'Proyectos Base digitable'!#REF!</f>
        <v>#REF!</v>
      </c>
      <c r="H41" s="56" t="e">
        <f>+'Proyectos Base digitable'!#REF!</f>
        <v>#REF!</v>
      </c>
      <c r="I41" s="56" t="e">
        <f>+'Proyectos Base digitable'!#REF!</f>
        <v>#REF!</v>
      </c>
      <c r="J41" s="56" t="e">
        <f>+'Proyectos Base digitable'!#REF!</f>
        <v>#REF!</v>
      </c>
      <c r="K41" s="56" t="e">
        <f>+'Proyectos Base digitable'!#REF!</f>
        <v>#REF!</v>
      </c>
      <c r="L41" s="56" t="e">
        <f>+'Proyectos Base digitable'!#REF!</f>
        <v>#REF!</v>
      </c>
      <c r="M41" s="56" t="e">
        <f>+'Proyectos Base digitable'!#REF!</f>
        <v>#REF!</v>
      </c>
      <c r="N41" s="52" t="e">
        <f>+'Proyectos Base digitable'!#REF!</f>
        <v>#REF!</v>
      </c>
      <c r="O41" s="52" t="e">
        <f>+'Proyectos Base digitable'!#REF!</f>
        <v>#REF!</v>
      </c>
      <c r="P41" s="185" t="e">
        <f>+'Proyectos Base digitable'!#REF!</f>
        <v>#REF!</v>
      </c>
      <c r="Q41" s="58" t="e">
        <f>+'Proyectos Base digitable'!#REF!</f>
        <v>#REF!</v>
      </c>
      <c r="R41" s="58" t="e">
        <f>+'Proyectos Base digitable'!#REF!</f>
        <v>#REF!</v>
      </c>
      <c r="S41" s="58" t="e">
        <f>+'Proyectos Base digitable'!#REF!</f>
        <v>#REF!</v>
      </c>
      <c r="T41" s="58" t="e">
        <f>+'Proyectos Base digitable'!#REF!</f>
        <v>#REF!</v>
      </c>
      <c r="U41" s="63" t="e">
        <f>'Proyectos Base digitable'!#REF!</f>
        <v>#REF!</v>
      </c>
      <c r="V41" s="63" t="e">
        <f>'Proyectos Base digitable'!#REF!</f>
        <v>#REF!</v>
      </c>
      <c r="W41" s="63" t="e">
        <f>'Proyectos Base digitable'!#REF!</f>
        <v>#REF!</v>
      </c>
      <c r="X41" s="63" t="e">
        <f>'Proyectos Base digitable'!#REF!</f>
        <v>#REF!</v>
      </c>
      <c r="Y41" s="63" t="e">
        <f>'Proyectos Base digitable'!#REF!</f>
        <v>#REF!</v>
      </c>
      <c r="Z41" s="58" t="e">
        <f>+'Proyectos Base digitable'!#REF!</f>
        <v>#REF!</v>
      </c>
      <c r="AA41" s="58" t="e">
        <f>+'Proyectos Base digitable'!#REF!</f>
        <v>#REF!</v>
      </c>
      <c r="AB41" s="63" t="e">
        <f>'Proyectos Base digitable'!#REF!</f>
        <v>#REF!</v>
      </c>
      <c r="AC41" s="56" t="e">
        <f>+'Proyectos Base digitable'!#REF!</f>
        <v>#REF!</v>
      </c>
      <c r="AD41" s="52" t="e">
        <f>+'Proyectos Base digitable'!#REF!</f>
        <v>#REF!</v>
      </c>
      <c r="AE41" s="52" t="e">
        <f>+'Proyectos Base digitable'!#REF!</f>
        <v>#REF!</v>
      </c>
      <c r="AF41" s="52" t="e">
        <f>+'Proyectos Base digitable'!#REF!</f>
        <v>#REF!</v>
      </c>
      <c r="AG41" s="56" t="e">
        <f>+'Proyectos Base digitable'!#REF!</f>
        <v>#REF!</v>
      </c>
      <c r="AH41" s="52" t="e">
        <f>+'Proyectos Base digitable'!#REF!</f>
        <v>#REF!</v>
      </c>
      <c r="AI41" s="52" t="e">
        <f>+'Proyectos Base digitable'!#REF!</f>
        <v>#REF!</v>
      </c>
      <c r="AJ41" s="59" t="e">
        <f>+'Proyectos Base digitable'!#REF!</f>
        <v>#REF!</v>
      </c>
      <c r="AK41" s="186" t="e">
        <f>+'Proyectos Base digitable'!#REF!</f>
        <v>#REF!</v>
      </c>
      <c r="AL41" s="186" t="e">
        <f>+'Proyectos Base digitable'!#REF!</f>
        <v>#REF!</v>
      </c>
      <c r="AM41" s="186" t="e">
        <f>+'Proyectos Base digitable'!#REF!</f>
        <v>#REF!</v>
      </c>
      <c r="AN41" s="186" t="e">
        <f>+'Proyectos Base digitable'!#REF!</f>
        <v>#REF!</v>
      </c>
      <c r="AO41" s="186" t="e">
        <f>+'Proyectos Base digitable'!#REF!</f>
        <v>#REF!</v>
      </c>
      <c r="AP41" s="186" t="e">
        <f>+'Proyectos Base digitable'!#REF!</f>
        <v>#REF!</v>
      </c>
      <c r="AQ41" s="186" t="e">
        <f>+'Proyectos Base digitable'!#REF!</f>
        <v>#REF!</v>
      </c>
      <c r="AR41" s="186" t="e">
        <f>+'Proyectos Base digitable'!#REF!</f>
        <v>#REF!</v>
      </c>
      <c r="AS41" s="186" t="e">
        <f>+'Proyectos Base digitable'!#REF!</f>
        <v>#REF!</v>
      </c>
      <c r="AT41" s="187" t="e">
        <f>+'Proyectos Base digitable'!#REF!</f>
        <v>#REF!</v>
      </c>
      <c r="AU41" s="56" t="e">
        <f>+'Proyectos Base digitable'!#REF!</f>
        <v>#REF!</v>
      </c>
      <c r="AV41" s="56" t="e">
        <f>+'Proyectos Base digitable'!#REF!</f>
        <v>#REF!</v>
      </c>
      <c r="AW41" s="56" t="e">
        <f>+'Proyectos Base digitable'!#REF!</f>
        <v>#REF!</v>
      </c>
      <c r="AX41" s="56" t="e">
        <f>+'Proyectos Base digitable'!#REF!</f>
        <v>#REF!</v>
      </c>
      <c r="AY41" s="56" t="e">
        <f>+'Proyectos Base digitable'!#REF!</f>
        <v>#REF!</v>
      </c>
      <c r="AZ41" s="188" t="e">
        <f>+'Proyectos Base digitable'!#REF!</f>
        <v>#REF!</v>
      </c>
      <c r="BA41" s="188" t="e">
        <f>+'Proyectos Base digitable'!#REF!</f>
        <v>#REF!</v>
      </c>
    </row>
    <row r="42" spans="1:53" ht="12.5">
      <c r="A42" s="60" t="e">
        <f>+'Proyectos Base digitable'!#REF!</f>
        <v>#REF!</v>
      </c>
      <c r="B42" s="56" t="e">
        <f>+'Proyectos Base digitable'!#REF!</f>
        <v>#REF!</v>
      </c>
      <c r="C42" s="56" t="e">
        <f>+'Proyectos Base digitable'!#REF!</f>
        <v>#REF!</v>
      </c>
      <c r="D42" s="56" t="e">
        <f>+'Proyectos Base digitable'!#REF!</f>
        <v>#REF!</v>
      </c>
      <c r="E42" s="56" t="e">
        <f>+'Proyectos Base digitable'!#REF!</f>
        <v>#REF!</v>
      </c>
      <c r="F42" s="56" t="e">
        <f>+'Proyectos Base digitable'!#REF!</f>
        <v>#REF!</v>
      </c>
      <c r="G42" s="57" t="e">
        <f>+'Proyectos Base digitable'!#REF!</f>
        <v>#REF!</v>
      </c>
      <c r="H42" s="56" t="e">
        <f>+'Proyectos Base digitable'!#REF!</f>
        <v>#REF!</v>
      </c>
      <c r="I42" s="56" t="e">
        <f>+'Proyectos Base digitable'!#REF!</f>
        <v>#REF!</v>
      </c>
      <c r="J42" s="56" t="e">
        <f>+'Proyectos Base digitable'!#REF!</f>
        <v>#REF!</v>
      </c>
      <c r="K42" s="56" t="e">
        <f>+'Proyectos Base digitable'!#REF!</f>
        <v>#REF!</v>
      </c>
      <c r="L42" s="56" t="e">
        <f>+'Proyectos Base digitable'!#REF!</f>
        <v>#REF!</v>
      </c>
      <c r="M42" s="56" t="e">
        <f>+'Proyectos Base digitable'!#REF!</f>
        <v>#REF!</v>
      </c>
      <c r="N42" s="52" t="e">
        <f>+'Proyectos Base digitable'!#REF!</f>
        <v>#REF!</v>
      </c>
      <c r="O42" s="52" t="e">
        <f>+'Proyectos Base digitable'!#REF!</f>
        <v>#REF!</v>
      </c>
      <c r="P42" s="185" t="e">
        <f>+'Proyectos Base digitable'!#REF!</f>
        <v>#REF!</v>
      </c>
      <c r="Q42" s="58" t="e">
        <f>+'Proyectos Base digitable'!#REF!</f>
        <v>#REF!</v>
      </c>
      <c r="R42" s="58" t="e">
        <f>+'Proyectos Base digitable'!#REF!</f>
        <v>#REF!</v>
      </c>
      <c r="S42" s="58" t="e">
        <f>+'Proyectos Base digitable'!#REF!</f>
        <v>#REF!</v>
      </c>
      <c r="T42" s="58" t="e">
        <f>+'Proyectos Base digitable'!#REF!</f>
        <v>#REF!</v>
      </c>
      <c r="U42" s="63" t="e">
        <f>'Proyectos Base digitable'!#REF!</f>
        <v>#REF!</v>
      </c>
      <c r="V42" s="63" t="e">
        <f>'Proyectos Base digitable'!#REF!</f>
        <v>#REF!</v>
      </c>
      <c r="W42" s="63" t="e">
        <f>'Proyectos Base digitable'!#REF!</f>
        <v>#REF!</v>
      </c>
      <c r="X42" s="63" t="e">
        <f>'Proyectos Base digitable'!#REF!</f>
        <v>#REF!</v>
      </c>
      <c r="Y42" s="63" t="e">
        <f>'Proyectos Base digitable'!#REF!</f>
        <v>#REF!</v>
      </c>
      <c r="Z42" s="58" t="e">
        <f>+'Proyectos Base digitable'!#REF!</f>
        <v>#REF!</v>
      </c>
      <c r="AA42" s="58" t="e">
        <f>+'Proyectos Base digitable'!#REF!</f>
        <v>#REF!</v>
      </c>
      <c r="AB42" s="63" t="e">
        <f>'Proyectos Base digitable'!#REF!</f>
        <v>#REF!</v>
      </c>
      <c r="AC42" s="56" t="e">
        <f>+'Proyectos Base digitable'!#REF!</f>
        <v>#REF!</v>
      </c>
      <c r="AD42" s="52" t="e">
        <f>+'Proyectos Base digitable'!#REF!</f>
        <v>#REF!</v>
      </c>
      <c r="AE42" s="52" t="e">
        <f>+'Proyectos Base digitable'!#REF!</f>
        <v>#REF!</v>
      </c>
      <c r="AF42" s="52" t="e">
        <f>+'Proyectos Base digitable'!#REF!</f>
        <v>#REF!</v>
      </c>
      <c r="AG42" s="56" t="e">
        <f>+'Proyectos Base digitable'!#REF!</f>
        <v>#REF!</v>
      </c>
      <c r="AH42" s="52" t="e">
        <f>+'Proyectos Base digitable'!#REF!</f>
        <v>#REF!</v>
      </c>
      <c r="AI42" s="52" t="e">
        <f>+'Proyectos Base digitable'!#REF!</f>
        <v>#REF!</v>
      </c>
      <c r="AJ42" s="59" t="e">
        <f>+'Proyectos Base digitable'!#REF!</f>
        <v>#REF!</v>
      </c>
      <c r="AK42" s="186" t="e">
        <f>+'Proyectos Base digitable'!#REF!</f>
        <v>#REF!</v>
      </c>
      <c r="AL42" s="186" t="e">
        <f>+'Proyectos Base digitable'!#REF!</f>
        <v>#REF!</v>
      </c>
      <c r="AM42" s="186" t="e">
        <f>+'Proyectos Base digitable'!#REF!</f>
        <v>#REF!</v>
      </c>
      <c r="AN42" s="186" t="e">
        <f>+'Proyectos Base digitable'!#REF!</f>
        <v>#REF!</v>
      </c>
      <c r="AO42" s="186" t="e">
        <f>+'Proyectos Base digitable'!#REF!</f>
        <v>#REF!</v>
      </c>
      <c r="AP42" s="186" t="e">
        <f>+'Proyectos Base digitable'!#REF!</f>
        <v>#REF!</v>
      </c>
      <c r="AQ42" s="186" t="e">
        <f>+'Proyectos Base digitable'!#REF!</f>
        <v>#REF!</v>
      </c>
      <c r="AR42" s="186" t="e">
        <f>+'Proyectos Base digitable'!#REF!</f>
        <v>#REF!</v>
      </c>
      <c r="AS42" s="186" t="e">
        <f>+'Proyectos Base digitable'!#REF!</f>
        <v>#REF!</v>
      </c>
      <c r="AT42" s="187" t="e">
        <f>+'Proyectos Base digitable'!#REF!</f>
        <v>#REF!</v>
      </c>
      <c r="AU42" s="56" t="e">
        <f>+'Proyectos Base digitable'!#REF!</f>
        <v>#REF!</v>
      </c>
      <c r="AV42" s="56" t="e">
        <f>+'Proyectos Base digitable'!#REF!</f>
        <v>#REF!</v>
      </c>
      <c r="AW42" s="56" t="e">
        <f>+'Proyectos Base digitable'!#REF!</f>
        <v>#REF!</v>
      </c>
      <c r="AX42" s="56" t="e">
        <f>+'Proyectos Base digitable'!#REF!</f>
        <v>#REF!</v>
      </c>
      <c r="AY42" s="56" t="e">
        <f>+'Proyectos Base digitable'!#REF!</f>
        <v>#REF!</v>
      </c>
      <c r="AZ42" s="188" t="e">
        <f>+'Proyectos Base digitable'!#REF!</f>
        <v>#REF!</v>
      </c>
      <c r="BA42" s="188" t="e">
        <f>+'Proyectos Base digitable'!#REF!</f>
        <v>#REF!</v>
      </c>
    </row>
    <row r="43" spans="1:53" ht="12.5">
      <c r="A43" s="60" t="e">
        <f>+'Proyectos Base digitable'!#REF!</f>
        <v>#REF!</v>
      </c>
      <c r="B43" s="56" t="e">
        <f>+'Proyectos Base digitable'!#REF!</f>
        <v>#REF!</v>
      </c>
      <c r="C43" s="56" t="e">
        <f>+'Proyectos Base digitable'!#REF!</f>
        <v>#REF!</v>
      </c>
      <c r="D43" s="56" t="e">
        <f>+'Proyectos Base digitable'!#REF!</f>
        <v>#REF!</v>
      </c>
      <c r="E43" s="56" t="e">
        <f>+'Proyectos Base digitable'!#REF!</f>
        <v>#REF!</v>
      </c>
      <c r="F43" s="56" t="e">
        <f>+'Proyectos Base digitable'!#REF!</f>
        <v>#REF!</v>
      </c>
      <c r="G43" s="57" t="e">
        <f>+'Proyectos Base digitable'!#REF!</f>
        <v>#REF!</v>
      </c>
      <c r="H43" s="56" t="e">
        <f>+'Proyectos Base digitable'!#REF!</f>
        <v>#REF!</v>
      </c>
      <c r="I43" s="56" t="e">
        <f>+'Proyectos Base digitable'!#REF!</f>
        <v>#REF!</v>
      </c>
      <c r="J43" s="56" t="e">
        <f>+'Proyectos Base digitable'!#REF!</f>
        <v>#REF!</v>
      </c>
      <c r="K43" s="56" t="e">
        <f>+'Proyectos Base digitable'!#REF!</f>
        <v>#REF!</v>
      </c>
      <c r="L43" s="56" t="e">
        <f>+'Proyectos Base digitable'!#REF!</f>
        <v>#REF!</v>
      </c>
      <c r="M43" s="56" t="e">
        <f>+'Proyectos Base digitable'!#REF!</f>
        <v>#REF!</v>
      </c>
      <c r="N43" s="52" t="e">
        <f>+'Proyectos Base digitable'!#REF!</f>
        <v>#REF!</v>
      </c>
      <c r="O43" s="52" t="e">
        <f>+'Proyectos Base digitable'!#REF!</f>
        <v>#REF!</v>
      </c>
      <c r="P43" s="185" t="e">
        <f>+'Proyectos Base digitable'!#REF!</f>
        <v>#REF!</v>
      </c>
      <c r="Q43" s="58" t="e">
        <f>+'Proyectos Base digitable'!#REF!</f>
        <v>#REF!</v>
      </c>
      <c r="R43" s="58" t="e">
        <f>+'Proyectos Base digitable'!#REF!</f>
        <v>#REF!</v>
      </c>
      <c r="S43" s="58" t="e">
        <f>+'Proyectos Base digitable'!#REF!</f>
        <v>#REF!</v>
      </c>
      <c r="T43" s="58" t="e">
        <f>+'Proyectos Base digitable'!#REF!</f>
        <v>#REF!</v>
      </c>
      <c r="U43" s="63" t="e">
        <f>'Proyectos Base digitable'!#REF!</f>
        <v>#REF!</v>
      </c>
      <c r="V43" s="63" t="e">
        <f>'Proyectos Base digitable'!#REF!</f>
        <v>#REF!</v>
      </c>
      <c r="W43" s="63" t="e">
        <f>'Proyectos Base digitable'!#REF!</f>
        <v>#REF!</v>
      </c>
      <c r="X43" s="63" t="e">
        <f>'Proyectos Base digitable'!#REF!</f>
        <v>#REF!</v>
      </c>
      <c r="Y43" s="63" t="e">
        <f>'Proyectos Base digitable'!#REF!</f>
        <v>#REF!</v>
      </c>
      <c r="Z43" s="58" t="e">
        <f>+'Proyectos Base digitable'!#REF!</f>
        <v>#REF!</v>
      </c>
      <c r="AA43" s="58" t="e">
        <f>+'Proyectos Base digitable'!#REF!</f>
        <v>#REF!</v>
      </c>
      <c r="AB43" s="63" t="e">
        <f>'Proyectos Base digitable'!#REF!</f>
        <v>#REF!</v>
      </c>
      <c r="AC43" s="56" t="e">
        <f>+'Proyectos Base digitable'!#REF!</f>
        <v>#REF!</v>
      </c>
      <c r="AD43" s="52" t="e">
        <f>+'Proyectos Base digitable'!#REF!</f>
        <v>#REF!</v>
      </c>
      <c r="AE43" s="52" t="e">
        <f>+'Proyectos Base digitable'!#REF!</f>
        <v>#REF!</v>
      </c>
      <c r="AF43" s="52" t="e">
        <f>+'Proyectos Base digitable'!#REF!</f>
        <v>#REF!</v>
      </c>
      <c r="AG43" s="56" t="e">
        <f>+'Proyectos Base digitable'!#REF!</f>
        <v>#REF!</v>
      </c>
      <c r="AH43" s="52" t="e">
        <f>+'Proyectos Base digitable'!#REF!</f>
        <v>#REF!</v>
      </c>
      <c r="AI43" s="52" t="e">
        <f>+'Proyectos Base digitable'!#REF!</f>
        <v>#REF!</v>
      </c>
      <c r="AJ43" s="59" t="e">
        <f>+'Proyectos Base digitable'!#REF!</f>
        <v>#REF!</v>
      </c>
      <c r="AK43" s="186" t="e">
        <f>+'Proyectos Base digitable'!#REF!</f>
        <v>#REF!</v>
      </c>
      <c r="AL43" s="186" t="e">
        <f>+'Proyectos Base digitable'!#REF!</f>
        <v>#REF!</v>
      </c>
      <c r="AM43" s="186" t="e">
        <f>+'Proyectos Base digitable'!#REF!</f>
        <v>#REF!</v>
      </c>
      <c r="AN43" s="186" t="e">
        <f>+'Proyectos Base digitable'!#REF!</f>
        <v>#REF!</v>
      </c>
      <c r="AO43" s="186" t="e">
        <f>+'Proyectos Base digitable'!#REF!</f>
        <v>#REF!</v>
      </c>
      <c r="AP43" s="186" t="e">
        <f>+'Proyectos Base digitable'!#REF!</f>
        <v>#REF!</v>
      </c>
      <c r="AQ43" s="186" t="e">
        <f>+'Proyectos Base digitable'!#REF!</f>
        <v>#REF!</v>
      </c>
      <c r="AR43" s="186" t="e">
        <f>+'Proyectos Base digitable'!#REF!</f>
        <v>#REF!</v>
      </c>
      <c r="AS43" s="186" t="e">
        <f>+'Proyectos Base digitable'!#REF!</f>
        <v>#REF!</v>
      </c>
      <c r="AT43" s="187" t="e">
        <f>+'Proyectos Base digitable'!#REF!</f>
        <v>#REF!</v>
      </c>
      <c r="AU43" s="56" t="e">
        <f>+'Proyectos Base digitable'!#REF!</f>
        <v>#REF!</v>
      </c>
      <c r="AV43" s="56" t="e">
        <f>+'Proyectos Base digitable'!#REF!</f>
        <v>#REF!</v>
      </c>
      <c r="AW43" s="56" t="e">
        <f>+'Proyectos Base digitable'!#REF!</f>
        <v>#REF!</v>
      </c>
      <c r="AX43" s="56" t="e">
        <f>+'Proyectos Base digitable'!#REF!</f>
        <v>#REF!</v>
      </c>
      <c r="AY43" s="56" t="e">
        <f>+'Proyectos Base digitable'!#REF!</f>
        <v>#REF!</v>
      </c>
      <c r="AZ43" s="188" t="e">
        <f>+'Proyectos Base digitable'!#REF!</f>
        <v>#REF!</v>
      </c>
      <c r="BA43" s="188" t="e">
        <f>+'Proyectos Base digitable'!#REF!</f>
        <v>#REF!</v>
      </c>
    </row>
    <row r="44" spans="1:53" ht="12.5">
      <c r="A44" s="60" t="e">
        <f>+'Proyectos Base digitable'!#REF!</f>
        <v>#REF!</v>
      </c>
      <c r="B44" s="56" t="e">
        <f>+'Proyectos Base digitable'!#REF!</f>
        <v>#REF!</v>
      </c>
      <c r="C44" s="56" t="e">
        <f>+'Proyectos Base digitable'!#REF!</f>
        <v>#REF!</v>
      </c>
      <c r="D44" s="56" t="e">
        <f>+'Proyectos Base digitable'!#REF!</f>
        <v>#REF!</v>
      </c>
      <c r="E44" s="56" t="e">
        <f>+'Proyectos Base digitable'!#REF!</f>
        <v>#REF!</v>
      </c>
      <c r="F44" s="56" t="e">
        <f>+'Proyectos Base digitable'!#REF!</f>
        <v>#REF!</v>
      </c>
      <c r="G44" s="57" t="e">
        <f>+'Proyectos Base digitable'!#REF!</f>
        <v>#REF!</v>
      </c>
      <c r="H44" s="56" t="e">
        <f>+'Proyectos Base digitable'!#REF!</f>
        <v>#REF!</v>
      </c>
      <c r="I44" s="56" t="e">
        <f>+'Proyectos Base digitable'!#REF!</f>
        <v>#REF!</v>
      </c>
      <c r="J44" s="56" t="e">
        <f>+'Proyectos Base digitable'!#REF!</f>
        <v>#REF!</v>
      </c>
      <c r="K44" s="56" t="e">
        <f>+'Proyectos Base digitable'!#REF!</f>
        <v>#REF!</v>
      </c>
      <c r="L44" s="56" t="e">
        <f>+'Proyectos Base digitable'!#REF!</f>
        <v>#REF!</v>
      </c>
      <c r="M44" s="56" t="e">
        <f>+'Proyectos Base digitable'!#REF!</f>
        <v>#REF!</v>
      </c>
      <c r="N44" s="52" t="e">
        <f>+'Proyectos Base digitable'!#REF!</f>
        <v>#REF!</v>
      </c>
      <c r="O44" s="52" t="e">
        <f>+'Proyectos Base digitable'!#REF!</f>
        <v>#REF!</v>
      </c>
      <c r="P44" s="185" t="e">
        <f>+'Proyectos Base digitable'!#REF!</f>
        <v>#REF!</v>
      </c>
      <c r="Q44" s="58" t="e">
        <f>+'Proyectos Base digitable'!#REF!</f>
        <v>#REF!</v>
      </c>
      <c r="R44" s="58" t="e">
        <f>+'Proyectos Base digitable'!#REF!</f>
        <v>#REF!</v>
      </c>
      <c r="S44" s="58" t="e">
        <f>+'Proyectos Base digitable'!#REF!</f>
        <v>#REF!</v>
      </c>
      <c r="T44" s="58" t="e">
        <f>+'Proyectos Base digitable'!#REF!</f>
        <v>#REF!</v>
      </c>
      <c r="U44" s="63" t="e">
        <f>'Proyectos Base digitable'!#REF!</f>
        <v>#REF!</v>
      </c>
      <c r="V44" s="63" t="e">
        <f>'Proyectos Base digitable'!#REF!</f>
        <v>#REF!</v>
      </c>
      <c r="W44" s="63" t="e">
        <f>'Proyectos Base digitable'!#REF!</f>
        <v>#REF!</v>
      </c>
      <c r="X44" s="63" t="e">
        <f>'Proyectos Base digitable'!#REF!</f>
        <v>#REF!</v>
      </c>
      <c r="Y44" s="63" t="e">
        <f>'Proyectos Base digitable'!#REF!</f>
        <v>#REF!</v>
      </c>
      <c r="Z44" s="58" t="e">
        <f>+'Proyectos Base digitable'!#REF!</f>
        <v>#REF!</v>
      </c>
      <c r="AA44" s="58" t="e">
        <f>+'Proyectos Base digitable'!#REF!</f>
        <v>#REF!</v>
      </c>
      <c r="AB44" s="63" t="e">
        <f>'Proyectos Base digitable'!#REF!</f>
        <v>#REF!</v>
      </c>
      <c r="AC44" s="56" t="e">
        <f>+'Proyectos Base digitable'!#REF!</f>
        <v>#REF!</v>
      </c>
      <c r="AD44" s="52" t="e">
        <f>+'Proyectos Base digitable'!#REF!</f>
        <v>#REF!</v>
      </c>
      <c r="AE44" s="52" t="e">
        <f>+'Proyectos Base digitable'!#REF!</f>
        <v>#REF!</v>
      </c>
      <c r="AF44" s="52" t="e">
        <f>+'Proyectos Base digitable'!#REF!</f>
        <v>#REF!</v>
      </c>
      <c r="AG44" s="56" t="e">
        <f>+'Proyectos Base digitable'!#REF!</f>
        <v>#REF!</v>
      </c>
      <c r="AH44" s="52" t="e">
        <f>+'Proyectos Base digitable'!#REF!</f>
        <v>#REF!</v>
      </c>
      <c r="AI44" s="52" t="e">
        <f>+'Proyectos Base digitable'!#REF!</f>
        <v>#REF!</v>
      </c>
      <c r="AJ44" s="59" t="e">
        <f>+'Proyectos Base digitable'!#REF!</f>
        <v>#REF!</v>
      </c>
      <c r="AK44" s="186" t="e">
        <f>+'Proyectos Base digitable'!#REF!</f>
        <v>#REF!</v>
      </c>
      <c r="AL44" s="186" t="e">
        <f>+'Proyectos Base digitable'!#REF!</f>
        <v>#REF!</v>
      </c>
      <c r="AM44" s="186" t="e">
        <f>+'Proyectos Base digitable'!#REF!</f>
        <v>#REF!</v>
      </c>
      <c r="AN44" s="186" t="e">
        <f>+'Proyectos Base digitable'!#REF!</f>
        <v>#REF!</v>
      </c>
      <c r="AO44" s="186" t="e">
        <f>+'Proyectos Base digitable'!#REF!</f>
        <v>#REF!</v>
      </c>
      <c r="AP44" s="186" t="e">
        <f>+'Proyectos Base digitable'!#REF!</f>
        <v>#REF!</v>
      </c>
      <c r="AQ44" s="186" t="e">
        <f>+'Proyectos Base digitable'!#REF!</f>
        <v>#REF!</v>
      </c>
      <c r="AR44" s="186" t="e">
        <f>+'Proyectos Base digitable'!#REF!</f>
        <v>#REF!</v>
      </c>
      <c r="AS44" s="186" t="e">
        <f>+'Proyectos Base digitable'!#REF!</f>
        <v>#REF!</v>
      </c>
      <c r="AT44" s="187" t="e">
        <f>+'Proyectos Base digitable'!#REF!</f>
        <v>#REF!</v>
      </c>
      <c r="AU44" s="56" t="e">
        <f>+'Proyectos Base digitable'!#REF!</f>
        <v>#REF!</v>
      </c>
      <c r="AV44" s="56" t="e">
        <f>+'Proyectos Base digitable'!#REF!</f>
        <v>#REF!</v>
      </c>
      <c r="AW44" s="56" t="e">
        <f>+'Proyectos Base digitable'!#REF!</f>
        <v>#REF!</v>
      </c>
      <c r="AX44" s="56" t="e">
        <f>+'Proyectos Base digitable'!#REF!</f>
        <v>#REF!</v>
      </c>
      <c r="AY44" s="56" t="e">
        <f>+'Proyectos Base digitable'!#REF!</f>
        <v>#REF!</v>
      </c>
      <c r="AZ44" s="188" t="e">
        <f>+'Proyectos Base digitable'!#REF!</f>
        <v>#REF!</v>
      </c>
      <c r="BA44" s="188" t="e">
        <f>+'Proyectos Base digitable'!#REF!</f>
        <v>#REF!</v>
      </c>
    </row>
    <row r="45" spans="1:53" ht="12.5">
      <c r="A45" s="60" t="e">
        <f>+'Proyectos Base digitable'!#REF!</f>
        <v>#REF!</v>
      </c>
      <c r="B45" s="56" t="e">
        <f>+'Proyectos Base digitable'!#REF!</f>
        <v>#REF!</v>
      </c>
      <c r="C45" s="56" t="e">
        <f>+'Proyectos Base digitable'!#REF!</f>
        <v>#REF!</v>
      </c>
      <c r="D45" s="56" t="e">
        <f>+'Proyectos Base digitable'!#REF!</f>
        <v>#REF!</v>
      </c>
      <c r="E45" s="56" t="e">
        <f>+'Proyectos Base digitable'!#REF!</f>
        <v>#REF!</v>
      </c>
      <c r="F45" s="56" t="e">
        <f>+'Proyectos Base digitable'!#REF!</f>
        <v>#REF!</v>
      </c>
      <c r="G45" s="57" t="e">
        <f>+'Proyectos Base digitable'!#REF!</f>
        <v>#REF!</v>
      </c>
      <c r="H45" s="56" t="e">
        <f>+'Proyectos Base digitable'!#REF!</f>
        <v>#REF!</v>
      </c>
      <c r="I45" s="56" t="e">
        <f>+'Proyectos Base digitable'!#REF!</f>
        <v>#REF!</v>
      </c>
      <c r="J45" s="56" t="e">
        <f>+'Proyectos Base digitable'!#REF!</f>
        <v>#REF!</v>
      </c>
      <c r="K45" s="56" t="e">
        <f>+'Proyectos Base digitable'!#REF!</f>
        <v>#REF!</v>
      </c>
      <c r="L45" s="56" t="e">
        <f>+'Proyectos Base digitable'!#REF!</f>
        <v>#REF!</v>
      </c>
      <c r="M45" s="56" t="e">
        <f>+'Proyectos Base digitable'!#REF!</f>
        <v>#REF!</v>
      </c>
      <c r="N45" s="52" t="e">
        <f>+'Proyectos Base digitable'!#REF!</f>
        <v>#REF!</v>
      </c>
      <c r="O45" s="52" t="e">
        <f>+'Proyectos Base digitable'!#REF!</f>
        <v>#REF!</v>
      </c>
      <c r="P45" s="185" t="e">
        <f>+'Proyectos Base digitable'!#REF!</f>
        <v>#REF!</v>
      </c>
      <c r="Q45" s="58" t="e">
        <f>+'Proyectos Base digitable'!#REF!</f>
        <v>#REF!</v>
      </c>
      <c r="R45" s="58" t="e">
        <f>+'Proyectos Base digitable'!#REF!</f>
        <v>#REF!</v>
      </c>
      <c r="S45" s="58" t="e">
        <f>+'Proyectos Base digitable'!#REF!</f>
        <v>#REF!</v>
      </c>
      <c r="T45" s="58" t="e">
        <f>+'Proyectos Base digitable'!#REF!</f>
        <v>#REF!</v>
      </c>
      <c r="U45" s="63" t="e">
        <f>'Proyectos Base digitable'!#REF!</f>
        <v>#REF!</v>
      </c>
      <c r="V45" s="63" t="e">
        <f>'Proyectos Base digitable'!#REF!</f>
        <v>#REF!</v>
      </c>
      <c r="W45" s="63" t="e">
        <f>'Proyectos Base digitable'!#REF!</f>
        <v>#REF!</v>
      </c>
      <c r="X45" s="63" t="e">
        <f>'Proyectos Base digitable'!#REF!</f>
        <v>#REF!</v>
      </c>
      <c r="Y45" s="63" t="e">
        <f>'Proyectos Base digitable'!#REF!</f>
        <v>#REF!</v>
      </c>
      <c r="Z45" s="58" t="e">
        <f>+'Proyectos Base digitable'!#REF!</f>
        <v>#REF!</v>
      </c>
      <c r="AA45" s="58" t="e">
        <f>+'Proyectos Base digitable'!#REF!</f>
        <v>#REF!</v>
      </c>
      <c r="AB45" s="63" t="e">
        <f>'Proyectos Base digitable'!#REF!</f>
        <v>#REF!</v>
      </c>
      <c r="AC45" s="56" t="e">
        <f>+'Proyectos Base digitable'!#REF!</f>
        <v>#REF!</v>
      </c>
      <c r="AD45" s="52" t="e">
        <f>+'Proyectos Base digitable'!#REF!</f>
        <v>#REF!</v>
      </c>
      <c r="AE45" s="52" t="e">
        <f>+'Proyectos Base digitable'!#REF!</f>
        <v>#REF!</v>
      </c>
      <c r="AF45" s="52" t="e">
        <f>+'Proyectos Base digitable'!#REF!</f>
        <v>#REF!</v>
      </c>
      <c r="AG45" s="56" t="e">
        <f>+'Proyectos Base digitable'!#REF!</f>
        <v>#REF!</v>
      </c>
      <c r="AH45" s="52" t="e">
        <f>+'Proyectos Base digitable'!#REF!</f>
        <v>#REF!</v>
      </c>
      <c r="AI45" s="52" t="e">
        <f>+'Proyectos Base digitable'!#REF!</f>
        <v>#REF!</v>
      </c>
      <c r="AJ45" s="59" t="e">
        <f>+'Proyectos Base digitable'!#REF!</f>
        <v>#REF!</v>
      </c>
      <c r="AK45" s="186" t="e">
        <f>+'Proyectos Base digitable'!#REF!</f>
        <v>#REF!</v>
      </c>
      <c r="AL45" s="186" t="e">
        <f>+'Proyectos Base digitable'!#REF!</f>
        <v>#REF!</v>
      </c>
      <c r="AM45" s="186" t="e">
        <f>+'Proyectos Base digitable'!#REF!</f>
        <v>#REF!</v>
      </c>
      <c r="AN45" s="186" t="e">
        <f>+'Proyectos Base digitable'!#REF!</f>
        <v>#REF!</v>
      </c>
      <c r="AO45" s="186" t="e">
        <f>+'Proyectos Base digitable'!#REF!</f>
        <v>#REF!</v>
      </c>
      <c r="AP45" s="186" t="e">
        <f>+'Proyectos Base digitable'!#REF!</f>
        <v>#REF!</v>
      </c>
      <c r="AQ45" s="186" t="e">
        <f>+'Proyectos Base digitable'!#REF!</f>
        <v>#REF!</v>
      </c>
      <c r="AR45" s="186" t="e">
        <f>+'Proyectos Base digitable'!#REF!</f>
        <v>#REF!</v>
      </c>
      <c r="AS45" s="186" t="e">
        <f>+'Proyectos Base digitable'!#REF!</f>
        <v>#REF!</v>
      </c>
      <c r="AT45" s="187" t="e">
        <f>+'Proyectos Base digitable'!#REF!</f>
        <v>#REF!</v>
      </c>
      <c r="AU45" s="56" t="e">
        <f>+'Proyectos Base digitable'!#REF!</f>
        <v>#REF!</v>
      </c>
      <c r="AV45" s="56" t="e">
        <f>+'Proyectos Base digitable'!#REF!</f>
        <v>#REF!</v>
      </c>
      <c r="AW45" s="56" t="e">
        <f>+'Proyectos Base digitable'!#REF!</f>
        <v>#REF!</v>
      </c>
      <c r="AX45" s="56" t="e">
        <f>+'Proyectos Base digitable'!#REF!</f>
        <v>#REF!</v>
      </c>
      <c r="AY45" s="56" t="e">
        <f>+'Proyectos Base digitable'!#REF!</f>
        <v>#REF!</v>
      </c>
      <c r="AZ45" s="188" t="e">
        <f>+'Proyectos Base digitable'!#REF!</f>
        <v>#REF!</v>
      </c>
      <c r="BA45" s="188" t="e">
        <f>+'Proyectos Base digitable'!#REF!</f>
        <v>#REF!</v>
      </c>
    </row>
    <row r="46" spans="1:53" ht="12.5">
      <c r="A46" s="60" t="e">
        <f>+'Proyectos Base digitable'!#REF!</f>
        <v>#REF!</v>
      </c>
      <c r="B46" s="56" t="e">
        <f>+'Proyectos Base digitable'!#REF!</f>
        <v>#REF!</v>
      </c>
      <c r="C46" s="56" t="e">
        <f>+'Proyectos Base digitable'!#REF!</f>
        <v>#REF!</v>
      </c>
      <c r="D46" s="56" t="e">
        <f>+'Proyectos Base digitable'!#REF!</f>
        <v>#REF!</v>
      </c>
      <c r="E46" s="56" t="e">
        <f>+'Proyectos Base digitable'!#REF!</f>
        <v>#REF!</v>
      </c>
      <c r="F46" s="56" t="e">
        <f>+'Proyectos Base digitable'!#REF!</f>
        <v>#REF!</v>
      </c>
      <c r="G46" s="57" t="e">
        <f>+'Proyectos Base digitable'!#REF!</f>
        <v>#REF!</v>
      </c>
      <c r="H46" s="56" t="e">
        <f>+'Proyectos Base digitable'!#REF!</f>
        <v>#REF!</v>
      </c>
      <c r="I46" s="56" t="e">
        <f>+'Proyectos Base digitable'!#REF!</f>
        <v>#REF!</v>
      </c>
      <c r="J46" s="56" t="e">
        <f>+'Proyectos Base digitable'!#REF!</f>
        <v>#REF!</v>
      </c>
      <c r="K46" s="56" t="e">
        <f>+'Proyectos Base digitable'!#REF!</f>
        <v>#REF!</v>
      </c>
      <c r="L46" s="56" t="e">
        <f>+'Proyectos Base digitable'!#REF!</f>
        <v>#REF!</v>
      </c>
      <c r="M46" s="56" t="e">
        <f>+'Proyectos Base digitable'!#REF!</f>
        <v>#REF!</v>
      </c>
      <c r="N46" s="52" t="e">
        <f>+'Proyectos Base digitable'!#REF!</f>
        <v>#REF!</v>
      </c>
      <c r="O46" s="52" t="e">
        <f>+'Proyectos Base digitable'!#REF!</f>
        <v>#REF!</v>
      </c>
      <c r="P46" s="185" t="e">
        <f>+'Proyectos Base digitable'!#REF!</f>
        <v>#REF!</v>
      </c>
      <c r="Q46" s="58" t="e">
        <f>+'Proyectos Base digitable'!#REF!</f>
        <v>#REF!</v>
      </c>
      <c r="R46" s="58" t="e">
        <f>+'Proyectos Base digitable'!#REF!</f>
        <v>#REF!</v>
      </c>
      <c r="S46" s="58" t="e">
        <f>+'Proyectos Base digitable'!#REF!</f>
        <v>#REF!</v>
      </c>
      <c r="T46" s="58" t="e">
        <f>+'Proyectos Base digitable'!#REF!</f>
        <v>#REF!</v>
      </c>
      <c r="U46" s="63" t="e">
        <f>'Proyectos Base digitable'!#REF!</f>
        <v>#REF!</v>
      </c>
      <c r="V46" s="63" t="e">
        <f>'Proyectos Base digitable'!#REF!</f>
        <v>#REF!</v>
      </c>
      <c r="W46" s="63" t="e">
        <f>'Proyectos Base digitable'!#REF!</f>
        <v>#REF!</v>
      </c>
      <c r="X46" s="63" t="e">
        <f>'Proyectos Base digitable'!#REF!</f>
        <v>#REF!</v>
      </c>
      <c r="Y46" s="63" t="e">
        <f>'Proyectos Base digitable'!#REF!</f>
        <v>#REF!</v>
      </c>
      <c r="Z46" s="58" t="e">
        <f>+'Proyectos Base digitable'!#REF!</f>
        <v>#REF!</v>
      </c>
      <c r="AA46" s="58" t="e">
        <f>+'Proyectos Base digitable'!#REF!</f>
        <v>#REF!</v>
      </c>
      <c r="AB46" s="63" t="e">
        <f>'Proyectos Base digitable'!#REF!</f>
        <v>#REF!</v>
      </c>
      <c r="AC46" s="56" t="e">
        <f>+'Proyectos Base digitable'!#REF!</f>
        <v>#REF!</v>
      </c>
      <c r="AD46" s="52" t="e">
        <f>+'Proyectos Base digitable'!#REF!</f>
        <v>#REF!</v>
      </c>
      <c r="AE46" s="52" t="e">
        <f>+'Proyectos Base digitable'!#REF!</f>
        <v>#REF!</v>
      </c>
      <c r="AF46" s="52" t="e">
        <f>+'Proyectos Base digitable'!#REF!</f>
        <v>#REF!</v>
      </c>
      <c r="AG46" s="56" t="e">
        <f>+'Proyectos Base digitable'!#REF!</f>
        <v>#REF!</v>
      </c>
      <c r="AH46" s="52" t="e">
        <f>+'Proyectos Base digitable'!#REF!</f>
        <v>#REF!</v>
      </c>
      <c r="AI46" s="52" t="e">
        <f>+'Proyectos Base digitable'!#REF!</f>
        <v>#REF!</v>
      </c>
      <c r="AJ46" s="59" t="e">
        <f>+'Proyectos Base digitable'!#REF!</f>
        <v>#REF!</v>
      </c>
      <c r="AK46" s="186" t="e">
        <f>+'Proyectos Base digitable'!#REF!</f>
        <v>#REF!</v>
      </c>
      <c r="AL46" s="186" t="e">
        <f>+'Proyectos Base digitable'!#REF!</f>
        <v>#REF!</v>
      </c>
      <c r="AM46" s="186" t="e">
        <f>+'Proyectos Base digitable'!#REF!</f>
        <v>#REF!</v>
      </c>
      <c r="AN46" s="186" t="e">
        <f>+'Proyectos Base digitable'!#REF!</f>
        <v>#REF!</v>
      </c>
      <c r="AO46" s="186" t="e">
        <f>+'Proyectos Base digitable'!#REF!</f>
        <v>#REF!</v>
      </c>
      <c r="AP46" s="186" t="e">
        <f>+'Proyectos Base digitable'!#REF!</f>
        <v>#REF!</v>
      </c>
      <c r="AQ46" s="186" t="e">
        <f>+'Proyectos Base digitable'!#REF!</f>
        <v>#REF!</v>
      </c>
      <c r="AR46" s="186" t="e">
        <f>+'Proyectos Base digitable'!#REF!</f>
        <v>#REF!</v>
      </c>
      <c r="AS46" s="186" t="e">
        <f>+'Proyectos Base digitable'!#REF!</f>
        <v>#REF!</v>
      </c>
      <c r="AT46" s="187" t="e">
        <f>+'Proyectos Base digitable'!#REF!</f>
        <v>#REF!</v>
      </c>
      <c r="AU46" s="56" t="e">
        <f>+'Proyectos Base digitable'!#REF!</f>
        <v>#REF!</v>
      </c>
      <c r="AV46" s="56" t="e">
        <f>+'Proyectos Base digitable'!#REF!</f>
        <v>#REF!</v>
      </c>
      <c r="AW46" s="56" t="e">
        <f>+'Proyectos Base digitable'!#REF!</f>
        <v>#REF!</v>
      </c>
      <c r="AX46" s="56" t="e">
        <f>+'Proyectos Base digitable'!#REF!</f>
        <v>#REF!</v>
      </c>
      <c r="AY46" s="56" t="e">
        <f>+'Proyectos Base digitable'!#REF!</f>
        <v>#REF!</v>
      </c>
      <c r="AZ46" s="188" t="e">
        <f>+'Proyectos Base digitable'!#REF!</f>
        <v>#REF!</v>
      </c>
      <c r="BA46" s="188" t="e">
        <f>+'Proyectos Base digitable'!#REF!</f>
        <v>#REF!</v>
      </c>
    </row>
    <row r="47" spans="1:53" ht="12.5">
      <c r="A47" s="60" t="e">
        <f>+'Proyectos Base digitable'!#REF!</f>
        <v>#REF!</v>
      </c>
      <c r="B47" s="56" t="e">
        <f>+'Proyectos Base digitable'!#REF!</f>
        <v>#REF!</v>
      </c>
      <c r="C47" s="56" t="e">
        <f>+'Proyectos Base digitable'!#REF!</f>
        <v>#REF!</v>
      </c>
      <c r="D47" s="56" t="e">
        <f>+'Proyectos Base digitable'!#REF!</f>
        <v>#REF!</v>
      </c>
      <c r="E47" s="56" t="e">
        <f>+'Proyectos Base digitable'!#REF!</f>
        <v>#REF!</v>
      </c>
      <c r="F47" s="56" t="e">
        <f>+'Proyectos Base digitable'!#REF!</f>
        <v>#REF!</v>
      </c>
      <c r="G47" s="57" t="e">
        <f>+'Proyectos Base digitable'!#REF!</f>
        <v>#REF!</v>
      </c>
      <c r="H47" s="56" t="e">
        <f>+'Proyectos Base digitable'!#REF!</f>
        <v>#REF!</v>
      </c>
      <c r="I47" s="56" t="e">
        <f>+'Proyectos Base digitable'!#REF!</f>
        <v>#REF!</v>
      </c>
      <c r="J47" s="56" t="e">
        <f>+'Proyectos Base digitable'!#REF!</f>
        <v>#REF!</v>
      </c>
      <c r="K47" s="56" t="e">
        <f>+'Proyectos Base digitable'!#REF!</f>
        <v>#REF!</v>
      </c>
      <c r="L47" s="56" t="e">
        <f>+'Proyectos Base digitable'!#REF!</f>
        <v>#REF!</v>
      </c>
      <c r="M47" s="56" t="e">
        <f>+'Proyectos Base digitable'!#REF!</f>
        <v>#REF!</v>
      </c>
      <c r="N47" s="52" t="e">
        <f>+'Proyectos Base digitable'!#REF!</f>
        <v>#REF!</v>
      </c>
      <c r="O47" s="52" t="e">
        <f>+'Proyectos Base digitable'!#REF!</f>
        <v>#REF!</v>
      </c>
      <c r="P47" s="185" t="e">
        <f>+'Proyectos Base digitable'!#REF!</f>
        <v>#REF!</v>
      </c>
      <c r="Q47" s="58" t="e">
        <f>+'Proyectos Base digitable'!#REF!</f>
        <v>#REF!</v>
      </c>
      <c r="R47" s="58" t="e">
        <f>+'Proyectos Base digitable'!#REF!</f>
        <v>#REF!</v>
      </c>
      <c r="S47" s="58" t="e">
        <f>+'Proyectos Base digitable'!#REF!</f>
        <v>#REF!</v>
      </c>
      <c r="T47" s="58" t="e">
        <f>+'Proyectos Base digitable'!#REF!</f>
        <v>#REF!</v>
      </c>
      <c r="U47" s="63" t="e">
        <f>'Proyectos Base digitable'!#REF!</f>
        <v>#REF!</v>
      </c>
      <c r="V47" s="63" t="e">
        <f>'Proyectos Base digitable'!#REF!</f>
        <v>#REF!</v>
      </c>
      <c r="W47" s="63" t="e">
        <f>'Proyectos Base digitable'!#REF!</f>
        <v>#REF!</v>
      </c>
      <c r="X47" s="63" t="e">
        <f>'Proyectos Base digitable'!#REF!</f>
        <v>#REF!</v>
      </c>
      <c r="Y47" s="63" t="e">
        <f>'Proyectos Base digitable'!#REF!</f>
        <v>#REF!</v>
      </c>
      <c r="Z47" s="58" t="e">
        <f>+'Proyectos Base digitable'!#REF!</f>
        <v>#REF!</v>
      </c>
      <c r="AA47" s="58" t="e">
        <f>+'Proyectos Base digitable'!#REF!</f>
        <v>#REF!</v>
      </c>
      <c r="AB47" s="63" t="e">
        <f>'Proyectos Base digitable'!#REF!</f>
        <v>#REF!</v>
      </c>
      <c r="AC47" s="56" t="e">
        <f>+'Proyectos Base digitable'!#REF!</f>
        <v>#REF!</v>
      </c>
      <c r="AD47" s="52" t="e">
        <f>+'Proyectos Base digitable'!#REF!</f>
        <v>#REF!</v>
      </c>
      <c r="AE47" s="52" t="e">
        <f>+'Proyectos Base digitable'!#REF!</f>
        <v>#REF!</v>
      </c>
      <c r="AF47" s="52" t="e">
        <f>+'Proyectos Base digitable'!#REF!</f>
        <v>#REF!</v>
      </c>
      <c r="AG47" s="56" t="e">
        <f>+'Proyectos Base digitable'!#REF!</f>
        <v>#REF!</v>
      </c>
      <c r="AH47" s="52" t="e">
        <f>+'Proyectos Base digitable'!#REF!</f>
        <v>#REF!</v>
      </c>
      <c r="AI47" s="52" t="e">
        <f>+'Proyectos Base digitable'!#REF!</f>
        <v>#REF!</v>
      </c>
      <c r="AJ47" s="59" t="e">
        <f>+'Proyectos Base digitable'!#REF!</f>
        <v>#REF!</v>
      </c>
      <c r="AK47" s="186" t="e">
        <f>+'Proyectos Base digitable'!#REF!</f>
        <v>#REF!</v>
      </c>
      <c r="AL47" s="186" t="e">
        <f>+'Proyectos Base digitable'!#REF!</f>
        <v>#REF!</v>
      </c>
      <c r="AM47" s="186" t="e">
        <f>+'Proyectos Base digitable'!#REF!</f>
        <v>#REF!</v>
      </c>
      <c r="AN47" s="186" t="e">
        <f>+'Proyectos Base digitable'!#REF!</f>
        <v>#REF!</v>
      </c>
      <c r="AO47" s="186" t="e">
        <f>+'Proyectos Base digitable'!#REF!</f>
        <v>#REF!</v>
      </c>
      <c r="AP47" s="186" t="e">
        <f>+'Proyectos Base digitable'!#REF!</f>
        <v>#REF!</v>
      </c>
      <c r="AQ47" s="186" t="e">
        <f>+'Proyectos Base digitable'!#REF!</f>
        <v>#REF!</v>
      </c>
      <c r="AR47" s="186" t="e">
        <f>+'Proyectos Base digitable'!#REF!</f>
        <v>#REF!</v>
      </c>
      <c r="AS47" s="186" t="e">
        <f>+'Proyectos Base digitable'!#REF!</f>
        <v>#REF!</v>
      </c>
      <c r="AT47" s="187" t="e">
        <f>+'Proyectos Base digitable'!#REF!</f>
        <v>#REF!</v>
      </c>
      <c r="AU47" s="56" t="e">
        <f>+'Proyectos Base digitable'!#REF!</f>
        <v>#REF!</v>
      </c>
      <c r="AV47" s="56" t="e">
        <f>+'Proyectos Base digitable'!#REF!</f>
        <v>#REF!</v>
      </c>
      <c r="AW47" s="56" t="e">
        <f>+'Proyectos Base digitable'!#REF!</f>
        <v>#REF!</v>
      </c>
      <c r="AX47" s="56" t="e">
        <f>+'Proyectos Base digitable'!#REF!</f>
        <v>#REF!</v>
      </c>
      <c r="AY47" s="56" t="e">
        <f>+'Proyectos Base digitable'!#REF!</f>
        <v>#REF!</v>
      </c>
      <c r="AZ47" s="188" t="e">
        <f>+'Proyectos Base digitable'!#REF!</f>
        <v>#REF!</v>
      </c>
      <c r="BA47" s="188" t="e">
        <f>+'Proyectos Base digitable'!#REF!</f>
        <v>#REF!</v>
      </c>
    </row>
    <row r="48" spans="1:53" ht="12.5">
      <c r="A48" s="60" t="e">
        <f>+'Proyectos Base digitable'!#REF!</f>
        <v>#REF!</v>
      </c>
      <c r="B48" s="56" t="e">
        <f>+'Proyectos Base digitable'!#REF!</f>
        <v>#REF!</v>
      </c>
      <c r="C48" s="56" t="e">
        <f>+'Proyectos Base digitable'!#REF!</f>
        <v>#REF!</v>
      </c>
      <c r="D48" s="56" t="e">
        <f>+'Proyectos Base digitable'!#REF!</f>
        <v>#REF!</v>
      </c>
      <c r="E48" s="56" t="e">
        <f>+'Proyectos Base digitable'!#REF!</f>
        <v>#REF!</v>
      </c>
      <c r="F48" s="56" t="e">
        <f>+'Proyectos Base digitable'!#REF!</f>
        <v>#REF!</v>
      </c>
      <c r="G48" s="57" t="e">
        <f>+'Proyectos Base digitable'!#REF!</f>
        <v>#REF!</v>
      </c>
      <c r="H48" s="56" t="e">
        <f>+'Proyectos Base digitable'!#REF!</f>
        <v>#REF!</v>
      </c>
      <c r="I48" s="56" t="e">
        <f>+'Proyectos Base digitable'!#REF!</f>
        <v>#REF!</v>
      </c>
      <c r="J48" s="56" t="e">
        <f>+'Proyectos Base digitable'!#REF!</f>
        <v>#REF!</v>
      </c>
      <c r="K48" s="56" t="e">
        <f>+'Proyectos Base digitable'!#REF!</f>
        <v>#REF!</v>
      </c>
      <c r="L48" s="56" t="e">
        <f>+'Proyectos Base digitable'!#REF!</f>
        <v>#REF!</v>
      </c>
      <c r="M48" s="56" t="e">
        <f>+'Proyectos Base digitable'!#REF!</f>
        <v>#REF!</v>
      </c>
      <c r="N48" s="52" t="e">
        <f>+'Proyectos Base digitable'!#REF!</f>
        <v>#REF!</v>
      </c>
      <c r="O48" s="52" t="e">
        <f>+'Proyectos Base digitable'!#REF!</f>
        <v>#REF!</v>
      </c>
      <c r="P48" s="185" t="e">
        <f>+'Proyectos Base digitable'!#REF!</f>
        <v>#REF!</v>
      </c>
      <c r="Q48" s="58" t="e">
        <f>+'Proyectos Base digitable'!#REF!</f>
        <v>#REF!</v>
      </c>
      <c r="R48" s="58" t="e">
        <f>+'Proyectos Base digitable'!#REF!</f>
        <v>#REF!</v>
      </c>
      <c r="S48" s="58" t="e">
        <f>+'Proyectos Base digitable'!#REF!</f>
        <v>#REF!</v>
      </c>
      <c r="T48" s="58" t="e">
        <f>+'Proyectos Base digitable'!#REF!</f>
        <v>#REF!</v>
      </c>
      <c r="U48" s="63" t="e">
        <f>'Proyectos Base digitable'!#REF!</f>
        <v>#REF!</v>
      </c>
      <c r="V48" s="63" t="e">
        <f>'Proyectos Base digitable'!#REF!</f>
        <v>#REF!</v>
      </c>
      <c r="W48" s="63" t="e">
        <f>'Proyectos Base digitable'!#REF!</f>
        <v>#REF!</v>
      </c>
      <c r="X48" s="63" t="e">
        <f>'Proyectos Base digitable'!#REF!</f>
        <v>#REF!</v>
      </c>
      <c r="Y48" s="63" t="e">
        <f>'Proyectos Base digitable'!#REF!</f>
        <v>#REF!</v>
      </c>
      <c r="Z48" s="58" t="e">
        <f>+'Proyectos Base digitable'!#REF!</f>
        <v>#REF!</v>
      </c>
      <c r="AA48" s="58" t="e">
        <f>+'Proyectos Base digitable'!#REF!</f>
        <v>#REF!</v>
      </c>
      <c r="AB48" s="63" t="e">
        <f>'Proyectos Base digitable'!#REF!</f>
        <v>#REF!</v>
      </c>
      <c r="AC48" s="56" t="e">
        <f>+'Proyectos Base digitable'!#REF!</f>
        <v>#REF!</v>
      </c>
      <c r="AD48" s="52" t="e">
        <f>+'Proyectos Base digitable'!#REF!</f>
        <v>#REF!</v>
      </c>
      <c r="AE48" s="52" t="e">
        <f>+'Proyectos Base digitable'!#REF!</f>
        <v>#REF!</v>
      </c>
      <c r="AF48" s="52" t="e">
        <f>+'Proyectos Base digitable'!#REF!</f>
        <v>#REF!</v>
      </c>
      <c r="AG48" s="56" t="e">
        <f>+'Proyectos Base digitable'!#REF!</f>
        <v>#REF!</v>
      </c>
      <c r="AH48" s="52" t="e">
        <f>+'Proyectos Base digitable'!#REF!</f>
        <v>#REF!</v>
      </c>
      <c r="AI48" s="52" t="e">
        <f>+'Proyectos Base digitable'!#REF!</f>
        <v>#REF!</v>
      </c>
      <c r="AJ48" s="59" t="e">
        <f>+'Proyectos Base digitable'!#REF!</f>
        <v>#REF!</v>
      </c>
      <c r="AK48" s="186" t="e">
        <f>+'Proyectos Base digitable'!#REF!</f>
        <v>#REF!</v>
      </c>
      <c r="AL48" s="186" t="e">
        <f>+'Proyectos Base digitable'!#REF!</f>
        <v>#REF!</v>
      </c>
      <c r="AM48" s="186" t="e">
        <f>+'Proyectos Base digitable'!#REF!</f>
        <v>#REF!</v>
      </c>
      <c r="AN48" s="186" t="e">
        <f>+'Proyectos Base digitable'!#REF!</f>
        <v>#REF!</v>
      </c>
      <c r="AO48" s="186" t="e">
        <f>+'Proyectos Base digitable'!#REF!</f>
        <v>#REF!</v>
      </c>
      <c r="AP48" s="186" t="e">
        <f>+'Proyectos Base digitable'!#REF!</f>
        <v>#REF!</v>
      </c>
      <c r="AQ48" s="186" t="e">
        <f>+'Proyectos Base digitable'!#REF!</f>
        <v>#REF!</v>
      </c>
      <c r="AR48" s="186" t="e">
        <f>+'Proyectos Base digitable'!#REF!</f>
        <v>#REF!</v>
      </c>
      <c r="AS48" s="186" t="e">
        <f>+'Proyectos Base digitable'!#REF!</f>
        <v>#REF!</v>
      </c>
      <c r="AT48" s="187" t="e">
        <f>+'Proyectos Base digitable'!#REF!</f>
        <v>#REF!</v>
      </c>
      <c r="AU48" s="56" t="e">
        <f>+'Proyectos Base digitable'!#REF!</f>
        <v>#REF!</v>
      </c>
      <c r="AV48" s="56" t="e">
        <f>+'Proyectos Base digitable'!#REF!</f>
        <v>#REF!</v>
      </c>
      <c r="AW48" s="56" t="e">
        <f>+'Proyectos Base digitable'!#REF!</f>
        <v>#REF!</v>
      </c>
      <c r="AX48" s="56" t="e">
        <f>+'Proyectos Base digitable'!#REF!</f>
        <v>#REF!</v>
      </c>
      <c r="AY48" s="56" t="e">
        <f>+'Proyectos Base digitable'!#REF!</f>
        <v>#REF!</v>
      </c>
      <c r="AZ48" s="188" t="e">
        <f>+'Proyectos Base digitable'!#REF!</f>
        <v>#REF!</v>
      </c>
      <c r="BA48" s="188" t="e">
        <f>+'Proyectos Base digitable'!#REF!</f>
        <v>#REF!</v>
      </c>
    </row>
    <row r="49" spans="1:53" ht="12.5">
      <c r="A49" s="60" t="e">
        <f>+'Proyectos Base digitable'!#REF!</f>
        <v>#REF!</v>
      </c>
      <c r="B49" s="56" t="e">
        <f>+'Proyectos Base digitable'!#REF!</f>
        <v>#REF!</v>
      </c>
      <c r="C49" s="56" t="e">
        <f>+'Proyectos Base digitable'!#REF!</f>
        <v>#REF!</v>
      </c>
      <c r="D49" s="56" t="e">
        <f>+'Proyectos Base digitable'!#REF!</f>
        <v>#REF!</v>
      </c>
      <c r="E49" s="56" t="e">
        <f>+'Proyectos Base digitable'!#REF!</f>
        <v>#REF!</v>
      </c>
      <c r="F49" s="56" t="e">
        <f>+'Proyectos Base digitable'!#REF!</f>
        <v>#REF!</v>
      </c>
      <c r="G49" s="57" t="e">
        <f>+'Proyectos Base digitable'!#REF!</f>
        <v>#REF!</v>
      </c>
      <c r="H49" s="56" t="e">
        <f>+'Proyectos Base digitable'!#REF!</f>
        <v>#REF!</v>
      </c>
      <c r="I49" s="56" t="e">
        <f>+'Proyectos Base digitable'!#REF!</f>
        <v>#REF!</v>
      </c>
      <c r="J49" s="56" t="e">
        <f>+'Proyectos Base digitable'!#REF!</f>
        <v>#REF!</v>
      </c>
      <c r="K49" s="56" t="e">
        <f>+'Proyectos Base digitable'!#REF!</f>
        <v>#REF!</v>
      </c>
      <c r="L49" s="56" t="e">
        <f>+'Proyectos Base digitable'!#REF!</f>
        <v>#REF!</v>
      </c>
      <c r="M49" s="56" t="e">
        <f>+'Proyectos Base digitable'!#REF!</f>
        <v>#REF!</v>
      </c>
      <c r="N49" s="52" t="e">
        <f>+'Proyectos Base digitable'!#REF!</f>
        <v>#REF!</v>
      </c>
      <c r="O49" s="52" t="e">
        <f>+'Proyectos Base digitable'!#REF!</f>
        <v>#REF!</v>
      </c>
      <c r="P49" s="185" t="e">
        <f>+'Proyectos Base digitable'!#REF!</f>
        <v>#REF!</v>
      </c>
      <c r="Q49" s="58" t="e">
        <f>+'Proyectos Base digitable'!#REF!</f>
        <v>#REF!</v>
      </c>
      <c r="R49" s="58" t="e">
        <f>+'Proyectos Base digitable'!#REF!</f>
        <v>#REF!</v>
      </c>
      <c r="S49" s="58" t="e">
        <f>+'Proyectos Base digitable'!#REF!</f>
        <v>#REF!</v>
      </c>
      <c r="T49" s="58" t="e">
        <f>+'Proyectos Base digitable'!#REF!</f>
        <v>#REF!</v>
      </c>
      <c r="U49" s="63" t="e">
        <f>'Proyectos Base digitable'!#REF!</f>
        <v>#REF!</v>
      </c>
      <c r="V49" s="63" t="e">
        <f>'Proyectos Base digitable'!#REF!</f>
        <v>#REF!</v>
      </c>
      <c r="W49" s="63" t="e">
        <f>'Proyectos Base digitable'!#REF!</f>
        <v>#REF!</v>
      </c>
      <c r="X49" s="63" t="e">
        <f>'Proyectos Base digitable'!#REF!</f>
        <v>#REF!</v>
      </c>
      <c r="Y49" s="63" t="e">
        <f>'Proyectos Base digitable'!#REF!</f>
        <v>#REF!</v>
      </c>
      <c r="Z49" s="58" t="e">
        <f>+'Proyectos Base digitable'!#REF!</f>
        <v>#REF!</v>
      </c>
      <c r="AA49" s="58" t="e">
        <f>+'Proyectos Base digitable'!#REF!</f>
        <v>#REF!</v>
      </c>
      <c r="AB49" s="63" t="e">
        <f>'Proyectos Base digitable'!#REF!</f>
        <v>#REF!</v>
      </c>
      <c r="AC49" s="56" t="e">
        <f>+'Proyectos Base digitable'!#REF!</f>
        <v>#REF!</v>
      </c>
      <c r="AD49" s="52" t="e">
        <f>+'Proyectos Base digitable'!#REF!</f>
        <v>#REF!</v>
      </c>
      <c r="AE49" s="52" t="e">
        <f>+'Proyectos Base digitable'!#REF!</f>
        <v>#REF!</v>
      </c>
      <c r="AF49" s="52" t="e">
        <f>+'Proyectos Base digitable'!#REF!</f>
        <v>#REF!</v>
      </c>
      <c r="AG49" s="56" t="e">
        <f>+'Proyectos Base digitable'!#REF!</f>
        <v>#REF!</v>
      </c>
      <c r="AH49" s="52" t="e">
        <f>+'Proyectos Base digitable'!#REF!</f>
        <v>#REF!</v>
      </c>
      <c r="AI49" s="52" t="e">
        <f>+'Proyectos Base digitable'!#REF!</f>
        <v>#REF!</v>
      </c>
      <c r="AJ49" s="59" t="e">
        <f>+'Proyectos Base digitable'!#REF!</f>
        <v>#REF!</v>
      </c>
      <c r="AK49" s="186" t="e">
        <f>+'Proyectos Base digitable'!#REF!</f>
        <v>#REF!</v>
      </c>
      <c r="AL49" s="186" t="e">
        <f>+'Proyectos Base digitable'!#REF!</f>
        <v>#REF!</v>
      </c>
      <c r="AM49" s="186" t="e">
        <f>+'Proyectos Base digitable'!#REF!</f>
        <v>#REF!</v>
      </c>
      <c r="AN49" s="186" t="e">
        <f>+'Proyectos Base digitable'!#REF!</f>
        <v>#REF!</v>
      </c>
      <c r="AO49" s="186" t="e">
        <f>+'Proyectos Base digitable'!#REF!</f>
        <v>#REF!</v>
      </c>
      <c r="AP49" s="186" t="e">
        <f>+'Proyectos Base digitable'!#REF!</f>
        <v>#REF!</v>
      </c>
      <c r="AQ49" s="186" t="e">
        <f>+'Proyectos Base digitable'!#REF!</f>
        <v>#REF!</v>
      </c>
      <c r="AR49" s="186" t="e">
        <f>+'Proyectos Base digitable'!#REF!</f>
        <v>#REF!</v>
      </c>
      <c r="AS49" s="186" t="e">
        <f>+'Proyectos Base digitable'!#REF!</f>
        <v>#REF!</v>
      </c>
      <c r="AT49" s="187" t="e">
        <f>+'Proyectos Base digitable'!#REF!</f>
        <v>#REF!</v>
      </c>
      <c r="AU49" s="56" t="e">
        <f>+'Proyectos Base digitable'!#REF!</f>
        <v>#REF!</v>
      </c>
      <c r="AV49" s="56" t="e">
        <f>+'Proyectos Base digitable'!#REF!</f>
        <v>#REF!</v>
      </c>
      <c r="AW49" s="56" t="e">
        <f>+'Proyectos Base digitable'!#REF!</f>
        <v>#REF!</v>
      </c>
      <c r="AX49" s="56" t="e">
        <f>+'Proyectos Base digitable'!#REF!</f>
        <v>#REF!</v>
      </c>
      <c r="AY49" s="56" t="e">
        <f>+'Proyectos Base digitable'!#REF!</f>
        <v>#REF!</v>
      </c>
      <c r="AZ49" s="188" t="e">
        <f>+'Proyectos Base digitable'!#REF!</f>
        <v>#REF!</v>
      </c>
      <c r="BA49" s="188" t="e">
        <f>+'Proyectos Base digitable'!#REF!</f>
        <v>#REF!</v>
      </c>
    </row>
    <row r="50" spans="1:53" ht="12.5">
      <c r="A50" s="60" t="e">
        <f>+'Proyectos Base digitable'!#REF!</f>
        <v>#REF!</v>
      </c>
      <c r="B50" s="56" t="e">
        <f>+'Proyectos Base digitable'!#REF!</f>
        <v>#REF!</v>
      </c>
      <c r="C50" s="56" t="e">
        <f>+'Proyectos Base digitable'!#REF!</f>
        <v>#REF!</v>
      </c>
      <c r="D50" s="56" t="e">
        <f>+'Proyectos Base digitable'!#REF!</f>
        <v>#REF!</v>
      </c>
      <c r="E50" s="56" t="e">
        <f>+'Proyectos Base digitable'!#REF!</f>
        <v>#REF!</v>
      </c>
      <c r="F50" s="56" t="e">
        <f>+'Proyectos Base digitable'!#REF!</f>
        <v>#REF!</v>
      </c>
      <c r="G50" s="57" t="e">
        <f>+'Proyectos Base digitable'!#REF!</f>
        <v>#REF!</v>
      </c>
      <c r="H50" s="56" t="e">
        <f>+'Proyectos Base digitable'!#REF!</f>
        <v>#REF!</v>
      </c>
      <c r="I50" s="56" t="e">
        <f>+'Proyectos Base digitable'!#REF!</f>
        <v>#REF!</v>
      </c>
      <c r="J50" s="56" t="e">
        <f>+'Proyectos Base digitable'!#REF!</f>
        <v>#REF!</v>
      </c>
      <c r="K50" s="56" t="e">
        <f>+'Proyectos Base digitable'!#REF!</f>
        <v>#REF!</v>
      </c>
      <c r="L50" s="56" t="e">
        <f>+'Proyectos Base digitable'!#REF!</f>
        <v>#REF!</v>
      </c>
      <c r="M50" s="56" t="e">
        <f>+'Proyectos Base digitable'!#REF!</f>
        <v>#REF!</v>
      </c>
      <c r="N50" s="52" t="e">
        <f>+'Proyectos Base digitable'!#REF!</f>
        <v>#REF!</v>
      </c>
      <c r="O50" s="52" t="e">
        <f>+'Proyectos Base digitable'!#REF!</f>
        <v>#REF!</v>
      </c>
      <c r="P50" s="185" t="e">
        <f>+'Proyectos Base digitable'!#REF!</f>
        <v>#REF!</v>
      </c>
      <c r="Q50" s="58" t="e">
        <f>+'Proyectos Base digitable'!#REF!</f>
        <v>#REF!</v>
      </c>
      <c r="R50" s="58" t="e">
        <f>+'Proyectos Base digitable'!#REF!</f>
        <v>#REF!</v>
      </c>
      <c r="S50" s="58" t="e">
        <f>+'Proyectos Base digitable'!#REF!</f>
        <v>#REF!</v>
      </c>
      <c r="T50" s="58" t="e">
        <f>+'Proyectos Base digitable'!#REF!</f>
        <v>#REF!</v>
      </c>
      <c r="U50" s="63" t="e">
        <f>'Proyectos Base digitable'!#REF!</f>
        <v>#REF!</v>
      </c>
      <c r="V50" s="63" t="e">
        <f>'Proyectos Base digitable'!#REF!</f>
        <v>#REF!</v>
      </c>
      <c r="W50" s="63" t="e">
        <f>'Proyectos Base digitable'!#REF!</f>
        <v>#REF!</v>
      </c>
      <c r="X50" s="63" t="e">
        <f>'Proyectos Base digitable'!#REF!</f>
        <v>#REF!</v>
      </c>
      <c r="Y50" s="63" t="e">
        <f>'Proyectos Base digitable'!#REF!</f>
        <v>#REF!</v>
      </c>
      <c r="Z50" s="58" t="e">
        <f>+'Proyectos Base digitable'!#REF!</f>
        <v>#REF!</v>
      </c>
      <c r="AA50" s="58" t="e">
        <f>+'Proyectos Base digitable'!#REF!</f>
        <v>#REF!</v>
      </c>
      <c r="AB50" s="63" t="e">
        <f>'Proyectos Base digitable'!#REF!</f>
        <v>#REF!</v>
      </c>
      <c r="AC50" s="56" t="e">
        <f>+'Proyectos Base digitable'!#REF!</f>
        <v>#REF!</v>
      </c>
      <c r="AD50" s="52" t="e">
        <f>+'Proyectos Base digitable'!#REF!</f>
        <v>#REF!</v>
      </c>
      <c r="AE50" s="52" t="e">
        <f>+'Proyectos Base digitable'!#REF!</f>
        <v>#REF!</v>
      </c>
      <c r="AF50" s="52" t="e">
        <f>+'Proyectos Base digitable'!#REF!</f>
        <v>#REF!</v>
      </c>
      <c r="AG50" s="56" t="e">
        <f>+'Proyectos Base digitable'!#REF!</f>
        <v>#REF!</v>
      </c>
      <c r="AH50" s="52" t="e">
        <f>+'Proyectos Base digitable'!#REF!</f>
        <v>#REF!</v>
      </c>
      <c r="AI50" s="52" t="e">
        <f>+'Proyectos Base digitable'!#REF!</f>
        <v>#REF!</v>
      </c>
      <c r="AJ50" s="59" t="e">
        <f>+'Proyectos Base digitable'!#REF!</f>
        <v>#REF!</v>
      </c>
      <c r="AK50" s="186" t="e">
        <f>+'Proyectos Base digitable'!#REF!</f>
        <v>#REF!</v>
      </c>
      <c r="AL50" s="186" t="e">
        <f>+'Proyectos Base digitable'!#REF!</f>
        <v>#REF!</v>
      </c>
      <c r="AM50" s="186" t="e">
        <f>+'Proyectos Base digitable'!#REF!</f>
        <v>#REF!</v>
      </c>
      <c r="AN50" s="186" t="e">
        <f>+'Proyectos Base digitable'!#REF!</f>
        <v>#REF!</v>
      </c>
      <c r="AO50" s="186" t="e">
        <f>+'Proyectos Base digitable'!#REF!</f>
        <v>#REF!</v>
      </c>
      <c r="AP50" s="186" t="e">
        <f>+'Proyectos Base digitable'!#REF!</f>
        <v>#REF!</v>
      </c>
      <c r="AQ50" s="186" t="e">
        <f>+'Proyectos Base digitable'!#REF!</f>
        <v>#REF!</v>
      </c>
      <c r="AR50" s="186" t="e">
        <f>+'Proyectos Base digitable'!#REF!</f>
        <v>#REF!</v>
      </c>
      <c r="AS50" s="186" t="e">
        <f>+'Proyectos Base digitable'!#REF!</f>
        <v>#REF!</v>
      </c>
      <c r="AT50" s="187" t="e">
        <f>+'Proyectos Base digitable'!#REF!</f>
        <v>#REF!</v>
      </c>
      <c r="AU50" s="56" t="e">
        <f>+'Proyectos Base digitable'!#REF!</f>
        <v>#REF!</v>
      </c>
      <c r="AV50" s="56" t="e">
        <f>+'Proyectos Base digitable'!#REF!</f>
        <v>#REF!</v>
      </c>
      <c r="AW50" s="56" t="e">
        <f>+'Proyectos Base digitable'!#REF!</f>
        <v>#REF!</v>
      </c>
      <c r="AX50" s="56" t="e">
        <f>+'Proyectos Base digitable'!#REF!</f>
        <v>#REF!</v>
      </c>
      <c r="AY50" s="56" t="e">
        <f>+'Proyectos Base digitable'!#REF!</f>
        <v>#REF!</v>
      </c>
      <c r="AZ50" s="188" t="e">
        <f>+'Proyectos Base digitable'!#REF!</f>
        <v>#REF!</v>
      </c>
      <c r="BA50" s="188" t="e">
        <f>+'Proyectos Base digitable'!#REF!</f>
        <v>#REF!</v>
      </c>
    </row>
    <row r="51" spans="1:53" ht="12.5">
      <c r="A51" s="60" t="e">
        <f>+'Proyectos Base digitable'!#REF!</f>
        <v>#REF!</v>
      </c>
      <c r="B51" s="56" t="e">
        <f>+'Proyectos Base digitable'!#REF!</f>
        <v>#REF!</v>
      </c>
      <c r="C51" s="56" t="e">
        <f>+'Proyectos Base digitable'!#REF!</f>
        <v>#REF!</v>
      </c>
      <c r="D51" s="56" t="e">
        <f>+'Proyectos Base digitable'!#REF!</f>
        <v>#REF!</v>
      </c>
      <c r="E51" s="56" t="e">
        <f>+'Proyectos Base digitable'!#REF!</f>
        <v>#REF!</v>
      </c>
      <c r="F51" s="56" t="e">
        <f>+'Proyectos Base digitable'!#REF!</f>
        <v>#REF!</v>
      </c>
      <c r="G51" s="57" t="e">
        <f>+'Proyectos Base digitable'!#REF!</f>
        <v>#REF!</v>
      </c>
      <c r="H51" s="56" t="e">
        <f>+'Proyectos Base digitable'!#REF!</f>
        <v>#REF!</v>
      </c>
      <c r="I51" s="56" t="e">
        <f>+'Proyectos Base digitable'!#REF!</f>
        <v>#REF!</v>
      </c>
      <c r="J51" s="56" t="e">
        <f>+'Proyectos Base digitable'!#REF!</f>
        <v>#REF!</v>
      </c>
      <c r="K51" s="56" t="e">
        <f>+'Proyectos Base digitable'!#REF!</f>
        <v>#REF!</v>
      </c>
      <c r="L51" s="56" t="e">
        <f>+'Proyectos Base digitable'!#REF!</f>
        <v>#REF!</v>
      </c>
      <c r="M51" s="56" t="e">
        <f>+'Proyectos Base digitable'!#REF!</f>
        <v>#REF!</v>
      </c>
      <c r="N51" s="52" t="e">
        <f>+'Proyectos Base digitable'!#REF!</f>
        <v>#REF!</v>
      </c>
      <c r="O51" s="52" t="e">
        <f>+'Proyectos Base digitable'!#REF!</f>
        <v>#REF!</v>
      </c>
      <c r="P51" s="185" t="e">
        <f>+'Proyectos Base digitable'!#REF!</f>
        <v>#REF!</v>
      </c>
      <c r="Q51" s="58" t="e">
        <f>+'Proyectos Base digitable'!#REF!</f>
        <v>#REF!</v>
      </c>
      <c r="R51" s="58" t="e">
        <f>+'Proyectos Base digitable'!#REF!</f>
        <v>#REF!</v>
      </c>
      <c r="S51" s="58" t="e">
        <f>+'Proyectos Base digitable'!#REF!</f>
        <v>#REF!</v>
      </c>
      <c r="T51" s="58" t="e">
        <f>+'Proyectos Base digitable'!#REF!</f>
        <v>#REF!</v>
      </c>
      <c r="U51" s="63" t="e">
        <f>'Proyectos Base digitable'!#REF!</f>
        <v>#REF!</v>
      </c>
      <c r="V51" s="63" t="e">
        <f>'Proyectos Base digitable'!#REF!</f>
        <v>#REF!</v>
      </c>
      <c r="W51" s="63" t="e">
        <f>'Proyectos Base digitable'!#REF!</f>
        <v>#REF!</v>
      </c>
      <c r="X51" s="63" t="e">
        <f>'Proyectos Base digitable'!#REF!</f>
        <v>#REF!</v>
      </c>
      <c r="Y51" s="63" t="e">
        <f>'Proyectos Base digitable'!#REF!</f>
        <v>#REF!</v>
      </c>
      <c r="Z51" s="58" t="e">
        <f>+'Proyectos Base digitable'!#REF!</f>
        <v>#REF!</v>
      </c>
      <c r="AA51" s="58" t="e">
        <f>+'Proyectos Base digitable'!#REF!</f>
        <v>#REF!</v>
      </c>
      <c r="AB51" s="63" t="e">
        <f>'Proyectos Base digitable'!#REF!</f>
        <v>#REF!</v>
      </c>
      <c r="AC51" s="56" t="e">
        <f>+'Proyectos Base digitable'!#REF!</f>
        <v>#REF!</v>
      </c>
      <c r="AD51" s="52" t="e">
        <f>+'Proyectos Base digitable'!#REF!</f>
        <v>#REF!</v>
      </c>
      <c r="AE51" s="52" t="e">
        <f>+'Proyectos Base digitable'!#REF!</f>
        <v>#REF!</v>
      </c>
      <c r="AF51" s="52" t="e">
        <f>+'Proyectos Base digitable'!#REF!</f>
        <v>#REF!</v>
      </c>
      <c r="AG51" s="56" t="e">
        <f>+'Proyectos Base digitable'!#REF!</f>
        <v>#REF!</v>
      </c>
      <c r="AH51" s="52" t="e">
        <f>+'Proyectos Base digitable'!#REF!</f>
        <v>#REF!</v>
      </c>
      <c r="AI51" s="52" t="e">
        <f>+'Proyectos Base digitable'!#REF!</f>
        <v>#REF!</v>
      </c>
      <c r="AJ51" s="59" t="e">
        <f>+'Proyectos Base digitable'!#REF!</f>
        <v>#REF!</v>
      </c>
      <c r="AK51" s="186" t="e">
        <f>+'Proyectos Base digitable'!#REF!</f>
        <v>#REF!</v>
      </c>
      <c r="AL51" s="186" t="e">
        <f>+'Proyectos Base digitable'!#REF!</f>
        <v>#REF!</v>
      </c>
      <c r="AM51" s="186" t="e">
        <f>+'Proyectos Base digitable'!#REF!</f>
        <v>#REF!</v>
      </c>
      <c r="AN51" s="186" t="e">
        <f>+'Proyectos Base digitable'!#REF!</f>
        <v>#REF!</v>
      </c>
      <c r="AO51" s="186" t="e">
        <f>+'Proyectos Base digitable'!#REF!</f>
        <v>#REF!</v>
      </c>
      <c r="AP51" s="186" t="e">
        <f>+'Proyectos Base digitable'!#REF!</f>
        <v>#REF!</v>
      </c>
      <c r="AQ51" s="186" t="e">
        <f>+'Proyectos Base digitable'!#REF!</f>
        <v>#REF!</v>
      </c>
      <c r="AR51" s="186" t="e">
        <f>+'Proyectos Base digitable'!#REF!</f>
        <v>#REF!</v>
      </c>
      <c r="AS51" s="186" t="e">
        <f>+'Proyectos Base digitable'!#REF!</f>
        <v>#REF!</v>
      </c>
      <c r="AT51" s="187" t="e">
        <f>+'Proyectos Base digitable'!#REF!</f>
        <v>#REF!</v>
      </c>
      <c r="AU51" s="56" t="e">
        <f>+'Proyectos Base digitable'!#REF!</f>
        <v>#REF!</v>
      </c>
      <c r="AV51" s="56" t="e">
        <f>+'Proyectos Base digitable'!#REF!</f>
        <v>#REF!</v>
      </c>
      <c r="AW51" s="56" t="e">
        <f>+'Proyectos Base digitable'!#REF!</f>
        <v>#REF!</v>
      </c>
      <c r="AX51" s="56" t="e">
        <f>+'Proyectos Base digitable'!#REF!</f>
        <v>#REF!</v>
      </c>
      <c r="AY51" s="56" t="e">
        <f>+'Proyectos Base digitable'!#REF!</f>
        <v>#REF!</v>
      </c>
      <c r="AZ51" s="188" t="e">
        <f>+'Proyectos Base digitable'!#REF!</f>
        <v>#REF!</v>
      </c>
      <c r="BA51" s="188" t="e">
        <f>+'Proyectos Base digitable'!#REF!</f>
        <v>#REF!</v>
      </c>
    </row>
    <row r="52" spans="1:53" ht="12.5">
      <c r="A52" s="60" t="e">
        <f>+'Proyectos Base digitable'!#REF!</f>
        <v>#REF!</v>
      </c>
      <c r="B52" s="56" t="e">
        <f>+'Proyectos Base digitable'!#REF!</f>
        <v>#REF!</v>
      </c>
      <c r="C52" s="56" t="e">
        <f>+'Proyectos Base digitable'!#REF!</f>
        <v>#REF!</v>
      </c>
      <c r="D52" s="56" t="e">
        <f>+'Proyectos Base digitable'!#REF!</f>
        <v>#REF!</v>
      </c>
      <c r="E52" s="56" t="e">
        <f>+'Proyectos Base digitable'!#REF!</f>
        <v>#REF!</v>
      </c>
      <c r="F52" s="56" t="e">
        <f>+'Proyectos Base digitable'!#REF!</f>
        <v>#REF!</v>
      </c>
      <c r="G52" s="57" t="e">
        <f>+'Proyectos Base digitable'!#REF!</f>
        <v>#REF!</v>
      </c>
      <c r="H52" s="56" t="e">
        <f>+'Proyectos Base digitable'!#REF!</f>
        <v>#REF!</v>
      </c>
      <c r="I52" s="56" t="e">
        <f>+'Proyectos Base digitable'!#REF!</f>
        <v>#REF!</v>
      </c>
      <c r="J52" s="56" t="e">
        <f>+'Proyectos Base digitable'!#REF!</f>
        <v>#REF!</v>
      </c>
      <c r="K52" s="56" t="e">
        <f>+'Proyectos Base digitable'!#REF!</f>
        <v>#REF!</v>
      </c>
      <c r="L52" s="56" t="e">
        <f>+'Proyectos Base digitable'!#REF!</f>
        <v>#REF!</v>
      </c>
      <c r="M52" s="56" t="e">
        <f>+'Proyectos Base digitable'!#REF!</f>
        <v>#REF!</v>
      </c>
      <c r="N52" s="52" t="e">
        <f>+'Proyectos Base digitable'!#REF!</f>
        <v>#REF!</v>
      </c>
      <c r="O52" s="52" t="e">
        <f>+'Proyectos Base digitable'!#REF!</f>
        <v>#REF!</v>
      </c>
      <c r="P52" s="185" t="e">
        <f>+'Proyectos Base digitable'!#REF!</f>
        <v>#REF!</v>
      </c>
      <c r="Q52" s="58" t="e">
        <f>+'Proyectos Base digitable'!#REF!</f>
        <v>#REF!</v>
      </c>
      <c r="R52" s="58" t="e">
        <f>+'Proyectos Base digitable'!#REF!</f>
        <v>#REF!</v>
      </c>
      <c r="S52" s="58" t="e">
        <f>+'Proyectos Base digitable'!#REF!</f>
        <v>#REF!</v>
      </c>
      <c r="T52" s="58" t="e">
        <f>+'Proyectos Base digitable'!#REF!</f>
        <v>#REF!</v>
      </c>
      <c r="U52" s="63" t="e">
        <f>'Proyectos Base digitable'!#REF!</f>
        <v>#REF!</v>
      </c>
      <c r="V52" s="63" t="e">
        <f>'Proyectos Base digitable'!#REF!</f>
        <v>#REF!</v>
      </c>
      <c r="W52" s="63" t="e">
        <f>'Proyectos Base digitable'!#REF!</f>
        <v>#REF!</v>
      </c>
      <c r="X52" s="63" t="e">
        <f>'Proyectos Base digitable'!#REF!</f>
        <v>#REF!</v>
      </c>
      <c r="Y52" s="63" t="e">
        <f>'Proyectos Base digitable'!#REF!</f>
        <v>#REF!</v>
      </c>
      <c r="Z52" s="58" t="e">
        <f>+'Proyectos Base digitable'!#REF!</f>
        <v>#REF!</v>
      </c>
      <c r="AA52" s="58" t="e">
        <f>+'Proyectos Base digitable'!#REF!</f>
        <v>#REF!</v>
      </c>
      <c r="AB52" s="63" t="e">
        <f>'Proyectos Base digitable'!#REF!</f>
        <v>#REF!</v>
      </c>
      <c r="AC52" s="56" t="e">
        <f>+'Proyectos Base digitable'!#REF!</f>
        <v>#REF!</v>
      </c>
      <c r="AD52" s="52" t="e">
        <f>+'Proyectos Base digitable'!#REF!</f>
        <v>#REF!</v>
      </c>
      <c r="AE52" s="52" t="e">
        <f>+'Proyectos Base digitable'!#REF!</f>
        <v>#REF!</v>
      </c>
      <c r="AF52" s="52" t="e">
        <f>+'Proyectos Base digitable'!#REF!</f>
        <v>#REF!</v>
      </c>
      <c r="AG52" s="56" t="e">
        <f>+'Proyectos Base digitable'!#REF!</f>
        <v>#REF!</v>
      </c>
      <c r="AH52" s="52" t="e">
        <f>+'Proyectos Base digitable'!#REF!</f>
        <v>#REF!</v>
      </c>
      <c r="AI52" s="52" t="e">
        <f>+'Proyectos Base digitable'!#REF!</f>
        <v>#REF!</v>
      </c>
      <c r="AJ52" s="59" t="e">
        <f>+'Proyectos Base digitable'!#REF!</f>
        <v>#REF!</v>
      </c>
      <c r="AK52" s="186" t="e">
        <f>+'Proyectos Base digitable'!#REF!</f>
        <v>#REF!</v>
      </c>
      <c r="AL52" s="186" t="e">
        <f>+'Proyectos Base digitable'!#REF!</f>
        <v>#REF!</v>
      </c>
      <c r="AM52" s="186" t="e">
        <f>+'Proyectos Base digitable'!#REF!</f>
        <v>#REF!</v>
      </c>
      <c r="AN52" s="186" t="e">
        <f>+'Proyectos Base digitable'!#REF!</f>
        <v>#REF!</v>
      </c>
      <c r="AO52" s="186" t="e">
        <f>+'Proyectos Base digitable'!#REF!</f>
        <v>#REF!</v>
      </c>
      <c r="AP52" s="186" t="e">
        <f>+'Proyectos Base digitable'!#REF!</f>
        <v>#REF!</v>
      </c>
      <c r="AQ52" s="186" t="e">
        <f>+'Proyectos Base digitable'!#REF!</f>
        <v>#REF!</v>
      </c>
      <c r="AR52" s="186" t="e">
        <f>+'Proyectos Base digitable'!#REF!</f>
        <v>#REF!</v>
      </c>
      <c r="AS52" s="186" t="e">
        <f>+'Proyectos Base digitable'!#REF!</f>
        <v>#REF!</v>
      </c>
      <c r="AT52" s="187" t="e">
        <f>+'Proyectos Base digitable'!#REF!</f>
        <v>#REF!</v>
      </c>
      <c r="AU52" s="56" t="e">
        <f>+'Proyectos Base digitable'!#REF!</f>
        <v>#REF!</v>
      </c>
      <c r="AV52" s="56" t="e">
        <f>+'Proyectos Base digitable'!#REF!</f>
        <v>#REF!</v>
      </c>
      <c r="AW52" s="56" t="e">
        <f>+'Proyectos Base digitable'!#REF!</f>
        <v>#REF!</v>
      </c>
      <c r="AX52" s="56" t="e">
        <f>+'Proyectos Base digitable'!#REF!</f>
        <v>#REF!</v>
      </c>
      <c r="AY52" s="56" t="e">
        <f>+'Proyectos Base digitable'!#REF!</f>
        <v>#REF!</v>
      </c>
      <c r="AZ52" s="188" t="e">
        <f>+'Proyectos Base digitable'!#REF!</f>
        <v>#REF!</v>
      </c>
      <c r="BA52" s="188" t="e">
        <f>+'Proyectos Base digitable'!#REF!</f>
        <v>#REF!</v>
      </c>
    </row>
    <row r="53" spans="1:53" ht="12.5">
      <c r="A53" s="60" t="e">
        <f>+'Proyectos Base digitable'!#REF!</f>
        <v>#REF!</v>
      </c>
      <c r="B53" s="56" t="e">
        <f>+'Proyectos Base digitable'!#REF!</f>
        <v>#REF!</v>
      </c>
      <c r="C53" s="56" t="e">
        <f>+'Proyectos Base digitable'!#REF!</f>
        <v>#REF!</v>
      </c>
      <c r="D53" s="56" t="e">
        <f>+'Proyectos Base digitable'!#REF!</f>
        <v>#REF!</v>
      </c>
      <c r="E53" s="56" t="e">
        <f>+'Proyectos Base digitable'!#REF!</f>
        <v>#REF!</v>
      </c>
      <c r="F53" s="56" t="e">
        <f>+'Proyectos Base digitable'!#REF!</f>
        <v>#REF!</v>
      </c>
      <c r="G53" s="57" t="e">
        <f>+'Proyectos Base digitable'!#REF!</f>
        <v>#REF!</v>
      </c>
      <c r="H53" s="56" t="e">
        <f>+'Proyectos Base digitable'!#REF!</f>
        <v>#REF!</v>
      </c>
      <c r="I53" s="56" t="e">
        <f>+'Proyectos Base digitable'!#REF!</f>
        <v>#REF!</v>
      </c>
      <c r="J53" s="56" t="e">
        <f>+'Proyectos Base digitable'!#REF!</f>
        <v>#REF!</v>
      </c>
      <c r="K53" s="56" t="e">
        <f>+'Proyectos Base digitable'!#REF!</f>
        <v>#REF!</v>
      </c>
      <c r="L53" s="56" t="e">
        <f>+'Proyectos Base digitable'!#REF!</f>
        <v>#REF!</v>
      </c>
      <c r="M53" s="56" t="e">
        <f>+'Proyectos Base digitable'!#REF!</f>
        <v>#REF!</v>
      </c>
      <c r="N53" s="52" t="e">
        <f>+'Proyectos Base digitable'!#REF!</f>
        <v>#REF!</v>
      </c>
      <c r="O53" s="52" t="e">
        <f>+'Proyectos Base digitable'!#REF!</f>
        <v>#REF!</v>
      </c>
      <c r="P53" s="185" t="e">
        <f>+'Proyectos Base digitable'!#REF!</f>
        <v>#REF!</v>
      </c>
      <c r="Q53" s="58" t="e">
        <f>+'Proyectos Base digitable'!#REF!</f>
        <v>#REF!</v>
      </c>
      <c r="R53" s="58" t="e">
        <f>+'Proyectos Base digitable'!#REF!</f>
        <v>#REF!</v>
      </c>
      <c r="S53" s="58" t="e">
        <f>+'Proyectos Base digitable'!#REF!</f>
        <v>#REF!</v>
      </c>
      <c r="T53" s="58" t="e">
        <f>+'Proyectos Base digitable'!#REF!</f>
        <v>#REF!</v>
      </c>
      <c r="U53" s="63" t="e">
        <f>'Proyectos Base digitable'!#REF!</f>
        <v>#REF!</v>
      </c>
      <c r="V53" s="63" t="e">
        <f>'Proyectos Base digitable'!#REF!</f>
        <v>#REF!</v>
      </c>
      <c r="W53" s="63" t="e">
        <f>'Proyectos Base digitable'!#REF!</f>
        <v>#REF!</v>
      </c>
      <c r="X53" s="63" t="e">
        <f>'Proyectos Base digitable'!#REF!</f>
        <v>#REF!</v>
      </c>
      <c r="Y53" s="63" t="e">
        <f>'Proyectos Base digitable'!#REF!</f>
        <v>#REF!</v>
      </c>
      <c r="Z53" s="58" t="e">
        <f>+'Proyectos Base digitable'!#REF!</f>
        <v>#REF!</v>
      </c>
      <c r="AA53" s="58" t="e">
        <f>+'Proyectos Base digitable'!#REF!</f>
        <v>#REF!</v>
      </c>
      <c r="AB53" s="63" t="e">
        <f>'Proyectos Base digitable'!#REF!</f>
        <v>#REF!</v>
      </c>
      <c r="AC53" s="56" t="e">
        <f>+'Proyectos Base digitable'!#REF!</f>
        <v>#REF!</v>
      </c>
      <c r="AD53" s="52" t="e">
        <f>+'Proyectos Base digitable'!#REF!</f>
        <v>#REF!</v>
      </c>
      <c r="AE53" s="52" t="e">
        <f>+'Proyectos Base digitable'!#REF!</f>
        <v>#REF!</v>
      </c>
      <c r="AF53" s="52" t="e">
        <f>+'Proyectos Base digitable'!#REF!</f>
        <v>#REF!</v>
      </c>
      <c r="AG53" s="56" t="e">
        <f>+'Proyectos Base digitable'!#REF!</f>
        <v>#REF!</v>
      </c>
      <c r="AH53" s="52" t="e">
        <f>+'Proyectos Base digitable'!#REF!</f>
        <v>#REF!</v>
      </c>
      <c r="AI53" s="52" t="e">
        <f>+'Proyectos Base digitable'!#REF!</f>
        <v>#REF!</v>
      </c>
      <c r="AJ53" s="59" t="e">
        <f>+'Proyectos Base digitable'!#REF!</f>
        <v>#REF!</v>
      </c>
      <c r="AK53" s="186" t="e">
        <f>+'Proyectos Base digitable'!#REF!</f>
        <v>#REF!</v>
      </c>
      <c r="AL53" s="186" t="e">
        <f>+'Proyectos Base digitable'!#REF!</f>
        <v>#REF!</v>
      </c>
      <c r="AM53" s="186" t="e">
        <f>+'Proyectos Base digitable'!#REF!</f>
        <v>#REF!</v>
      </c>
      <c r="AN53" s="186" t="e">
        <f>+'Proyectos Base digitable'!#REF!</f>
        <v>#REF!</v>
      </c>
      <c r="AO53" s="186" t="e">
        <f>+'Proyectos Base digitable'!#REF!</f>
        <v>#REF!</v>
      </c>
      <c r="AP53" s="186" t="e">
        <f>+'Proyectos Base digitable'!#REF!</f>
        <v>#REF!</v>
      </c>
      <c r="AQ53" s="186" t="e">
        <f>+'Proyectos Base digitable'!#REF!</f>
        <v>#REF!</v>
      </c>
      <c r="AR53" s="186" t="e">
        <f>+'Proyectos Base digitable'!#REF!</f>
        <v>#REF!</v>
      </c>
      <c r="AS53" s="186" t="e">
        <f>+'Proyectos Base digitable'!#REF!</f>
        <v>#REF!</v>
      </c>
      <c r="AT53" s="187" t="e">
        <f>+'Proyectos Base digitable'!#REF!</f>
        <v>#REF!</v>
      </c>
      <c r="AU53" s="56" t="e">
        <f>+'Proyectos Base digitable'!#REF!</f>
        <v>#REF!</v>
      </c>
      <c r="AV53" s="56" t="e">
        <f>+'Proyectos Base digitable'!#REF!</f>
        <v>#REF!</v>
      </c>
      <c r="AW53" s="56" t="e">
        <f>+'Proyectos Base digitable'!#REF!</f>
        <v>#REF!</v>
      </c>
      <c r="AX53" s="56" t="e">
        <f>+'Proyectos Base digitable'!#REF!</f>
        <v>#REF!</v>
      </c>
      <c r="AY53" s="56" t="e">
        <f>+'Proyectos Base digitable'!#REF!</f>
        <v>#REF!</v>
      </c>
      <c r="AZ53" s="188" t="e">
        <f>+'Proyectos Base digitable'!#REF!</f>
        <v>#REF!</v>
      </c>
      <c r="BA53" s="188" t="e">
        <f>+'Proyectos Base digitable'!#REF!</f>
        <v>#REF!</v>
      </c>
    </row>
    <row r="54" spans="1:53" ht="12.5">
      <c r="A54" s="60" t="e">
        <f>+'Proyectos Base digitable'!#REF!</f>
        <v>#REF!</v>
      </c>
      <c r="B54" s="56" t="e">
        <f>+'Proyectos Base digitable'!#REF!</f>
        <v>#REF!</v>
      </c>
      <c r="C54" s="56" t="e">
        <f>+'Proyectos Base digitable'!#REF!</f>
        <v>#REF!</v>
      </c>
      <c r="D54" s="56" t="e">
        <f>+'Proyectos Base digitable'!#REF!</f>
        <v>#REF!</v>
      </c>
      <c r="E54" s="56" t="e">
        <f>+'Proyectos Base digitable'!#REF!</f>
        <v>#REF!</v>
      </c>
      <c r="F54" s="56" t="e">
        <f>+'Proyectos Base digitable'!#REF!</f>
        <v>#REF!</v>
      </c>
      <c r="G54" s="57" t="e">
        <f>+'Proyectos Base digitable'!#REF!</f>
        <v>#REF!</v>
      </c>
      <c r="H54" s="56" t="e">
        <f>+'Proyectos Base digitable'!#REF!</f>
        <v>#REF!</v>
      </c>
      <c r="I54" s="56" t="e">
        <f>+'Proyectos Base digitable'!#REF!</f>
        <v>#REF!</v>
      </c>
      <c r="J54" s="56" t="e">
        <f>+'Proyectos Base digitable'!#REF!</f>
        <v>#REF!</v>
      </c>
      <c r="K54" s="56" t="e">
        <f>+'Proyectos Base digitable'!#REF!</f>
        <v>#REF!</v>
      </c>
      <c r="L54" s="56" t="e">
        <f>+'Proyectos Base digitable'!#REF!</f>
        <v>#REF!</v>
      </c>
      <c r="M54" s="56" t="e">
        <f>+'Proyectos Base digitable'!#REF!</f>
        <v>#REF!</v>
      </c>
      <c r="N54" s="52" t="e">
        <f>+'Proyectos Base digitable'!#REF!</f>
        <v>#REF!</v>
      </c>
      <c r="O54" s="52" t="e">
        <f>+'Proyectos Base digitable'!#REF!</f>
        <v>#REF!</v>
      </c>
      <c r="P54" s="185" t="e">
        <f>+'Proyectos Base digitable'!#REF!</f>
        <v>#REF!</v>
      </c>
      <c r="Q54" s="58" t="e">
        <f>+'Proyectos Base digitable'!#REF!</f>
        <v>#REF!</v>
      </c>
      <c r="R54" s="58" t="e">
        <f>+'Proyectos Base digitable'!#REF!</f>
        <v>#REF!</v>
      </c>
      <c r="S54" s="58" t="e">
        <f>+'Proyectos Base digitable'!#REF!</f>
        <v>#REF!</v>
      </c>
      <c r="T54" s="58" t="e">
        <f>+'Proyectos Base digitable'!#REF!</f>
        <v>#REF!</v>
      </c>
      <c r="U54" s="63" t="e">
        <f>'Proyectos Base digitable'!#REF!</f>
        <v>#REF!</v>
      </c>
      <c r="V54" s="63" t="e">
        <f>'Proyectos Base digitable'!#REF!</f>
        <v>#REF!</v>
      </c>
      <c r="W54" s="63" t="e">
        <f>'Proyectos Base digitable'!#REF!</f>
        <v>#REF!</v>
      </c>
      <c r="X54" s="63" t="e">
        <f>'Proyectos Base digitable'!#REF!</f>
        <v>#REF!</v>
      </c>
      <c r="Y54" s="63" t="e">
        <f>'Proyectos Base digitable'!#REF!</f>
        <v>#REF!</v>
      </c>
      <c r="Z54" s="58" t="e">
        <f>+'Proyectos Base digitable'!#REF!</f>
        <v>#REF!</v>
      </c>
      <c r="AA54" s="58" t="e">
        <f>+'Proyectos Base digitable'!#REF!</f>
        <v>#REF!</v>
      </c>
      <c r="AB54" s="63" t="e">
        <f>'Proyectos Base digitable'!#REF!</f>
        <v>#REF!</v>
      </c>
      <c r="AC54" s="56" t="e">
        <f>+'Proyectos Base digitable'!#REF!</f>
        <v>#REF!</v>
      </c>
      <c r="AD54" s="52" t="e">
        <f>+'Proyectos Base digitable'!#REF!</f>
        <v>#REF!</v>
      </c>
      <c r="AE54" s="52" t="e">
        <f>+'Proyectos Base digitable'!#REF!</f>
        <v>#REF!</v>
      </c>
      <c r="AF54" s="52" t="e">
        <f>+'Proyectos Base digitable'!#REF!</f>
        <v>#REF!</v>
      </c>
      <c r="AG54" s="56" t="e">
        <f>+'Proyectos Base digitable'!#REF!</f>
        <v>#REF!</v>
      </c>
      <c r="AH54" s="52" t="e">
        <f>+'Proyectos Base digitable'!#REF!</f>
        <v>#REF!</v>
      </c>
      <c r="AI54" s="52" t="e">
        <f>+'Proyectos Base digitable'!#REF!</f>
        <v>#REF!</v>
      </c>
      <c r="AJ54" s="59" t="e">
        <f>+'Proyectos Base digitable'!#REF!</f>
        <v>#REF!</v>
      </c>
      <c r="AK54" s="186" t="e">
        <f>+'Proyectos Base digitable'!#REF!</f>
        <v>#REF!</v>
      </c>
      <c r="AL54" s="186" t="e">
        <f>+'Proyectos Base digitable'!#REF!</f>
        <v>#REF!</v>
      </c>
      <c r="AM54" s="186" t="e">
        <f>+'Proyectos Base digitable'!#REF!</f>
        <v>#REF!</v>
      </c>
      <c r="AN54" s="186" t="e">
        <f>+'Proyectos Base digitable'!#REF!</f>
        <v>#REF!</v>
      </c>
      <c r="AO54" s="186" t="e">
        <f>+'Proyectos Base digitable'!#REF!</f>
        <v>#REF!</v>
      </c>
      <c r="AP54" s="186" t="e">
        <f>+'Proyectos Base digitable'!#REF!</f>
        <v>#REF!</v>
      </c>
      <c r="AQ54" s="186" t="e">
        <f>+'Proyectos Base digitable'!#REF!</f>
        <v>#REF!</v>
      </c>
      <c r="AR54" s="186" t="e">
        <f>+'Proyectos Base digitable'!#REF!</f>
        <v>#REF!</v>
      </c>
      <c r="AS54" s="186" t="e">
        <f>+'Proyectos Base digitable'!#REF!</f>
        <v>#REF!</v>
      </c>
      <c r="AT54" s="187" t="e">
        <f>+'Proyectos Base digitable'!#REF!</f>
        <v>#REF!</v>
      </c>
      <c r="AU54" s="56" t="e">
        <f>+'Proyectos Base digitable'!#REF!</f>
        <v>#REF!</v>
      </c>
      <c r="AV54" s="56" t="e">
        <f>+'Proyectos Base digitable'!#REF!</f>
        <v>#REF!</v>
      </c>
      <c r="AW54" s="56" t="e">
        <f>+'Proyectos Base digitable'!#REF!</f>
        <v>#REF!</v>
      </c>
      <c r="AX54" s="56" t="e">
        <f>+'Proyectos Base digitable'!#REF!</f>
        <v>#REF!</v>
      </c>
      <c r="AY54" s="56" t="e">
        <f>+'Proyectos Base digitable'!#REF!</f>
        <v>#REF!</v>
      </c>
      <c r="AZ54" s="188" t="e">
        <f>+'Proyectos Base digitable'!#REF!</f>
        <v>#REF!</v>
      </c>
      <c r="BA54" s="188" t="e">
        <f>+'Proyectos Base digitable'!#REF!</f>
        <v>#REF!</v>
      </c>
    </row>
    <row r="55" spans="1:53" ht="15.65" customHeight="1">
      <c r="A55" s="60" t="e">
        <f>+'Proyectos Base digitable'!#REF!</f>
        <v>#REF!</v>
      </c>
      <c r="B55" s="56" t="e">
        <f>+'Proyectos Base digitable'!#REF!</f>
        <v>#REF!</v>
      </c>
      <c r="C55" s="56" t="e">
        <f>+'Proyectos Base digitable'!#REF!</f>
        <v>#REF!</v>
      </c>
      <c r="D55" s="56" t="e">
        <f>+'Proyectos Base digitable'!#REF!</f>
        <v>#REF!</v>
      </c>
      <c r="E55" s="56" t="e">
        <f>+'Proyectos Base digitable'!#REF!</f>
        <v>#REF!</v>
      </c>
      <c r="F55" s="56" t="e">
        <f>+'Proyectos Base digitable'!#REF!</f>
        <v>#REF!</v>
      </c>
      <c r="G55" s="57" t="e">
        <f>+'Proyectos Base digitable'!#REF!</f>
        <v>#REF!</v>
      </c>
      <c r="H55" s="56" t="e">
        <f>+'Proyectos Base digitable'!#REF!</f>
        <v>#REF!</v>
      </c>
      <c r="I55" s="56" t="e">
        <f>+'Proyectos Base digitable'!#REF!</f>
        <v>#REF!</v>
      </c>
      <c r="J55" s="56" t="e">
        <f>+'Proyectos Base digitable'!#REF!</f>
        <v>#REF!</v>
      </c>
      <c r="K55" s="56" t="e">
        <f>+'Proyectos Base digitable'!#REF!</f>
        <v>#REF!</v>
      </c>
      <c r="L55" s="56" t="e">
        <f>+'Proyectos Base digitable'!#REF!</f>
        <v>#REF!</v>
      </c>
      <c r="M55" s="56" t="e">
        <f>+'Proyectos Base digitable'!#REF!</f>
        <v>#REF!</v>
      </c>
      <c r="N55" s="52" t="e">
        <f>+'Proyectos Base digitable'!#REF!</f>
        <v>#REF!</v>
      </c>
      <c r="O55" s="52" t="e">
        <f>+'Proyectos Base digitable'!#REF!</f>
        <v>#REF!</v>
      </c>
      <c r="P55" s="185" t="e">
        <f>+'Proyectos Base digitable'!#REF!</f>
        <v>#REF!</v>
      </c>
      <c r="Q55" s="58" t="e">
        <f>+'Proyectos Base digitable'!#REF!</f>
        <v>#REF!</v>
      </c>
      <c r="R55" s="58" t="e">
        <f>+'Proyectos Base digitable'!#REF!</f>
        <v>#REF!</v>
      </c>
      <c r="S55" s="58" t="e">
        <f>+'Proyectos Base digitable'!#REF!</f>
        <v>#REF!</v>
      </c>
      <c r="T55" s="58" t="e">
        <f>+'Proyectos Base digitable'!#REF!</f>
        <v>#REF!</v>
      </c>
      <c r="U55" s="63" t="e">
        <f>'Proyectos Base digitable'!#REF!</f>
        <v>#REF!</v>
      </c>
      <c r="V55" s="63" t="e">
        <f>'Proyectos Base digitable'!#REF!</f>
        <v>#REF!</v>
      </c>
      <c r="W55" s="63" t="e">
        <f>'Proyectos Base digitable'!#REF!</f>
        <v>#REF!</v>
      </c>
      <c r="X55" s="63" t="e">
        <f>'Proyectos Base digitable'!#REF!</f>
        <v>#REF!</v>
      </c>
      <c r="Y55" s="63" t="e">
        <f>'Proyectos Base digitable'!#REF!</f>
        <v>#REF!</v>
      </c>
      <c r="Z55" s="58" t="e">
        <f>+'Proyectos Base digitable'!#REF!</f>
        <v>#REF!</v>
      </c>
      <c r="AA55" s="58" t="e">
        <f>+'Proyectos Base digitable'!#REF!</f>
        <v>#REF!</v>
      </c>
      <c r="AB55" s="63" t="e">
        <f>'Proyectos Base digitable'!#REF!</f>
        <v>#REF!</v>
      </c>
      <c r="AC55" s="56" t="e">
        <f>+'Proyectos Base digitable'!#REF!</f>
        <v>#REF!</v>
      </c>
      <c r="AD55" s="52" t="e">
        <f>+'Proyectos Base digitable'!#REF!</f>
        <v>#REF!</v>
      </c>
      <c r="AE55" s="52" t="e">
        <f>+'Proyectos Base digitable'!#REF!</f>
        <v>#REF!</v>
      </c>
      <c r="AF55" s="52" t="e">
        <f>+'Proyectos Base digitable'!#REF!</f>
        <v>#REF!</v>
      </c>
      <c r="AG55" s="56" t="e">
        <f>+'Proyectos Base digitable'!#REF!</f>
        <v>#REF!</v>
      </c>
      <c r="AH55" s="52" t="e">
        <f>+'Proyectos Base digitable'!#REF!</f>
        <v>#REF!</v>
      </c>
      <c r="AI55" s="52" t="e">
        <f>+'Proyectos Base digitable'!#REF!</f>
        <v>#REF!</v>
      </c>
      <c r="AJ55" s="59" t="e">
        <f>+'Proyectos Base digitable'!#REF!</f>
        <v>#REF!</v>
      </c>
      <c r="AK55" s="186" t="e">
        <f>+'Proyectos Base digitable'!#REF!</f>
        <v>#REF!</v>
      </c>
      <c r="AL55" s="186" t="e">
        <f>+'Proyectos Base digitable'!#REF!</f>
        <v>#REF!</v>
      </c>
      <c r="AM55" s="186" t="e">
        <f>+'Proyectos Base digitable'!#REF!</f>
        <v>#REF!</v>
      </c>
      <c r="AN55" s="186" t="e">
        <f>+'Proyectos Base digitable'!#REF!</f>
        <v>#REF!</v>
      </c>
      <c r="AO55" s="186" t="e">
        <f>+'Proyectos Base digitable'!#REF!</f>
        <v>#REF!</v>
      </c>
      <c r="AP55" s="186" t="e">
        <f>+'Proyectos Base digitable'!#REF!</f>
        <v>#REF!</v>
      </c>
      <c r="AQ55" s="186" t="e">
        <f>+'Proyectos Base digitable'!#REF!</f>
        <v>#REF!</v>
      </c>
      <c r="AR55" s="186" t="e">
        <f>+'Proyectos Base digitable'!#REF!</f>
        <v>#REF!</v>
      </c>
      <c r="AS55" s="186" t="e">
        <f>+'Proyectos Base digitable'!#REF!</f>
        <v>#REF!</v>
      </c>
      <c r="AT55" s="187" t="e">
        <f>+'Proyectos Base digitable'!#REF!</f>
        <v>#REF!</v>
      </c>
      <c r="AU55" s="56" t="e">
        <f>+'Proyectos Base digitable'!#REF!</f>
        <v>#REF!</v>
      </c>
      <c r="AV55" s="56" t="e">
        <f>+'Proyectos Base digitable'!#REF!</f>
        <v>#REF!</v>
      </c>
      <c r="AW55" s="56" t="e">
        <f>+'Proyectos Base digitable'!#REF!</f>
        <v>#REF!</v>
      </c>
      <c r="AX55" s="56" t="e">
        <f>+'Proyectos Base digitable'!#REF!</f>
        <v>#REF!</v>
      </c>
      <c r="AY55" s="56" t="e">
        <f>+'Proyectos Base digitable'!#REF!</f>
        <v>#REF!</v>
      </c>
      <c r="AZ55" s="188" t="e">
        <f>+'Proyectos Base digitable'!#REF!</f>
        <v>#REF!</v>
      </c>
      <c r="BA55" s="188" t="e">
        <f>+'Proyectos Base digitable'!#REF!</f>
        <v>#REF!</v>
      </c>
    </row>
    <row r="56" spans="1:53" ht="12.5">
      <c r="A56" s="60" t="e">
        <f>+'Proyectos Base digitable'!#REF!</f>
        <v>#REF!</v>
      </c>
      <c r="B56" s="56" t="e">
        <f>+'Proyectos Base digitable'!#REF!</f>
        <v>#REF!</v>
      </c>
      <c r="C56" s="56" t="e">
        <f>+'Proyectos Base digitable'!#REF!</f>
        <v>#REF!</v>
      </c>
      <c r="D56" s="56" t="e">
        <f>+'Proyectos Base digitable'!#REF!</f>
        <v>#REF!</v>
      </c>
      <c r="E56" s="56" t="e">
        <f>+'Proyectos Base digitable'!#REF!</f>
        <v>#REF!</v>
      </c>
      <c r="F56" s="56" t="e">
        <f>+'Proyectos Base digitable'!#REF!</f>
        <v>#REF!</v>
      </c>
      <c r="G56" s="57" t="e">
        <f>+'Proyectos Base digitable'!#REF!</f>
        <v>#REF!</v>
      </c>
      <c r="H56" s="56" t="e">
        <f>+'Proyectos Base digitable'!#REF!</f>
        <v>#REF!</v>
      </c>
      <c r="I56" s="56" t="e">
        <f>+'Proyectos Base digitable'!#REF!</f>
        <v>#REF!</v>
      </c>
      <c r="J56" s="56" t="e">
        <f>+'Proyectos Base digitable'!#REF!</f>
        <v>#REF!</v>
      </c>
      <c r="K56" s="56" t="e">
        <f>+'Proyectos Base digitable'!#REF!</f>
        <v>#REF!</v>
      </c>
      <c r="L56" s="56" t="e">
        <f>+'Proyectos Base digitable'!#REF!</f>
        <v>#REF!</v>
      </c>
      <c r="M56" s="56" t="e">
        <f>+'Proyectos Base digitable'!#REF!</f>
        <v>#REF!</v>
      </c>
      <c r="N56" s="52" t="e">
        <f>+'Proyectos Base digitable'!#REF!</f>
        <v>#REF!</v>
      </c>
      <c r="O56" s="52" t="e">
        <f>+'Proyectos Base digitable'!#REF!</f>
        <v>#REF!</v>
      </c>
      <c r="P56" s="185" t="e">
        <f>+'Proyectos Base digitable'!#REF!</f>
        <v>#REF!</v>
      </c>
      <c r="Q56" s="58" t="e">
        <f>+'Proyectos Base digitable'!#REF!</f>
        <v>#REF!</v>
      </c>
      <c r="R56" s="58" t="e">
        <f>+'Proyectos Base digitable'!#REF!</f>
        <v>#REF!</v>
      </c>
      <c r="S56" s="58" t="e">
        <f>+'Proyectos Base digitable'!#REF!</f>
        <v>#REF!</v>
      </c>
      <c r="T56" s="58" t="e">
        <f>+'Proyectos Base digitable'!#REF!</f>
        <v>#REF!</v>
      </c>
      <c r="U56" s="63" t="e">
        <f>'Proyectos Base digitable'!#REF!</f>
        <v>#REF!</v>
      </c>
      <c r="V56" s="63" t="e">
        <f>'Proyectos Base digitable'!#REF!</f>
        <v>#REF!</v>
      </c>
      <c r="W56" s="63" t="e">
        <f>'Proyectos Base digitable'!#REF!</f>
        <v>#REF!</v>
      </c>
      <c r="X56" s="63" t="e">
        <f>'Proyectos Base digitable'!#REF!</f>
        <v>#REF!</v>
      </c>
      <c r="Y56" s="63" t="e">
        <f>'Proyectos Base digitable'!#REF!</f>
        <v>#REF!</v>
      </c>
      <c r="Z56" s="58" t="e">
        <f>+'Proyectos Base digitable'!#REF!</f>
        <v>#REF!</v>
      </c>
      <c r="AA56" s="58" t="e">
        <f>+'Proyectos Base digitable'!#REF!</f>
        <v>#REF!</v>
      </c>
      <c r="AB56" s="63" t="e">
        <f>'Proyectos Base digitable'!#REF!</f>
        <v>#REF!</v>
      </c>
      <c r="AC56" s="56" t="e">
        <f>+'Proyectos Base digitable'!#REF!</f>
        <v>#REF!</v>
      </c>
      <c r="AD56" s="52" t="e">
        <f>+'Proyectos Base digitable'!#REF!</f>
        <v>#REF!</v>
      </c>
      <c r="AE56" s="52" t="e">
        <f>+'Proyectos Base digitable'!#REF!</f>
        <v>#REF!</v>
      </c>
      <c r="AF56" s="52" t="e">
        <f>+'Proyectos Base digitable'!#REF!</f>
        <v>#REF!</v>
      </c>
      <c r="AG56" s="56" t="e">
        <f>+'Proyectos Base digitable'!#REF!</f>
        <v>#REF!</v>
      </c>
      <c r="AH56" s="52" t="e">
        <f>+'Proyectos Base digitable'!#REF!</f>
        <v>#REF!</v>
      </c>
      <c r="AI56" s="52" t="e">
        <f>+'Proyectos Base digitable'!#REF!</f>
        <v>#REF!</v>
      </c>
      <c r="AJ56" s="59" t="e">
        <f>+'Proyectos Base digitable'!#REF!</f>
        <v>#REF!</v>
      </c>
      <c r="AK56" s="186" t="e">
        <f>+'Proyectos Base digitable'!#REF!</f>
        <v>#REF!</v>
      </c>
      <c r="AL56" s="186" t="e">
        <f>+'Proyectos Base digitable'!#REF!</f>
        <v>#REF!</v>
      </c>
      <c r="AM56" s="186" t="e">
        <f>+'Proyectos Base digitable'!#REF!</f>
        <v>#REF!</v>
      </c>
      <c r="AN56" s="186" t="e">
        <f>+'Proyectos Base digitable'!#REF!</f>
        <v>#REF!</v>
      </c>
      <c r="AO56" s="186" t="e">
        <f>+'Proyectos Base digitable'!#REF!</f>
        <v>#REF!</v>
      </c>
      <c r="AP56" s="186" t="e">
        <f>+'Proyectos Base digitable'!#REF!</f>
        <v>#REF!</v>
      </c>
      <c r="AQ56" s="186" t="e">
        <f>+'Proyectos Base digitable'!#REF!</f>
        <v>#REF!</v>
      </c>
      <c r="AR56" s="186" t="e">
        <f>+'Proyectos Base digitable'!#REF!</f>
        <v>#REF!</v>
      </c>
      <c r="AS56" s="186" t="e">
        <f>+'Proyectos Base digitable'!#REF!</f>
        <v>#REF!</v>
      </c>
      <c r="AT56" s="187" t="e">
        <f>+'Proyectos Base digitable'!#REF!</f>
        <v>#REF!</v>
      </c>
      <c r="AU56" s="56" t="e">
        <f>+'Proyectos Base digitable'!#REF!</f>
        <v>#REF!</v>
      </c>
      <c r="AV56" s="56" t="e">
        <f>+'Proyectos Base digitable'!#REF!</f>
        <v>#REF!</v>
      </c>
      <c r="AW56" s="56" t="e">
        <f>+'Proyectos Base digitable'!#REF!</f>
        <v>#REF!</v>
      </c>
      <c r="AX56" s="56" t="e">
        <f>+'Proyectos Base digitable'!#REF!</f>
        <v>#REF!</v>
      </c>
      <c r="AY56" s="56" t="e">
        <f>+'Proyectos Base digitable'!#REF!</f>
        <v>#REF!</v>
      </c>
      <c r="AZ56" s="188" t="e">
        <f>+'Proyectos Base digitable'!#REF!</f>
        <v>#REF!</v>
      </c>
      <c r="BA56" s="188" t="e">
        <f>+'Proyectos Base digitable'!#REF!</f>
        <v>#REF!</v>
      </c>
    </row>
    <row r="57" spans="1:53" ht="12.5">
      <c r="A57" s="60" t="e">
        <f>+'Proyectos Base digitable'!#REF!</f>
        <v>#REF!</v>
      </c>
      <c r="B57" s="56" t="e">
        <f>+'Proyectos Base digitable'!#REF!</f>
        <v>#REF!</v>
      </c>
      <c r="C57" s="56" t="e">
        <f>+'Proyectos Base digitable'!#REF!</f>
        <v>#REF!</v>
      </c>
      <c r="D57" s="56" t="e">
        <f>+'Proyectos Base digitable'!#REF!</f>
        <v>#REF!</v>
      </c>
      <c r="E57" s="56" t="e">
        <f>+'Proyectos Base digitable'!#REF!</f>
        <v>#REF!</v>
      </c>
      <c r="F57" s="56" t="e">
        <f>+'Proyectos Base digitable'!#REF!</f>
        <v>#REF!</v>
      </c>
      <c r="G57" s="57" t="e">
        <f>+'Proyectos Base digitable'!#REF!</f>
        <v>#REF!</v>
      </c>
      <c r="H57" s="56" t="e">
        <f>+'Proyectos Base digitable'!#REF!</f>
        <v>#REF!</v>
      </c>
      <c r="I57" s="56" t="e">
        <f>+'Proyectos Base digitable'!#REF!</f>
        <v>#REF!</v>
      </c>
      <c r="J57" s="56" t="e">
        <f>+'Proyectos Base digitable'!#REF!</f>
        <v>#REF!</v>
      </c>
      <c r="K57" s="56" t="e">
        <f>+'Proyectos Base digitable'!#REF!</f>
        <v>#REF!</v>
      </c>
      <c r="L57" s="56" t="e">
        <f>+'Proyectos Base digitable'!#REF!</f>
        <v>#REF!</v>
      </c>
      <c r="M57" s="56" t="e">
        <f>+'Proyectos Base digitable'!#REF!</f>
        <v>#REF!</v>
      </c>
      <c r="N57" s="52" t="e">
        <f>+'Proyectos Base digitable'!#REF!</f>
        <v>#REF!</v>
      </c>
      <c r="O57" s="52" t="e">
        <f>+'Proyectos Base digitable'!#REF!</f>
        <v>#REF!</v>
      </c>
      <c r="P57" s="185" t="e">
        <f>+'Proyectos Base digitable'!#REF!</f>
        <v>#REF!</v>
      </c>
      <c r="Q57" s="58" t="e">
        <f>+'Proyectos Base digitable'!#REF!</f>
        <v>#REF!</v>
      </c>
      <c r="R57" s="58" t="e">
        <f>+'Proyectos Base digitable'!#REF!</f>
        <v>#REF!</v>
      </c>
      <c r="S57" s="58" t="e">
        <f>+'Proyectos Base digitable'!#REF!</f>
        <v>#REF!</v>
      </c>
      <c r="T57" s="58" t="e">
        <f>+'Proyectos Base digitable'!#REF!</f>
        <v>#REF!</v>
      </c>
      <c r="U57" s="63" t="e">
        <f>'Proyectos Base digitable'!#REF!</f>
        <v>#REF!</v>
      </c>
      <c r="V57" s="63" t="e">
        <f>'Proyectos Base digitable'!#REF!</f>
        <v>#REF!</v>
      </c>
      <c r="W57" s="63" t="e">
        <f>'Proyectos Base digitable'!#REF!</f>
        <v>#REF!</v>
      </c>
      <c r="X57" s="63" t="e">
        <f>'Proyectos Base digitable'!#REF!</f>
        <v>#REF!</v>
      </c>
      <c r="Y57" s="63" t="e">
        <f>'Proyectos Base digitable'!#REF!</f>
        <v>#REF!</v>
      </c>
      <c r="Z57" s="58" t="e">
        <f>+'Proyectos Base digitable'!#REF!</f>
        <v>#REF!</v>
      </c>
      <c r="AA57" s="58" t="e">
        <f>+'Proyectos Base digitable'!#REF!</f>
        <v>#REF!</v>
      </c>
      <c r="AB57" s="63" t="e">
        <f>'Proyectos Base digitable'!#REF!</f>
        <v>#REF!</v>
      </c>
      <c r="AC57" s="56" t="e">
        <f>+'Proyectos Base digitable'!#REF!</f>
        <v>#REF!</v>
      </c>
      <c r="AD57" s="52" t="e">
        <f>+'Proyectos Base digitable'!#REF!</f>
        <v>#REF!</v>
      </c>
      <c r="AE57" s="52" t="e">
        <f>+'Proyectos Base digitable'!#REF!</f>
        <v>#REF!</v>
      </c>
      <c r="AF57" s="52" t="e">
        <f>+'Proyectos Base digitable'!#REF!</f>
        <v>#REF!</v>
      </c>
      <c r="AG57" s="56" t="e">
        <f>+'Proyectos Base digitable'!#REF!</f>
        <v>#REF!</v>
      </c>
      <c r="AH57" s="52" t="e">
        <f>+'Proyectos Base digitable'!#REF!</f>
        <v>#REF!</v>
      </c>
      <c r="AI57" s="52" t="e">
        <f>+'Proyectos Base digitable'!#REF!</f>
        <v>#REF!</v>
      </c>
      <c r="AJ57" s="59" t="e">
        <f>+'Proyectos Base digitable'!#REF!</f>
        <v>#REF!</v>
      </c>
      <c r="AK57" s="186" t="e">
        <f>+'Proyectos Base digitable'!#REF!</f>
        <v>#REF!</v>
      </c>
      <c r="AL57" s="186" t="e">
        <f>+'Proyectos Base digitable'!#REF!</f>
        <v>#REF!</v>
      </c>
      <c r="AM57" s="186" t="e">
        <f>+'Proyectos Base digitable'!#REF!</f>
        <v>#REF!</v>
      </c>
      <c r="AN57" s="186" t="e">
        <f>+'Proyectos Base digitable'!#REF!</f>
        <v>#REF!</v>
      </c>
      <c r="AO57" s="186" t="e">
        <f>+'Proyectos Base digitable'!#REF!</f>
        <v>#REF!</v>
      </c>
      <c r="AP57" s="186" t="e">
        <f>+'Proyectos Base digitable'!#REF!</f>
        <v>#REF!</v>
      </c>
      <c r="AQ57" s="186" t="e">
        <f>+'Proyectos Base digitable'!#REF!</f>
        <v>#REF!</v>
      </c>
      <c r="AR57" s="186" t="e">
        <f>+'Proyectos Base digitable'!#REF!</f>
        <v>#REF!</v>
      </c>
      <c r="AS57" s="186" t="e">
        <f>+'Proyectos Base digitable'!#REF!</f>
        <v>#REF!</v>
      </c>
      <c r="AT57" s="187" t="e">
        <f>+'Proyectos Base digitable'!#REF!</f>
        <v>#REF!</v>
      </c>
      <c r="AU57" s="56" t="e">
        <f>+'Proyectos Base digitable'!#REF!</f>
        <v>#REF!</v>
      </c>
      <c r="AV57" s="56" t="e">
        <f>+'Proyectos Base digitable'!#REF!</f>
        <v>#REF!</v>
      </c>
      <c r="AW57" s="56" t="e">
        <f>+'Proyectos Base digitable'!#REF!</f>
        <v>#REF!</v>
      </c>
      <c r="AX57" s="56" t="e">
        <f>+'Proyectos Base digitable'!#REF!</f>
        <v>#REF!</v>
      </c>
      <c r="AY57" s="56" t="e">
        <f>+'Proyectos Base digitable'!#REF!</f>
        <v>#REF!</v>
      </c>
      <c r="AZ57" s="188" t="e">
        <f>+'Proyectos Base digitable'!#REF!</f>
        <v>#REF!</v>
      </c>
      <c r="BA57" s="188" t="e">
        <f>+'Proyectos Base digitable'!#REF!</f>
        <v>#REF!</v>
      </c>
    </row>
    <row r="58" spans="1:53" ht="12.5">
      <c r="A58" s="60" t="e">
        <f>+'Proyectos Base digitable'!#REF!</f>
        <v>#REF!</v>
      </c>
      <c r="B58" s="56" t="e">
        <f>+'Proyectos Base digitable'!#REF!</f>
        <v>#REF!</v>
      </c>
      <c r="C58" s="56" t="e">
        <f>+'Proyectos Base digitable'!#REF!</f>
        <v>#REF!</v>
      </c>
      <c r="D58" s="56" t="e">
        <f>+'Proyectos Base digitable'!#REF!</f>
        <v>#REF!</v>
      </c>
      <c r="E58" s="56" t="e">
        <f>+'Proyectos Base digitable'!#REF!</f>
        <v>#REF!</v>
      </c>
      <c r="F58" s="56" t="e">
        <f>+'Proyectos Base digitable'!#REF!</f>
        <v>#REF!</v>
      </c>
      <c r="G58" s="57" t="e">
        <f>+'Proyectos Base digitable'!#REF!</f>
        <v>#REF!</v>
      </c>
      <c r="H58" s="56" t="e">
        <f>+'Proyectos Base digitable'!#REF!</f>
        <v>#REF!</v>
      </c>
      <c r="I58" s="56" t="e">
        <f>+'Proyectos Base digitable'!#REF!</f>
        <v>#REF!</v>
      </c>
      <c r="J58" s="56" t="e">
        <f>+'Proyectos Base digitable'!#REF!</f>
        <v>#REF!</v>
      </c>
      <c r="K58" s="56" t="e">
        <f>+'Proyectos Base digitable'!#REF!</f>
        <v>#REF!</v>
      </c>
      <c r="L58" s="56" t="e">
        <f>+'Proyectos Base digitable'!#REF!</f>
        <v>#REF!</v>
      </c>
      <c r="M58" s="56" t="e">
        <f>+'Proyectos Base digitable'!#REF!</f>
        <v>#REF!</v>
      </c>
      <c r="N58" s="52" t="e">
        <f>+'Proyectos Base digitable'!#REF!</f>
        <v>#REF!</v>
      </c>
      <c r="O58" s="52" t="e">
        <f>+'Proyectos Base digitable'!#REF!</f>
        <v>#REF!</v>
      </c>
      <c r="P58" s="185" t="e">
        <f>+'Proyectos Base digitable'!#REF!</f>
        <v>#REF!</v>
      </c>
      <c r="Q58" s="58" t="e">
        <f>+'Proyectos Base digitable'!#REF!</f>
        <v>#REF!</v>
      </c>
      <c r="R58" s="58" t="e">
        <f>+'Proyectos Base digitable'!#REF!</f>
        <v>#REF!</v>
      </c>
      <c r="S58" s="58" t="e">
        <f>+'Proyectos Base digitable'!#REF!</f>
        <v>#REF!</v>
      </c>
      <c r="T58" s="58" t="e">
        <f>+'Proyectos Base digitable'!#REF!</f>
        <v>#REF!</v>
      </c>
      <c r="U58" s="63" t="e">
        <f>'Proyectos Base digitable'!#REF!</f>
        <v>#REF!</v>
      </c>
      <c r="V58" s="63" t="e">
        <f>'Proyectos Base digitable'!#REF!</f>
        <v>#REF!</v>
      </c>
      <c r="W58" s="63" t="e">
        <f>'Proyectos Base digitable'!#REF!</f>
        <v>#REF!</v>
      </c>
      <c r="X58" s="63" t="e">
        <f>'Proyectos Base digitable'!#REF!</f>
        <v>#REF!</v>
      </c>
      <c r="Y58" s="63" t="e">
        <f>'Proyectos Base digitable'!#REF!</f>
        <v>#REF!</v>
      </c>
      <c r="Z58" s="58" t="e">
        <f>+'Proyectos Base digitable'!#REF!</f>
        <v>#REF!</v>
      </c>
      <c r="AA58" s="58" t="e">
        <f>+'Proyectos Base digitable'!#REF!</f>
        <v>#REF!</v>
      </c>
      <c r="AB58" s="63" t="e">
        <f>'Proyectos Base digitable'!#REF!</f>
        <v>#REF!</v>
      </c>
      <c r="AC58" s="56" t="e">
        <f>+'Proyectos Base digitable'!#REF!</f>
        <v>#REF!</v>
      </c>
      <c r="AD58" s="52" t="e">
        <f>+'Proyectos Base digitable'!#REF!</f>
        <v>#REF!</v>
      </c>
      <c r="AE58" s="52" t="e">
        <f>+'Proyectos Base digitable'!#REF!</f>
        <v>#REF!</v>
      </c>
      <c r="AF58" s="52" t="e">
        <f>+'Proyectos Base digitable'!#REF!</f>
        <v>#REF!</v>
      </c>
      <c r="AG58" s="56" t="e">
        <f>+'Proyectos Base digitable'!#REF!</f>
        <v>#REF!</v>
      </c>
      <c r="AH58" s="52" t="e">
        <f>+'Proyectos Base digitable'!#REF!</f>
        <v>#REF!</v>
      </c>
      <c r="AI58" s="52" t="e">
        <f>+'Proyectos Base digitable'!#REF!</f>
        <v>#REF!</v>
      </c>
      <c r="AJ58" s="59" t="e">
        <f>+'Proyectos Base digitable'!#REF!</f>
        <v>#REF!</v>
      </c>
      <c r="AK58" s="186" t="e">
        <f>+'Proyectos Base digitable'!#REF!</f>
        <v>#REF!</v>
      </c>
      <c r="AL58" s="186" t="e">
        <f>+'Proyectos Base digitable'!#REF!</f>
        <v>#REF!</v>
      </c>
      <c r="AM58" s="186" t="e">
        <f>+'Proyectos Base digitable'!#REF!</f>
        <v>#REF!</v>
      </c>
      <c r="AN58" s="186" t="e">
        <f>+'Proyectos Base digitable'!#REF!</f>
        <v>#REF!</v>
      </c>
      <c r="AO58" s="186" t="e">
        <f>+'Proyectos Base digitable'!#REF!</f>
        <v>#REF!</v>
      </c>
      <c r="AP58" s="186" t="e">
        <f>+'Proyectos Base digitable'!#REF!</f>
        <v>#REF!</v>
      </c>
      <c r="AQ58" s="186" t="e">
        <f>+'Proyectos Base digitable'!#REF!</f>
        <v>#REF!</v>
      </c>
      <c r="AR58" s="186" t="e">
        <f>+'Proyectos Base digitable'!#REF!</f>
        <v>#REF!</v>
      </c>
      <c r="AS58" s="186" t="e">
        <f>+'Proyectos Base digitable'!#REF!</f>
        <v>#REF!</v>
      </c>
      <c r="AT58" s="187" t="e">
        <f>+'Proyectos Base digitable'!#REF!</f>
        <v>#REF!</v>
      </c>
      <c r="AU58" s="56" t="e">
        <f>+'Proyectos Base digitable'!#REF!</f>
        <v>#REF!</v>
      </c>
      <c r="AV58" s="56" t="e">
        <f>+'Proyectos Base digitable'!#REF!</f>
        <v>#REF!</v>
      </c>
      <c r="AW58" s="56" t="e">
        <f>+'Proyectos Base digitable'!#REF!</f>
        <v>#REF!</v>
      </c>
      <c r="AX58" s="56" t="e">
        <f>+'Proyectos Base digitable'!#REF!</f>
        <v>#REF!</v>
      </c>
      <c r="AY58" s="56" t="e">
        <f>+'Proyectos Base digitable'!#REF!</f>
        <v>#REF!</v>
      </c>
      <c r="AZ58" s="188" t="e">
        <f>+'Proyectos Base digitable'!#REF!</f>
        <v>#REF!</v>
      </c>
      <c r="BA58" s="188" t="e">
        <f>+'Proyectos Base digitable'!#REF!</f>
        <v>#REF!</v>
      </c>
    </row>
    <row r="59" spans="1:53" ht="12.5">
      <c r="A59" s="60" t="e">
        <f>+'Proyectos Base digitable'!#REF!</f>
        <v>#REF!</v>
      </c>
      <c r="B59" s="56" t="e">
        <f>+'Proyectos Base digitable'!#REF!</f>
        <v>#REF!</v>
      </c>
      <c r="C59" s="56" t="e">
        <f>+'Proyectos Base digitable'!#REF!</f>
        <v>#REF!</v>
      </c>
      <c r="D59" s="56" t="e">
        <f>+'Proyectos Base digitable'!#REF!</f>
        <v>#REF!</v>
      </c>
      <c r="E59" s="56" t="e">
        <f>+'Proyectos Base digitable'!#REF!</f>
        <v>#REF!</v>
      </c>
      <c r="F59" s="56" t="e">
        <f>+'Proyectos Base digitable'!#REF!</f>
        <v>#REF!</v>
      </c>
      <c r="G59" s="57" t="e">
        <f>+'Proyectos Base digitable'!#REF!</f>
        <v>#REF!</v>
      </c>
      <c r="H59" s="56" t="e">
        <f>+'Proyectos Base digitable'!#REF!</f>
        <v>#REF!</v>
      </c>
      <c r="I59" s="56" t="e">
        <f>+'Proyectos Base digitable'!#REF!</f>
        <v>#REF!</v>
      </c>
      <c r="J59" s="56" t="e">
        <f>+'Proyectos Base digitable'!#REF!</f>
        <v>#REF!</v>
      </c>
      <c r="K59" s="56" t="e">
        <f>+'Proyectos Base digitable'!#REF!</f>
        <v>#REF!</v>
      </c>
      <c r="L59" s="56" t="e">
        <f>+'Proyectos Base digitable'!#REF!</f>
        <v>#REF!</v>
      </c>
      <c r="M59" s="56" t="e">
        <f>+'Proyectos Base digitable'!#REF!</f>
        <v>#REF!</v>
      </c>
      <c r="N59" s="52" t="e">
        <f>+'Proyectos Base digitable'!#REF!</f>
        <v>#REF!</v>
      </c>
      <c r="O59" s="52" t="e">
        <f>+'Proyectos Base digitable'!#REF!</f>
        <v>#REF!</v>
      </c>
      <c r="P59" s="185" t="e">
        <f>+'Proyectos Base digitable'!#REF!</f>
        <v>#REF!</v>
      </c>
      <c r="Q59" s="58" t="e">
        <f>+'Proyectos Base digitable'!#REF!</f>
        <v>#REF!</v>
      </c>
      <c r="R59" s="58" t="e">
        <f>+'Proyectos Base digitable'!#REF!</f>
        <v>#REF!</v>
      </c>
      <c r="S59" s="58" t="e">
        <f>+'Proyectos Base digitable'!#REF!</f>
        <v>#REF!</v>
      </c>
      <c r="T59" s="58" t="e">
        <f>+'Proyectos Base digitable'!#REF!</f>
        <v>#REF!</v>
      </c>
      <c r="U59" s="63" t="e">
        <f>'Proyectos Base digitable'!#REF!</f>
        <v>#REF!</v>
      </c>
      <c r="V59" s="63" t="e">
        <f>'Proyectos Base digitable'!#REF!</f>
        <v>#REF!</v>
      </c>
      <c r="W59" s="63" t="e">
        <f>'Proyectos Base digitable'!#REF!</f>
        <v>#REF!</v>
      </c>
      <c r="X59" s="63" t="e">
        <f>'Proyectos Base digitable'!#REF!</f>
        <v>#REF!</v>
      </c>
      <c r="Y59" s="63" t="e">
        <f>'Proyectos Base digitable'!#REF!</f>
        <v>#REF!</v>
      </c>
      <c r="Z59" s="58" t="e">
        <f>+'Proyectos Base digitable'!#REF!</f>
        <v>#REF!</v>
      </c>
      <c r="AA59" s="58" t="e">
        <f>+'Proyectos Base digitable'!#REF!</f>
        <v>#REF!</v>
      </c>
      <c r="AB59" s="63" t="e">
        <f>'Proyectos Base digitable'!#REF!</f>
        <v>#REF!</v>
      </c>
      <c r="AC59" s="56" t="e">
        <f>+'Proyectos Base digitable'!#REF!</f>
        <v>#REF!</v>
      </c>
      <c r="AD59" s="52" t="e">
        <f>+'Proyectos Base digitable'!#REF!</f>
        <v>#REF!</v>
      </c>
      <c r="AE59" s="52" t="e">
        <f>+'Proyectos Base digitable'!#REF!</f>
        <v>#REF!</v>
      </c>
      <c r="AF59" s="52" t="e">
        <f>+'Proyectos Base digitable'!#REF!</f>
        <v>#REF!</v>
      </c>
      <c r="AG59" s="56" t="e">
        <f>+'Proyectos Base digitable'!#REF!</f>
        <v>#REF!</v>
      </c>
      <c r="AH59" s="52" t="e">
        <f>+'Proyectos Base digitable'!#REF!</f>
        <v>#REF!</v>
      </c>
      <c r="AI59" s="52" t="e">
        <f>+'Proyectos Base digitable'!#REF!</f>
        <v>#REF!</v>
      </c>
      <c r="AJ59" s="59" t="e">
        <f>+'Proyectos Base digitable'!#REF!</f>
        <v>#REF!</v>
      </c>
      <c r="AK59" s="186" t="e">
        <f>+'Proyectos Base digitable'!#REF!</f>
        <v>#REF!</v>
      </c>
      <c r="AL59" s="186" t="e">
        <f>+'Proyectos Base digitable'!#REF!</f>
        <v>#REF!</v>
      </c>
      <c r="AM59" s="186" t="e">
        <f>+'Proyectos Base digitable'!#REF!</f>
        <v>#REF!</v>
      </c>
      <c r="AN59" s="186" t="e">
        <f>+'Proyectos Base digitable'!#REF!</f>
        <v>#REF!</v>
      </c>
      <c r="AO59" s="186" t="e">
        <f>+'Proyectos Base digitable'!#REF!</f>
        <v>#REF!</v>
      </c>
      <c r="AP59" s="186" t="e">
        <f>+'Proyectos Base digitable'!#REF!</f>
        <v>#REF!</v>
      </c>
      <c r="AQ59" s="186" t="e">
        <f>+'Proyectos Base digitable'!#REF!</f>
        <v>#REF!</v>
      </c>
      <c r="AR59" s="186" t="e">
        <f>+'Proyectos Base digitable'!#REF!</f>
        <v>#REF!</v>
      </c>
      <c r="AS59" s="186" t="e">
        <f>+'Proyectos Base digitable'!#REF!</f>
        <v>#REF!</v>
      </c>
      <c r="AT59" s="187" t="e">
        <f>+'Proyectos Base digitable'!#REF!</f>
        <v>#REF!</v>
      </c>
      <c r="AU59" s="56" t="e">
        <f>+'Proyectos Base digitable'!#REF!</f>
        <v>#REF!</v>
      </c>
      <c r="AV59" s="56" t="e">
        <f>+'Proyectos Base digitable'!#REF!</f>
        <v>#REF!</v>
      </c>
      <c r="AW59" s="56" t="e">
        <f>+'Proyectos Base digitable'!#REF!</f>
        <v>#REF!</v>
      </c>
      <c r="AX59" s="56" t="e">
        <f>+'Proyectos Base digitable'!#REF!</f>
        <v>#REF!</v>
      </c>
      <c r="AY59" s="56" t="e">
        <f>+'Proyectos Base digitable'!#REF!</f>
        <v>#REF!</v>
      </c>
      <c r="AZ59" s="188" t="e">
        <f>+'Proyectos Base digitable'!#REF!</f>
        <v>#REF!</v>
      </c>
      <c r="BA59" s="188" t="e">
        <f>+'Proyectos Base digitable'!#REF!</f>
        <v>#REF!</v>
      </c>
    </row>
    <row r="60" spans="1:53" ht="12.5">
      <c r="A60" s="60" t="e">
        <f>+'Proyectos Base digitable'!#REF!</f>
        <v>#REF!</v>
      </c>
      <c r="B60" s="56" t="e">
        <f>+'Proyectos Base digitable'!#REF!</f>
        <v>#REF!</v>
      </c>
      <c r="C60" s="56" t="e">
        <f>+'Proyectos Base digitable'!#REF!</f>
        <v>#REF!</v>
      </c>
      <c r="D60" s="56" t="e">
        <f>+'Proyectos Base digitable'!#REF!</f>
        <v>#REF!</v>
      </c>
      <c r="E60" s="56" t="e">
        <f>+'Proyectos Base digitable'!#REF!</f>
        <v>#REF!</v>
      </c>
      <c r="F60" s="56" t="e">
        <f>+'Proyectos Base digitable'!#REF!</f>
        <v>#REF!</v>
      </c>
      <c r="G60" s="57" t="e">
        <f>+'Proyectos Base digitable'!#REF!</f>
        <v>#REF!</v>
      </c>
      <c r="H60" s="56" t="e">
        <f>+'Proyectos Base digitable'!#REF!</f>
        <v>#REF!</v>
      </c>
      <c r="I60" s="56" t="e">
        <f>+'Proyectos Base digitable'!#REF!</f>
        <v>#REF!</v>
      </c>
      <c r="J60" s="56" t="e">
        <f>+'Proyectos Base digitable'!#REF!</f>
        <v>#REF!</v>
      </c>
      <c r="K60" s="56" t="e">
        <f>+'Proyectos Base digitable'!#REF!</f>
        <v>#REF!</v>
      </c>
      <c r="L60" s="56" t="e">
        <f>+'Proyectos Base digitable'!#REF!</f>
        <v>#REF!</v>
      </c>
      <c r="M60" s="56" t="e">
        <f>+'Proyectos Base digitable'!#REF!</f>
        <v>#REF!</v>
      </c>
      <c r="N60" s="52" t="e">
        <f>+'Proyectos Base digitable'!#REF!</f>
        <v>#REF!</v>
      </c>
      <c r="O60" s="52" t="e">
        <f>+'Proyectos Base digitable'!#REF!</f>
        <v>#REF!</v>
      </c>
      <c r="P60" s="185" t="e">
        <f>+'Proyectos Base digitable'!#REF!</f>
        <v>#REF!</v>
      </c>
      <c r="Q60" s="58" t="e">
        <f>+'Proyectos Base digitable'!#REF!</f>
        <v>#REF!</v>
      </c>
      <c r="R60" s="58" t="e">
        <f>+'Proyectos Base digitable'!#REF!</f>
        <v>#REF!</v>
      </c>
      <c r="S60" s="58" t="e">
        <f>+'Proyectos Base digitable'!#REF!</f>
        <v>#REF!</v>
      </c>
      <c r="T60" s="58" t="e">
        <f>+'Proyectos Base digitable'!#REF!</f>
        <v>#REF!</v>
      </c>
      <c r="U60" s="63" t="e">
        <f>'Proyectos Base digitable'!#REF!</f>
        <v>#REF!</v>
      </c>
      <c r="V60" s="63" t="e">
        <f>'Proyectos Base digitable'!#REF!</f>
        <v>#REF!</v>
      </c>
      <c r="W60" s="63" t="e">
        <f>'Proyectos Base digitable'!#REF!</f>
        <v>#REF!</v>
      </c>
      <c r="X60" s="63" t="e">
        <f>'Proyectos Base digitable'!#REF!</f>
        <v>#REF!</v>
      </c>
      <c r="Y60" s="63" t="e">
        <f>'Proyectos Base digitable'!#REF!</f>
        <v>#REF!</v>
      </c>
      <c r="Z60" s="58" t="e">
        <f>+'Proyectos Base digitable'!#REF!</f>
        <v>#REF!</v>
      </c>
      <c r="AA60" s="58" t="e">
        <f>+'Proyectos Base digitable'!#REF!</f>
        <v>#REF!</v>
      </c>
      <c r="AB60" s="63" t="e">
        <f>'Proyectos Base digitable'!#REF!</f>
        <v>#REF!</v>
      </c>
      <c r="AC60" s="56" t="e">
        <f>+'Proyectos Base digitable'!#REF!</f>
        <v>#REF!</v>
      </c>
      <c r="AD60" s="52" t="e">
        <f>+'Proyectos Base digitable'!#REF!</f>
        <v>#REF!</v>
      </c>
      <c r="AE60" s="52" t="e">
        <f>+'Proyectos Base digitable'!#REF!</f>
        <v>#REF!</v>
      </c>
      <c r="AF60" s="52" t="e">
        <f>+'Proyectos Base digitable'!#REF!</f>
        <v>#REF!</v>
      </c>
      <c r="AG60" s="56" t="e">
        <f>+'Proyectos Base digitable'!#REF!</f>
        <v>#REF!</v>
      </c>
      <c r="AH60" s="52" t="e">
        <f>+'Proyectos Base digitable'!#REF!</f>
        <v>#REF!</v>
      </c>
      <c r="AI60" s="52" t="e">
        <f>+'Proyectos Base digitable'!#REF!</f>
        <v>#REF!</v>
      </c>
      <c r="AJ60" s="59" t="e">
        <f>+'Proyectos Base digitable'!#REF!</f>
        <v>#REF!</v>
      </c>
      <c r="AK60" s="186" t="e">
        <f>+'Proyectos Base digitable'!#REF!</f>
        <v>#REF!</v>
      </c>
      <c r="AL60" s="186" t="e">
        <f>+'Proyectos Base digitable'!#REF!</f>
        <v>#REF!</v>
      </c>
      <c r="AM60" s="186" t="e">
        <f>+'Proyectos Base digitable'!#REF!</f>
        <v>#REF!</v>
      </c>
      <c r="AN60" s="186" t="e">
        <f>+'Proyectos Base digitable'!#REF!</f>
        <v>#REF!</v>
      </c>
      <c r="AO60" s="186" t="e">
        <f>+'Proyectos Base digitable'!#REF!</f>
        <v>#REF!</v>
      </c>
      <c r="AP60" s="186" t="e">
        <f>+'Proyectos Base digitable'!#REF!</f>
        <v>#REF!</v>
      </c>
      <c r="AQ60" s="186" t="e">
        <f>+'Proyectos Base digitable'!#REF!</f>
        <v>#REF!</v>
      </c>
      <c r="AR60" s="186" t="e">
        <f>+'Proyectos Base digitable'!#REF!</f>
        <v>#REF!</v>
      </c>
      <c r="AS60" s="186" t="e">
        <f>+'Proyectos Base digitable'!#REF!</f>
        <v>#REF!</v>
      </c>
      <c r="AT60" s="187" t="e">
        <f>+'Proyectos Base digitable'!#REF!</f>
        <v>#REF!</v>
      </c>
      <c r="AU60" s="56" t="e">
        <f>+'Proyectos Base digitable'!#REF!</f>
        <v>#REF!</v>
      </c>
      <c r="AV60" s="56" t="e">
        <f>+'Proyectos Base digitable'!#REF!</f>
        <v>#REF!</v>
      </c>
      <c r="AW60" s="56" t="e">
        <f>+'Proyectos Base digitable'!#REF!</f>
        <v>#REF!</v>
      </c>
      <c r="AX60" s="56" t="e">
        <f>+'Proyectos Base digitable'!#REF!</f>
        <v>#REF!</v>
      </c>
      <c r="AY60" s="56" t="e">
        <f>+'Proyectos Base digitable'!#REF!</f>
        <v>#REF!</v>
      </c>
      <c r="AZ60" s="188" t="e">
        <f>+'Proyectos Base digitable'!#REF!</f>
        <v>#REF!</v>
      </c>
      <c r="BA60" s="188" t="e">
        <f>+'Proyectos Base digitable'!#REF!</f>
        <v>#REF!</v>
      </c>
    </row>
    <row r="61" spans="1:53" ht="12.5">
      <c r="A61" s="60" t="e">
        <f>+'Proyectos Base digitable'!#REF!</f>
        <v>#REF!</v>
      </c>
      <c r="B61" s="56" t="e">
        <f>+'Proyectos Base digitable'!#REF!</f>
        <v>#REF!</v>
      </c>
      <c r="C61" s="56" t="e">
        <f>+'Proyectos Base digitable'!#REF!</f>
        <v>#REF!</v>
      </c>
      <c r="D61" s="56" t="e">
        <f>+'Proyectos Base digitable'!#REF!</f>
        <v>#REF!</v>
      </c>
      <c r="E61" s="56" t="e">
        <f>+'Proyectos Base digitable'!#REF!</f>
        <v>#REF!</v>
      </c>
      <c r="F61" s="56" t="e">
        <f>+'Proyectos Base digitable'!#REF!</f>
        <v>#REF!</v>
      </c>
      <c r="G61" s="57" t="e">
        <f>+'Proyectos Base digitable'!#REF!</f>
        <v>#REF!</v>
      </c>
      <c r="H61" s="56" t="e">
        <f>+'Proyectos Base digitable'!#REF!</f>
        <v>#REF!</v>
      </c>
      <c r="I61" s="56" t="e">
        <f>+'Proyectos Base digitable'!#REF!</f>
        <v>#REF!</v>
      </c>
      <c r="J61" s="56" t="e">
        <f>+'Proyectos Base digitable'!#REF!</f>
        <v>#REF!</v>
      </c>
      <c r="K61" s="56" t="e">
        <f>+'Proyectos Base digitable'!#REF!</f>
        <v>#REF!</v>
      </c>
      <c r="L61" s="56" t="e">
        <f>+'Proyectos Base digitable'!#REF!</f>
        <v>#REF!</v>
      </c>
      <c r="M61" s="56" t="e">
        <f>+'Proyectos Base digitable'!#REF!</f>
        <v>#REF!</v>
      </c>
      <c r="N61" s="52" t="e">
        <f>+'Proyectos Base digitable'!#REF!</f>
        <v>#REF!</v>
      </c>
      <c r="O61" s="52" t="e">
        <f>+'Proyectos Base digitable'!#REF!</f>
        <v>#REF!</v>
      </c>
      <c r="P61" s="185" t="e">
        <f>+'Proyectos Base digitable'!#REF!</f>
        <v>#REF!</v>
      </c>
      <c r="Q61" s="58" t="e">
        <f>+'Proyectos Base digitable'!#REF!</f>
        <v>#REF!</v>
      </c>
      <c r="R61" s="58" t="e">
        <f>+'Proyectos Base digitable'!#REF!</f>
        <v>#REF!</v>
      </c>
      <c r="S61" s="58" t="e">
        <f>+'Proyectos Base digitable'!#REF!</f>
        <v>#REF!</v>
      </c>
      <c r="T61" s="58" t="e">
        <f>+'Proyectos Base digitable'!#REF!</f>
        <v>#REF!</v>
      </c>
      <c r="U61" s="63" t="e">
        <f>'Proyectos Base digitable'!#REF!</f>
        <v>#REF!</v>
      </c>
      <c r="V61" s="63" t="e">
        <f>'Proyectos Base digitable'!#REF!</f>
        <v>#REF!</v>
      </c>
      <c r="W61" s="63" t="e">
        <f>'Proyectos Base digitable'!#REF!</f>
        <v>#REF!</v>
      </c>
      <c r="X61" s="63" t="e">
        <f>'Proyectos Base digitable'!#REF!</f>
        <v>#REF!</v>
      </c>
      <c r="Y61" s="63" t="e">
        <f>'Proyectos Base digitable'!#REF!</f>
        <v>#REF!</v>
      </c>
      <c r="Z61" s="58" t="e">
        <f>+'Proyectos Base digitable'!#REF!</f>
        <v>#REF!</v>
      </c>
      <c r="AA61" s="58" t="e">
        <f>+'Proyectos Base digitable'!#REF!</f>
        <v>#REF!</v>
      </c>
      <c r="AB61" s="63" t="e">
        <f>'Proyectos Base digitable'!#REF!</f>
        <v>#REF!</v>
      </c>
      <c r="AC61" s="56" t="e">
        <f>+'Proyectos Base digitable'!#REF!</f>
        <v>#REF!</v>
      </c>
      <c r="AD61" s="52" t="e">
        <f>+'Proyectos Base digitable'!#REF!</f>
        <v>#REF!</v>
      </c>
      <c r="AE61" s="52" t="e">
        <f>+'Proyectos Base digitable'!#REF!</f>
        <v>#REF!</v>
      </c>
      <c r="AF61" s="52" t="e">
        <f>+'Proyectos Base digitable'!#REF!</f>
        <v>#REF!</v>
      </c>
      <c r="AG61" s="56" t="e">
        <f>+'Proyectos Base digitable'!#REF!</f>
        <v>#REF!</v>
      </c>
      <c r="AH61" s="52" t="e">
        <f>+'Proyectos Base digitable'!#REF!</f>
        <v>#REF!</v>
      </c>
      <c r="AI61" s="52" t="e">
        <f>+'Proyectos Base digitable'!#REF!</f>
        <v>#REF!</v>
      </c>
      <c r="AJ61" s="59" t="e">
        <f>+'Proyectos Base digitable'!#REF!</f>
        <v>#REF!</v>
      </c>
      <c r="AK61" s="186" t="e">
        <f>+'Proyectos Base digitable'!#REF!</f>
        <v>#REF!</v>
      </c>
      <c r="AL61" s="186" t="e">
        <f>+'Proyectos Base digitable'!#REF!</f>
        <v>#REF!</v>
      </c>
      <c r="AM61" s="186" t="e">
        <f>+'Proyectos Base digitable'!#REF!</f>
        <v>#REF!</v>
      </c>
      <c r="AN61" s="186" t="e">
        <f>+'Proyectos Base digitable'!#REF!</f>
        <v>#REF!</v>
      </c>
      <c r="AO61" s="186" t="e">
        <f>+'Proyectos Base digitable'!#REF!</f>
        <v>#REF!</v>
      </c>
      <c r="AP61" s="186" t="e">
        <f>+'Proyectos Base digitable'!#REF!</f>
        <v>#REF!</v>
      </c>
      <c r="AQ61" s="186" t="e">
        <f>+'Proyectos Base digitable'!#REF!</f>
        <v>#REF!</v>
      </c>
      <c r="AR61" s="186" t="e">
        <f>+'Proyectos Base digitable'!#REF!</f>
        <v>#REF!</v>
      </c>
      <c r="AS61" s="186" t="e">
        <f>+'Proyectos Base digitable'!#REF!</f>
        <v>#REF!</v>
      </c>
      <c r="AT61" s="187" t="e">
        <f>+'Proyectos Base digitable'!#REF!</f>
        <v>#REF!</v>
      </c>
      <c r="AU61" s="56" t="e">
        <f>+'Proyectos Base digitable'!#REF!</f>
        <v>#REF!</v>
      </c>
      <c r="AV61" s="56" t="e">
        <f>+'Proyectos Base digitable'!#REF!</f>
        <v>#REF!</v>
      </c>
      <c r="AW61" s="56" t="e">
        <f>+'Proyectos Base digitable'!#REF!</f>
        <v>#REF!</v>
      </c>
      <c r="AX61" s="56" t="e">
        <f>+'Proyectos Base digitable'!#REF!</f>
        <v>#REF!</v>
      </c>
      <c r="AY61" s="56" t="e">
        <f>+'Proyectos Base digitable'!#REF!</f>
        <v>#REF!</v>
      </c>
      <c r="AZ61" s="188" t="e">
        <f>+'Proyectos Base digitable'!#REF!</f>
        <v>#REF!</v>
      </c>
      <c r="BA61" s="188" t="e">
        <f>+'Proyectos Base digitable'!#REF!</f>
        <v>#REF!</v>
      </c>
    </row>
    <row r="62" spans="1:53" ht="12.5">
      <c r="A62" s="60" t="e">
        <f>+'Proyectos Base digitable'!#REF!</f>
        <v>#REF!</v>
      </c>
      <c r="B62" s="56" t="e">
        <f>+'Proyectos Base digitable'!#REF!</f>
        <v>#REF!</v>
      </c>
      <c r="C62" s="56" t="e">
        <f>+'Proyectos Base digitable'!#REF!</f>
        <v>#REF!</v>
      </c>
      <c r="D62" s="56" t="e">
        <f>+'Proyectos Base digitable'!#REF!</f>
        <v>#REF!</v>
      </c>
      <c r="E62" s="56" t="e">
        <f>+'Proyectos Base digitable'!#REF!</f>
        <v>#REF!</v>
      </c>
      <c r="F62" s="56" t="e">
        <f>+'Proyectos Base digitable'!#REF!</f>
        <v>#REF!</v>
      </c>
      <c r="G62" s="57" t="e">
        <f>+'Proyectos Base digitable'!#REF!</f>
        <v>#REF!</v>
      </c>
      <c r="H62" s="56" t="e">
        <f>+'Proyectos Base digitable'!#REF!</f>
        <v>#REF!</v>
      </c>
      <c r="I62" s="56" t="e">
        <f>+'Proyectos Base digitable'!#REF!</f>
        <v>#REF!</v>
      </c>
      <c r="J62" s="56" t="e">
        <f>+'Proyectos Base digitable'!#REF!</f>
        <v>#REF!</v>
      </c>
      <c r="K62" s="56" t="e">
        <f>+'Proyectos Base digitable'!#REF!</f>
        <v>#REF!</v>
      </c>
      <c r="L62" s="56" t="e">
        <f>+'Proyectos Base digitable'!#REF!</f>
        <v>#REF!</v>
      </c>
      <c r="M62" s="56" t="e">
        <f>+'Proyectos Base digitable'!#REF!</f>
        <v>#REF!</v>
      </c>
      <c r="N62" s="52" t="e">
        <f>+'Proyectos Base digitable'!#REF!</f>
        <v>#REF!</v>
      </c>
      <c r="O62" s="52" t="e">
        <f>+'Proyectos Base digitable'!#REF!</f>
        <v>#REF!</v>
      </c>
      <c r="P62" s="185" t="e">
        <f>+'Proyectos Base digitable'!#REF!</f>
        <v>#REF!</v>
      </c>
      <c r="Q62" s="58" t="e">
        <f>+'Proyectos Base digitable'!#REF!</f>
        <v>#REF!</v>
      </c>
      <c r="R62" s="58" t="e">
        <f>+'Proyectos Base digitable'!#REF!</f>
        <v>#REF!</v>
      </c>
      <c r="S62" s="58" t="e">
        <f>+'Proyectos Base digitable'!#REF!</f>
        <v>#REF!</v>
      </c>
      <c r="T62" s="58" t="e">
        <f>+'Proyectos Base digitable'!#REF!</f>
        <v>#REF!</v>
      </c>
      <c r="U62" s="63" t="e">
        <f>'Proyectos Base digitable'!#REF!</f>
        <v>#REF!</v>
      </c>
      <c r="V62" s="63" t="e">
        <f>'Proyectos Base digitable'!#REF!</f>
        <v>#REF!</v>
      </c>
      <c r="W62" s="63" t="e">
        <f>'Proyectos Base digitable'!#REF!</f>
        <v>#REF!</v>
      </c>
      <c r="X62" s="63" t="e">
        <f>'Proyectos Base digitable'!#REF!</f>
        <v>#REF!</v>
      </c>
      <c r="Y62" s="63" t="e">
        <f>'Proyectos Base digitable'!#REF!</f>
        <v>#REF!</v>
      </c>
      <c r="Z62" s="58" t="e">
        <f>+'Proyectos Base digitable'!#REF!</f>
        <v>#REF!</v>
      </c>
      <c r="AA62" s="58" t="e">
        <f>+'Proyectos Base digitable'!#REF!</f>
        <v>#REF!</v>
      </c>
      <c r="AB62" s="63" t="e">
        <f>'Proyectos Base digitable'!#REF!</f>
        <v>#REF!</v>
      </c>
      <c r="AC62" s="56" t="e">
        <f>+'Proyectos Base digitable'!#REF!</f>
        <v>#REF!</v>
      </c>
      <c r="AD62" s="52" t="e">
        <f>+'Proyectos Base digitable'!#REF!</f>
        <v>#REF!</v>
      </c>
      <c r="AE62" s="52" t="e">
        <f>+'Proyectos Base digitable'!#REF!</f>
        <v>#REF!</v>
      </c>
      <c r="AF62" s="52" t="e">
        <f>+'Proyectos Base digitable'!#REF!</f>
        <v>#REF!</v>
      </c>
      <c r="AG62" s="56" t="e">
        <f>+'Proyectos Base digitable'!#REF!</f>
        <v>#REF!</v>
      </c>
      <c r="AH62" s="52" t="e">
        <f>+'Proyectos Base digitable'!#REF!</f>
        <v>#REF!</v>
      </c>
      <c r="AI62" s="52" t="e">
        <f>+'Proyectos Base digitable'!#REF!</f>
        <v>#REF!</v>
      </c>
      <c r="AJ62" s="59" t="e">
        <f>+'Proyectos Base digitable'!#REF!</f>
        <v>#REF!</v>
      </c>
      <c r="AK62" s="186" t="e">
        <f>+'Proyectos Base digitable'!#REF!</f>
        <v>#REF!</v>
      </c>
      <c r="AL62" s="186" t="e">
        <f>+'Proyectos Base digitable'!#REF!</f>
        <v>#REF!</v>
      </c>
      <c r="AM62" s="186" t="e">
        <f>+'Proyectos Base digitable'!#REF!</f>
        <v>#REF!</v>
      </c>
      <c r="AN62" s="186" t="e">
        <f>+'Proyectos Base digitable'!#REF!</f>
        <v>#REF!</v>
      </c>
      <c r="AO62" s="186" t="e">
        <f>+'Proyectos Base digitable'!#REF!</f>
        <v>#REF!</v>
      </c>
      <c r="AP62" s="186" t="e">
        <f>+'Proyectos Base digitable'!#REF!</f>
        <v>#REF!</v>
      </c>
      <c r="AQ62" s="186" t="e">
        <f>+'Proyectos Base digitable'!#REF!</f>
        <v>#REF!</v>
      </c>
      <c r="AR62" s="186" t="e">
        <f>+'Proyectos Base digitable'!#REF!</f>
        <v>#REF!</v>
      </c>
      <c r="AS62" s="186" t="e">
        <f>+'Proyectos Base digitable'!#REF!</f>
        <v>#REF!</v>
      </c>
      <c r="AT62" s="187" t="e">
        <f>+'Proyectos Base digitable'!#REF!</f>
        <v>#REF!</v>
      </c>
      <c r="AU62" s="56" t="e">
        <f>+'Proyectos Base digitable'!#REF!</f>
        <v>#REF!</v>
      </c>
      <c r="AV62" s="56" t="e">
        <f>+'Proyectos Base digitable'!#REF!</f>
        <v>#REF!</v>
      </c>
      <c r="AW62" s="56" t="e">
        <f>+'Proyectos Base digitable'!#REF!</f>
        <v>#REF!</v>
      </c>
      <c r="AX62" s="56" t="e">
        <f>+'Proyectos Base digitable'!#REF!</f>
        <v>#REF!</v>
      </c>
      <c r="AY62" s="56" t="e">
        <f>+'Proyectos Base digitable'!#REF!</f>
        <v>#REF!</v>
      </c>
      <c r="AZ62" s="188" t="e">
        <f>+'Proyectos Base digitable'!#REF!</f>
        <v>#REF!</v>
      </c>
      <c r="BA62" s="188" t="e">
        <f>+'Proyectos Base digitable'!#REF!</f>
        <v>#REF!</v>
      </c>
    </row>
    <row r="63" spans="1:53" ht="12.5">
      <c r="A63" s="60" t="e">
        <f>+'Proyectos Base digitable'!#REF!</f>
        <v>#REF!</v>
      </c>
      <c r="B63" s="56" t="e">
        <f>+'Proyectos Base digitable'!#REF!</f>
        <v>#REF!</v>
      </c>
      <c r="C63" s="56" t="e">
        <f>+'Proyectos Base digitable'!#REF!</f>
        <v>#REF!</v>
      </c>
      <c r="D63" s="56" t="e">
        <f>+'Proyectos Base digitable'!#REF!</f>
        <v>#REF!</v>
      </c>
      <c r="E63" s="56" t="e">
        <f>+'Proyectos Base digitable'!#REF!</f>
        <v>#REF!</v>
      </c>
      <c r="F63" s="56" t="e">
        <f>+'Proyectos Base digitable'!#REF!</f>
        <v>#REF!</v>
      </c>
      <c r="G63" s="57" t="e">
        <f>+'Proyectos Base digitable'!#REF!</f>
        <v>#REF!</v>
      </c>
      <c r="H63" s="56" t="e">
        <f>+'Proyectos Base digitable'!#REF!</f>
        <v>#REF!</v>
      </c>
      <c r="I63" s="56" t="e">
        <f>+'Proyectos Base digitable'!#REF!</f>
        <v>#REF!</v>
      </c>
      <c r="J63" s="56" t="e">
        <f>+'Proyectos Base digitable'!#REF!</f>
        <v>#REF!</v>
      </c>
      <c r="K63" s="56" t="e">
        <f>+'Proyectos Base digitable'!#REF!</f>
        <v>#REF!</v>
      </c>
      <c r="L63" s="56" t="e">
        <f>+'Proyectos Base digitable'!#REF!</f>
        <v>#REF!</v>
      </c>
      <c r="M63" s="56" t="e">
        <f>+'Proyectos Base digitable'!#REF!</f>
        <v>#REF!</v>
      </c>
      <c r="N63" s="52" t="e">
        <f>+'Proyectos Base digitable'!#REF!</f>
        <v>#REF!</v>
      </c>
      <c r="O63" s="52" t="e">
        <f>+'Proyectos Base digitable'!#REF!</f>
        <v>#REF!</v>
      </c>
      <c r="P63" s="185" t="e">
        <f>+'Proyectos Base digitable'!#REF!</f>
        <v>#REF!</v>
      </c>
      <c r="Q63" s="58" t="e">
        <f>+'Proyectos Base digitable'!#REF!</f>
        <v>#REF!</v>
      </c>
      <c r="R63" s="58" t="e">
        <f>+'Proyectos Base digitable'!#REF!</f>
        <v>#REF!</v>
      </c>
      <c r="S63" s="58" t="e">
        <f>+'Proyectos Base digitable'!#REF!</f>
        <v>#REF!</v>
      </c>
      <c r="T63" s="58" t="e">
        <f>+'Proyectos Base digitable'!#REF!</f>
        <v>#REF!</v>
      </c>
      <c r="U63" s="63" t="e">
        <f>'Proyectos Base digitable'!#REF!</f>
        <v>#REF!</v>
      </c>
      <c r="V63" s="63" t="e">
        <f>'Proyectos Base digitable'!#REF!</f>
        <v>#REF!</v>
      </c>
      <c r="W63" s="63" t="e">
        <f>'Proyectos Base digitable'!#REF!</f>
        <v>#REF!</v>
      </c>
      <c r="X63" s="63" t="e">
        <f>'Proyectos Base digitable'!#REF!</f>
        <v>#REF!</v>
      </c>
      <c r="Y63" s="63" t="e">
        <f>'Proyectos Base digitable'!#REF!</f>
        <v>#REF!</v>
      </c>
      <c r="Z63" s="58" t="e">
        <f>+'Proyectos Base digitable'!#REF!</f>
        <v>#REF!</v>
      </c>
      <c r="AA63" s="58" t="e">
        <f>+'Proyectos Base digitable'!#REF!</f>
        <v>#REF!</v>
      </c>
      <c r="AB63" s="63" t="e">
        <f>'Proyectos Base digitable'!#REF!</f>
        <v>#REF!</v>
      </c>
      <c r="AC63" s="56" t="e">
        <f>+'Proyectos Base digitable'!#REF!</f>
        <v>#REF!</v>
      </c>
      <c r="AD63" s="52" t="e">
        <f>+'Proyectos Base digitable'!#REF!</f>
        <v>#REF!</v>
      </c>
      <c r="AE63" s="52" t="e">
        <f>+'Proyectos Base digitable'!#REF!</f>
        <v>#REF!</v>
      </c>
      <c r="AF63" s="52" t="e">
        <f>+'Proyectos Base digitable'!#REF!</f>
        <v>#REF!</v>
      </c>
      <c r="AG63" s="56" t="e">
        <f>+'Proyectos Base digitable'!#REF!</f>
        <v>#REF!</v>
      </c>
      <c r="AH63" s="52" t="e">
        <f>+'Proyectos Base digitable'!#REF!</f>
        <v>#REF!</v>
      </c>
      <c r="AI63" s="52" t="e">
        <f>+'Proyectos Base digitable'!#REF!</f>
        <v>#REF!</v>
      </c>
      <c r="AJ63" s="59" t="e">
        <f>+'Proyectos Base digitable'!#REF!</f>
        <v>#REF!</v>
      </c>
      <c r="AK63" s="186" t="e">
        <f>+'Proyectos Base digitable'!#REF!</f>
        <v>#REF!</v>
      </c>
      <c r="AL63" s="186" t="e">
        <f>+'Proyectos Base digitable'!#REF!</f>
        <v>#REF!</v>
      </c>
      <c r="AM63" s="186" t="e">
        <f>+'Proyectos Base digitable'!#REF!</f>
        <v>#REF!</v>
      </c>
      <c r="AN63" s="186" t="e">
        <f>+'Proyectos Base digitable'!#REF!</f>
        <v>#REF!</v>
      </c>
      <c r="AO63" s="186" t="e">
        <f>+'Proyectos Base digitable'!#REF!</f>
        <v>#REF!</v>
      </c>
      <c r="AP63" s="186" t="e">
        <f>+'Proyectos Base digitable'!#REF!</f>
        <v>#REF!</v>
      </c>
      <c r="AQ63" s="186" t="e">
        <f>+'Proyectos Base digitable'!#REF!</f>
        <v>#REF!</v>
      </c>
      <c r="AR63" s="186" t="e">
        <f>+'Proyectos Base digitable'!#REF!</f>
        <v>#REF!</v>
      </c>
      <c r="AS63" s="186" t="e">
        <f>+'Proyectos Base digitable'!#REF!</f>
        <v>#REF!</v>
      </c>
      <c r="AT63" s="187" t="e">
        <f>+'Proyectos Base digitable'!#REF!</f>
        <v>#REF!</v>
      </c>
      <c r="AU63" s="56" t="e">
        <f>+'Proyectos Base digitable'!#REF!</f>
        <v>#REF!</v>
      </c>
      <c r="AV63" s="56" t="e">
        <f>+'Proyectos Base digitable'!#REF!</f>
        <v>#REF!</v>
      </c>
      <c r="AW63" s="56" t="e">
        <f>+'Proyectos Base digitable'!#REF!</f>
        <v>#REF!</v>
      </c>
      <c r="AX63" s="56" t="e">
        <f>+'Proyectos Base digitable'!#REF!</f>
        <v>#REF!</v>
      </c>
      <c r="AY63" s="56" t="e">
        <f>+'Proyectos Base digitable'!#REF!</f>
        <v>#REF!</v>
      </c>
      <c r="AZ63" s="188" t="e">
        <f>+'Proyectos Base digitable'!#REF!</f>
        <v>#REF!</v>
      </c>
      <c r="BA63" s="188" t="e">
        <f>+'Proyectos Base digitable'!#REF!</f>
        <v>#REF!</v>
      </c>
    </row>
    <row r="64" spans="1:53" ht="12.5">
      <c r="A64" s="60" t="e">
        <f>+'Proyectos Base digitable'!#REF!</f>
        <v>#REF!</v>
      </c>
      <c r="B64" s="56" t="e">
        <f>+'Proyectos Base digitable'!#REF!</f>
        <v>#REF!</v>
      </c>
      <c r="C64" s="56" t="e">
        <f>+'Proyectos Base digitable'!#REF!</f>
        <v>#REF!</v>
      </c>
      <c r="D64" s="56" t="e">
        <f>+'Proyectos Base digitable'!#REF!</f>
        <v>#REF!</v>
      </c>
      <c r="E64" s="56" t="e">
        <f>+'Proyectos Base digitable'!#REF!</f>
        <v>#REF!</v>
      </c>
      <c r="F64" s="56" t="e">
        <f>+'Proyectos Base digitable'!#REF!</f>
        <v>#REF!</v>
      </c>
      <c r="G64" s="57" t="e">
        <f>+'Proyectos Base digitable'!#REF!</f>
        <v>#REF!</v>
      </c>
      <c r="H64" s="56" t="e">
        <f>+'Proyectos Base digitable'!#REF!</f>
        <v>#REF!</v>
      </c>
      <c r="I64" s="56" t="e">
        <f>+'Proyectos Base digitable'!#REF!</f>
        <v>#REF!</v>
      </c>
      <c r="J64" s="56" t="e">
        <f>+'Proyectos Base digitable'!#REF!</f>
        <v>#REF!</v>
      </c>
      <c r="K64" s="56" t="e">
        <f>+'Proyectos Base digitable'!#REF!</f>
        <v>#REF!</v>
      </c>
      <c r="L64" s="56" t="e">
        <f>+'Proyectos Base digitable'!#REF!</f>
        <v>#REF!</v>
      </c>
      <c r="M64" s="56" t="e">
        <f>+'Proyectos Base digitable'!#REF!</f>
        <v>#REF!</v>
      </c>
      <c r="N64" s="52" t="e">
        <f>+'Proyectos Base digitable'!#REF!</f>
        <v>#REF!</v>
      </c>
      <c r="O64" s="52" t="e">
        <f>+'Proyectos Base digitable'!#REF!</f>
        <v>#REF!</v>
      </c>
      <c r="P64" s="185" t="e">
        <f>+'Proyectos Base digitable'!#REF!</f>
        <v>#REF!</v>
      </c>
      <c r="Q64" s="58" t="e">
        <f>+'Proyectos Base digitable'!#REF!</f>
        <v>#REF!</v>
      </c>
      <c r="R64" s="58" t="e">
        <f>+'Proyectos Base digitable'!#REF!</f>
        <v>#REF!</v>
      </c>
      <c r="S64" s="58" t="e">
        <f>+'Proyectos Base digitable'!#REF!</f>
        <v>#REF!</v>
      </c>
      <c r="T64" s="58" t="e">
        <f>+'Proyectos Base digitable'!#REF!</f>
        <v>#REF!</v>
      </c>
      <c r="U64" s="63" t="e">
        <f>'Proyectos Base digitable'!#REF!</f>
        <v>#REF!</v>
      </c>
      <c r="V64" s="63" t="e">
        <f>'Proyectos Base digitable'!#REF!</f>
        <v>#REF!</v>
      </c>
      <c r="W64" s="63" t="e">
        <f>'Proyectos Base digitable'!#REF!</f>
        <v>#REF!</v>
      </c>
      <c r="X64" s="63" t="e">
        <f>'Proyectos Base digitable'!#REF!</f>
        <v>#REF!</v>
      </c>
      <c r="Y64" s="63" t="e">
        <f>'Proyectos Base digitable'!#REF!</f>
        <v>#REF!</v>
      </c>
      <c r="Z64" s="58" t="e">
        <f>+'Proyectos Base digitable'!#REF!</f>
        <v>#REF!</v>
      </c>
      <c r="AA64" s="58" t="e">
        <f>+'Proyectos Base digitable'!#REF!</f>
        <v>#REF!</v>
      </c>
      <c r="AB64" s="63" t="e">
        <f>'Proyectos Base digitable'!#REF!</f>
        <v>#REF!</v>
      </c>
      <c r="AC64" s="56" t="e">
        <f>+'Proyectos Base digitable'!#REF!</f>
        <v>#REF!</v>
      </c>
      <c r="AD64" s="52" t="e">
        <f>+'Proyectos Base digitable'!#REF!</f>
        <v>#REF!</v>
      </c>
      <c r="AE64" s="52" t="e">
        <f>+'Proyectos Base digitable'!#REF!</f>
        <v>#REF!</v>
      </c>
      <c r="AF64" s="52" t="e">
        <f>+'Proyectos Base digitable'!#REF!</f>
        <v>#REF!</v>
      </c>
      <c r="AG64" s="56" t="e">
        <f>+'Proyectos Base digitable'!#REF!</f>
        <v>#REF!</v>
      </c>
      <c r="AH64" s="52" t="e">
        <f>+'Proyectos Base digitable'!#REF!</f>
        <v>#REF!</v>
      </c>
      <c r="AI64" s="52" t="e">
        <f>+'Proyectos Base digitable'!#REF!</f>
        <v>#REF!</v>
      </c>
      <c r="AJ64" s="59" t="e">
        <f>+'Proyectos Base digitable'!#REF!</f>
        <v>#REF!</v>
      </c>
      <c r="AK64" s="186" t="e">
        <f>+'Proyectos Base digitable'!#REF!</f>
        <v>#REF!</v>
      </c>
      <c r="AL64" s="186" t="e">
        <f>+'Proyectos Base digitable'!#REF!</f>
        <v>#REF!</v>
      </c>
      <c r="AM64" s="186" t="e">
        <f>+'Proyectos Base digitable'!#REF!</f>
        <v>#REF!</v>
      </c>
      <c r="AN64" s="186" t="e">
        <f>+'Proyectos Base digitable'!#REF!</f>
        <v>#REF!</v>
      </c>
      <c r="AO64" s="186" t="e">
        <f>+'Proyectos Base digitable'!#REF!</f>
        <v>#REF!</v>
      </c>
      <c r="AP64" s="186" t="e">
        <f>+'Proyectos Base digitable'!#REF!</f>
        <v>#REF!</v>
      </c>
      <c r="AQ64" s="186" t="e">
        <f>+'Proyectos Base digitable'!#REF!</f>
        <v>#REF!</v>
      </c>
      <c r="AR64" s="186" t="e">
        <f>+'Proyectos Base digitable'!#REF!</f>
        <v>#REF!</v>
      </c>
      <c r="AS64" s="186" t="e">
        <f>+'Proyectos Base digitable'!#REF!</f>
        <v>#REF!</v>
      </c>
      <c r="AT64" s="187" t="e">
        <f>+'Proyectos Base digitable'!#REF!</f>
        <v>#REF!</v>
      </c>
      <c r="AU64" s="56" t="e">
        <f>+'Proyectos Base digitable'!#REF!</f>
        <v>#REF!</v>
      </c>
      <c r="AV64" s="56" t="e">
        <f>+'Proyectos Base digitable'!#REF!</f>
        <v>#REF!</v>
      </c>
      <c r="AW64" s="56" t="e">
        <f>+'Proyectos Base digitable'!#REF!</f>
        <v>#REF!</v>
      </c>
      <c r="AX64" s="56" t="e">
        <f>+'Proyectos Base digitable'!#REF!</f>
        <v>#REF!</v>
      </c>
      <c r="AY64" s="56" t="e">
        <f>+'Proyectos Base digitable'!#REF!</f>
        <v>#REF!</v>
      </c>
      <c r="AZ64" s="188" t="e">
        <f>+'Proyectos Base digitable'!#REF!</f>
        <v>#REF!</v>
      </c>
      <c r="BA64" s="188" t="e">
        <f>+'Proyectos Base digitable'!#REF!</f>
        <v>#REF!</v>
      </c>
    </row>
    <row r="65" spans="1:53" ht="12.5">
      <c r="A65" s="60" t="e">
        <f>+'Proyectos Base digitable'!#REF!</f>
        <v>#REF!</v>
      </c>
      <c r="B65" s="56" t="e">
        <f>+'Proyectos Base digitable'!#REF!</f>
        <v>#REF!</v>
      </c>
      <c r="C65" s="56" t="e">
        <f>+'Proyectos Base digitable'!#REF!</f>
        <v>#REF!</v>
      </c>
      <c r="D65" s="56" t="e">
        <f>+'Proyectos Base digitable'!#REF!</f>
        <v>#REF!</v>
      </c>
      <c r="E65" s="56" t="e">
        <f>+'Proyectos Base digitable'!#REF!</f>
        <v>#REF!</v>
      </c>
      <c r="F65" s="56" t="e">
        <f>+'Proyectos Base digitable'!#REF!</f>
        <v>#REF!</v>
      </c>
      <c r="G65" s="57" t="e">
        <f>+'Proyectos Base digitable'!#REF!</f>
        <v>#REF!</v>
      </c>
      <c r="H65" s="56" t="e">
        <f>+'Proyectos Base digitable'!#REF!</f>
        <v>#REF!</v>
      </c>
      <c r="I65" s="56" t="e">
        <f>+'Proyectos Base digitable'!#REF!</f>
        <v>#REF!</v>
      </c>
      <c r="J65" s="56" t="e">
        <f>+'Proyectos Base digitable'!#REF!</f>
        <v>#REF!</v>
      </c>
      <c r="K65" s="56" t="e">
        <f>+'Proyectos Base digitable'!#REF!</f>
        <v>#REF!</v>
      </c>
      <c r="L65" s="56" t="e">
        <f>+'Proyectos Base digitable'!#REF!</f>
        <v>#REF!</v>
      </c>
      <c r="M65" s="56" t="e">
        <f>+'Proyectos Base digitable'!#REF!</f>
        <v>#REF!</v>
      </c>
      <c r="N65" s="52" t="e">
        <f>+'Proyectos Base digitable'!#REF!</f>
        <v>#REF!</v>
      </c>
      <c r="O65" s="52" t="e">
        <f>+'Proyectos Base digitable'!#REF!</f>
        <v>#REF!</v>
      </c>
      <c r="P65" s="185" t="e">
        <f>+'Proyectos Base digitable'!#REF!</f>
        <v>#REF!</v>
      </c>
      <c r="Q65" s="58" t="e">
        <f>+'Proyectos Base digitable'!#REF!</f>
        <v>#REF!</v>
      </c>
      <c r="R65" s="58" t="e">
        <f>+'Proyectos Base digitable'!#REF!</f>
        <v>#REF!</v>
      </c>
      <c r="S65" s="58" t="e">
        <f>+'Proyectos Base digitable'!#REF!</f>
        <v>#REF!</v>
      </c>
      <c r="T65" s="58" t="e">
        <f>+'Proyectos Base digitable'!#REF!</f>
        <v>#REF!</v>
      </c>
      <c r="U65" s="63" t="e">
        <f>'Proyectos Base digitable'!#REF!</f>
        <v>#REF!</v>
      </c>
      <c r="V65" s="63" t="e">
        <f>'Proyectos Base digitable'!#REF!</f>
        <v>#REF!</v>
      </c>
      <c r="W65" s="63" t="e">
        <f>'Proyectos Base digitable'!#REF!</f>
        <v>#REF!</v>
      </c>
      <c r="X65" s="63" t="e">
        <f>'Proyectos Base digitable'!#REF!</f>
        <v>#REF!</v>
      </c>
      <c r="Y65" s="63" t="e">
        <f>'Proyectos Base digitable'!#REF!</f>
        <v>#REF!</v>
      </c>
      <c r="Z65" s="58" t="e">
        <f>+'Proyectos Base digitable'!#REF!</f>
        <v>#REF!</v>
      </c>
      <c r="AA65" s="58" t="e">
        <f>+'Proyectos Base digitable'!#REF!</f>
        <v>#REF!</v>
      </c>
      <c r="AB65" s="63" t="e">
        <f>'Proyectos Base digitable'!#REF!</f>
        <v>#REF!</v>
      </c>
      <c r="AC65" s="56" t="e">
        <f>+'Proyectos Base digitable'!#REF!</f>
        <v>#REF!</v>
      </c>
      <c r="AD65" s="52" t="e">
        <f>+'Proyectos Base digitable'!#REF!</f>
        <v>#REF!</v>
      </c>
      <c r="AE65" s="52" t="e">
        <f>+'Proyectos Base digitable'!#REF!</f>
        <v>#REF!</v>
      </c>
      <c r="AF65" s="52" t="e">
        <f>+'Proyectos Base digitable'!#REF!</f>
        <v>#REF!</v>
      </c>
      <c r="AG65" s="56" t="e">
        <f>+'Proyectos Base digitable'!#REF!</f>
        <v>#REF!</v>
      </c>
      <c r="AH65" s="52" t="e">
        <f>+'Proyectos Base digitable'!#REF!</f>
        <v>#REF!</v>
      </c>
      <c r="AI65" s="52" t="e">
        <f>+'Proyectos Base digitable'!#REF!</f>
        <v>#REF!</v>
      </c>
      <c r="AJ65" s="59" t="e">
        <f>+'Proyectos Base digitable'!#REF!</f>
        <v>#REF!</v>
      </c>
      <c r="AK65" s="186" t="e">
        <f>+'Proyectos Base digitable'!#REF!</f>
        <v>#REF!</v>
      </c>
      <c r="AL65" s="186" t="e">
        <f>+'Proyectos Base digitable'!#REF!</f>
        <v>#REF!</v>
      </c>
      <c r="AM65" s="186" t="e">
        <f>+'Proyectos Base digitable'!#REF!</f>
        <v>#REF!</v>
      </c>
      <c r="AN65" s="186" t="e">
        <f>+'Proyectos Base digitable'!#REF!</f>
        <v>#REF!</v>
      </c>
      <c r="AO65" s="186" t="e">
        <f>+'Proyectos Base digitable'!#REF!</f>
        <v>#REF!</v>
      </c>
      <c r="AP65" s="186" t="e">
        <f>+'Proyectos Base digitable'!#REF!</f>
        <v>#REF!</v>
      </c>
      <c r="AQ65" s="186" t="e">
        <f>+'Proyectos Base digitable'!#REF!</f>
        <v>#REF!</v>
      </c>
      <c r="AR65" s="186" t="e">
        <f>+'Proyectos Base digitable'!#REF!</f>
        <v>#REF!</v>
      </c>
      <c r="AS65" s="186" t="e">
        <f>+'Proyectos Base digitable'!#REF!</f>
        <v>#REF!</v>
      </c>
      <c r="AT65" s="187" t="e">
        <f>+'Proyectos Base digitable'!#REF!</f>
        <v>#REF!</v>
      </c>
      <c r="AU65" s="56" t="e">
        <f>+'Proyectos Base digitable'!#REF!</f>
        <v>#REF!</v>
      </c>
      <c r="AV65" s="56" t="e">
        <f>+'Proyectos Base digitable'!#REF!</f>
        <v>#REF!</v>
      </c>
      <c r="AW65" s="56" t="e">
        <f>+'Proyectos Base digitable'!#REF!</f>
        <v>#REF!</v>
      </c>
      <c r="AX65" s="56" t="e">
        <f>+'Proyectos Base digitable'!#REF!</f>
        <v>#REF!</v>
      </c>
      <c r="AY65" s="56" t="e">
        <f>+'Proyectos Base digitable'!#REF!</f>
        <v>#REF!</v>
      </c>
      <c r="AZ65" s="188" t="e">
        <f>+'Proyectos Base digitable'!#REF!</f>
        <v>#REF!</v>
      </c>
      <c r="BA65" s="188" t="e">
        <f>+'Proyectos Base digitable'!#REF!</f>
        <v>#REF!</v>
      </c>
    </row>
    <row r="66" spans="1:53" ht="12.5">
      <c r="A66" s="60" t="e">
        <f>+'Proyectos Base digitable'!#REF!</f>
        <v>#REF!</v>
      </c>
      <c r="B66" s="56" t="e">
        <f>+'Proyectos Base digitable'!#REF!</f>
        <v>#REF!</v>
      </c>
      <c r="C66" s="56" t="e">
        <f>+'Proyectos Base digitable'!#REF!</f>
        <v>#REF!</v>
      </c>
      <c r="D66" s="56" t="e">
        <f>+'Proyectos Base digitable'!#REF!</f>
        <v>#REF!</v>
      </c>
      <c r="E66" s="56" t="e">
        <f>+'Proyectos Base digitable'!#REF!</f>
        <v>#REF!</v>
      </c>
      <c r="F66" s="56" t="e">
        <f>+'Proyectos Base digitable'!#REF!</f>
        <v>#REF!</v>
      </c>
      <c r="G66" s="57" t="e">
        <f>+'Proyectos Base digitable'!#REF!</f>
        <v>#REF!</v>
      </c>
      <c r="H66" s="56" t="e">
        <f>+'Proyectos Base digitable'!#REF!</f>
        <v>#REF!</v>
      </c>
      <c r="I66" s="56" t="e">
        <f>+'Proyectos Base digitable'!#REF!</f>
        <v>#REF!</v>
      </c>
      <c r="J66" s="56" t="e">
        <f>+'Proyectos Base digitable'!#REF!</f>
        <v>#REF!</v>
      </c>
      <c r="K66" s="56" t="e">
        <f>+'Proyectos Base digitable'!#REF!</f>
        <v>#REF!</v>
      </c>
      <c r="L66" s="56" t="e">
        <f>+'Proyectos Base digitable'!#REF!</f>
        <v>#REF!</v>
      </c>
      <c r="M66" s="56" t="e">
        <f>+'Proyectos Base digitable'!#REF!</f>
        <v>#REF!</v>
      </c>
      <c r="N66" s="52" t="e">
        <f>+'Proyectos Base digitable'!#REF!</f>
        <v>#REF!</v>
      </c>
      <c r="O66" s="52" t="e">
        <f>+'Proyectos Base digitable'!#REF!</f>
        <v>#REF!</v>
      </c>
      <c r="P66" s="185" t="e">
        <f>+'Proyectos Base digitable'!#REF!</f>
        <v>#REF!</v>
      </c>
      <c r="Q66" s="58" t="e">
        <f>+'Proyectos Base digitable'!#REF!</f>
        <v>#REF!</v>
      </c>
      <c r="R66" s="58" t="e">
        <f>+'Proyectos Base digitable'!#REF!</f>
        <v>#REF!</v>
      </c>
      <c r="S66" s="58" t="e">
        <f>+'Proyectos Base digitable'!#REF!</f>
        <v>#REF!</v>
      </c>
      <c r="T66" s="58" t="e">
        <f>+'Proyectos Base digitable'!#REF!</f>
        <v>#REF!</v>
      </c>
      <c r="U66" s="63" t="e">
        <f>'Proyectos Base digitable'!#REF!</f>
        <v>#REF!</v>
      </c>
      <c r="V66" s="63" t="e">
        <f>'Proyectos Base digitable'!#REF!</f>
        <v>#REF!</v>
      </c>
      <c r="W66" s="63" t="e">
        <f>'Proyectos Base digitable'!#REF!</f>
        <v>#REF!</v>
      </c>
      <c r="X66" s="63" t="e">
        <f>'Proyectos Base digitable'!#REF!</f>
        <v>#REF!</v>
      </c>
      <c r="Y66" s="63" t="e">
        <f>'Proyectos Base digitable'!#REF!</f>
        <v>#REF!</v>
      </c>
      <c r="Z66" s="58" t="e">
        <f>+'Proyectos Base digitable'!#REF!</f>
        <v>#REF!</v>
      </c>
      <c r="AA66" s="58" t="e">
        <f>+'Proyectos Base digitable'!#REF!</f>
        <v>#REF!</v>
      </c>
      <c r="AB66" s="63" t="e">
        <f>'Proyectos Base digitable'!#REF!</f>
        <v>#REF!</v>
      </c>
      <c r="AC66" s="56" t="e">
        <f>+'Proyectos Base digitable'!#REF!</f>
        <v>#REF!</v>
      </c>
      <c r="AD66" s="52" t="e">
        <f>+'Proyectos Base digitable'!#REF!</f>
        <v>#REF!</v>
      </c>
      <c r="AE66" s="52" t="e">
        <f>+'Proyectos Base digitable'!#REF!</f>
        <v>#REF!</v>
      </c>
      <c r="AF66" s="52" t="e">
        <f>+'Proyectos Base digitable'!#REF!</f>
        <v>#REF!</v>
      </c>
      <c r="AG66" s="56" t="e">
        <f>+'Proyectos Base digitable'!#REF!</f>
        <v>#REF!</v>
      </c>
      <c r="AH66" s="52" t="e">
        <f>+'Proyectos Base digitable'!#REF!</f>
        <v>#REF!</v>
      </c>
      <c r="AI66" s="52" t="e">
        <f>+'Proyectos Base digitable'!#REF!</f>
        <v>#REF!</v>
      </c>
      <c r="AJ66" s="59" t="e">
        <f>+'Proyectos Base digitable'!#REF!</f>
        <v>#REF!</v>
      </c>
      <c r="AK66" s="186" t="e">
        <f>+'Proyectos Base digitable'!#REF!</f>
        <v>#REF!</v>
      </c>
      <c r="AL66" s="186" t="e">
        <f>+'Proyectos Base digitable'!#REF!</f>
        <v>#REF!</v>
      </c>
      <c r="AM66" s="186" t="e">
        <f>+'Proyectos Base digitable'!#REF!</f>
        <v>#REF!</v>
      </c>
      <c r="AN66" s="186" t="e">
        <f>+'Proyectos Base digitable'!#REF!</f>
        <v>#REF!</v>
      </c>
      <c r="AO66" s="186" t="e">
        <f>+'Proyectos Base digitable'!#REF!</f>
        <v>#REF!</v>
      </c>
      <c r="AP66" s="186" t="e">
        <f>+'Proyectos Base digitable'!#REF!</f>
        <v>#REF!</v>
      </c>
      <c r="AQ66" s="186" t="e">
        <f>+'Proyectos Base digitable'!#REF!</f>
        <v>#REF!</v>
      </c>
      <c r="AR66" s="186" t="e">
        <f>+'Proyectos Base digitable'!#REF!</f>
        <v>#REF!</v>
      </c>
      <c r="AS66" s="186" t="e">
        <f>+'Proyectos Base digitable'!#REF!</f>
        <v>#REF!</v>
      </c>
      <c r="AT66" s="187" t="e">
        <f>+'Proyectos Base digitable'!#REF!</f>
        <v>#REF!</v>
      </c>
      <c r="AU66" s="56" t="e">
        <f>+'Proyectos Base digitable'!#REF!</f>
        <v>#REF!</v>
      </c>
      <c r="AV66" s="56" t="e">
        <f>+'Proyectos Base digitable'!#REF!</f>
        <v>#REF!</v>
      </c>
      <c r="AW66" s="56" t="e">
        <f>+'Proyectos Base digitable'!#REF!</f>
        <v>#REF!</v>
      </c>
      <c r="AX66" s="56" t="e">
        <f>+'Proyectos Base digitable'!#REF!</f>
        <v>#REF!</v>
      </c>
      <c r="AY66" s="56" t="e">
        <f>+'Proyectos Base digitable'!#REF!</f>
        <v>#REF!</v>
      </c>
      <c r="AZ66" s="188" t="e">
        <f>+'Proyectos Base digitable'!#REF!</f>
        <v>#REF!</v>
      </c>
      <c r="BA66" s="188" t="e">
        <f>+'Proyectos Base digitable'!#REF!</f>
        <v>#REF!</v>
      </c>
    </row>
    <row r="67" spans="1:53" ht="12.5">
      <c r="A67" s="60" t="e">
        <f>+'Proyectos Base digitable'!#REF!</f>
        <v>#REF!</v>
      </c>
      <c r="B67" s="56" t="e">
        <f>+'Proyectos Base digitable'!#REF!</f>
        <v>#REF!</v>
      </c>
      <c r="C67" s="56" t="e">
        <f>+'Proyectos Base digitable'!#REF!</f>
        <v>#REF!</v>
      </c>
      <c r="D67" s="56" t="e">
        <f>+'Proyectos Base digitable'!#REF!</f>
        <v>#REF!</v>
      </c>
      <c r="E67" s="56" t="e">
        <f>+'Proyectos Base digitable'!#REF!</f>
        <v>#REF!</v>
      </c>
      <c r="F67" s="56" t="e">
        <f>+'Proyectos Base digitable'!#REF!</f>
        <v>#REF!</v>
      </c>
      <c r="G67" s="57" t="e">
        <f>+'Proyectos Base digitable'!#REF!</f>
        <v>#REF!</v>
      </c>
      <c r="H67" s="56" t="e">
        <f>+'Proyectos Base digitable'!#REF!</f>
        <v>#REF!</v>
      </c>
      <c r="I67" s="56" t="e">
        <f>+'Proyectos Base digitable'!#REF!</f>
        <v>#REF!</v>
      </c>
      <c r="J67" s="56" t="e">
        <f>+'Proyectos Base digitable'!#REF!</f>
        <v>#REF!</v>
      </c>
      <c r="K67" s="56" t="e">
        <f>+'Proyectos Base digitable'!#REF!</f>
        <v>#REF!</v>
      </c>
      <c r="L67" s="56" t="e">
        <f>+'Proyectos Base digitable'!#REF!</f>
        <v>#REF!</v>
      </c>
      <c r="M67" s="56" t="e">
        <f>+'Proyectos Base digitable'!#REF!</f>
        <v>#REF!</v>
      </c>
      <c r="N67" s="52" t="e">
        <f>+'Proyectos Base digitable'!#REF!</f>
        <v>#REF!</v>
      </c>
      <c r="O67" s="52" t="e">
        <f>+'Proyectos Base digitable'!#REF!</f>
        <v>#REF!</v>
      </c>
      <c r="P67" s="185" t="e">
        <f>+'Proyectos Base digitable'!#REF!</f>
        <v>#REF!</v>
      </c>
      <c r="Q67" s="58" t="e">
        <f>+'Proyectos Base digitable'!#REF!</f>
        <v>#REF!</v>
      </c>
      <c r="R67" s="58" t="e">
        <f>+'Proyectos Base digitable'!#REF!</f>
        <v>#REF!</v>
      </c>
      <c r="S67" s="58" t="e">
        <f>+'Proyectos Base digitable'!#REF!</f>
        <v>#REF!</v>
      </c>
      <c r="T67" s="58" t="e">
        <f>+'Proyectos Base digitable'!#REF!</f>
        <v>#REF!</v>
      </c>
      <c r="U67" s="63" t="e">
        <f>'Proyectos Base digitable'!#REF!</f>
        <v>#REF!</v>
      </c>
      <c r="V67" s="63" t="e">
        <f>'Proyectos Base digitable'!#REF!</f>
        <v>#REF!</v>
      </c>
      <c r="W67" s="63" t="e">
        <f>'Proyectos Base digitable'!#REF!</f>
        <v>#REF!</v>
      </c>
      <c r="X67" s="63" t="e">
        <f>'Proyectos Base digitable'!#REF!</f>
        <v>#REF!</v>
      </c>
      <c r="Y67" s="63" t="e">
        <f>'Proyectos Base digitable'!#REF!</f>
        <v>#REF!</v>
      </c>
      <c r="Z67" s="58" t="e">
        <f>+'Proyectos Base digitable'!#REF!</f>
        <v>#REF!</v>
      </c>
      <c r="AA67" s="58" t="e">
        <f>+'Proyectos Base digitable'!#REF!</f>
        <v>#REF!</v>
      </c>
      <c r="AB67" s="63" t="e">
        <f>'Proyectos Base digitable'!#REF!</f>
        <v>#REF!</v>
      </c>
      <c r="AC67" s="56" t="e">
        <f>+'Proyectos Base digitable'!#REF!</f>
        <v>#REF!</v>
      </c>
      <c r="AD67" s="52" t="e">
        <f>+'Proyectos Base digitable'!#REF!</f>
        <v>#REF!</v>
      </c>
      <c r="AE67" s="52" t="e">
        <f>+'Proyectos Base digitable'!#REF!</f>
        <v>#REF!</v>
      </c>
      <c r="AF67" s="52" t="e">
        <f>+'Proyectos Base digitable'!#REF!</f>
        <v>#REF!</v>
      </c>
      <c r="AG67" s="56" t="e">
        <f>+'Proyectos Base digitable'!#REF!</f>
        <v>#REF!</v>
      </c>
      <c r="AH67" s="52" t="e">
        <f>+'Proyectos Base digitable'!#REF!</f>
        <v>#REF!</v>
      </c>
      <c r="AI67" s="52" t="e">
        <f>+'Proyectos Base digitable'!#REF!</f>
        <v>#REF!</v>
      </c>
      <c r="AJ67" s="59" t="e">
        <f>+'Proyectos Base digitable'!#REF!</f>
        <v>#REF!</v>
      </c>
      <c r="AK67" s="186" t="e">
        <f>+'Proyectos Base digitable'!#REF!</f>
        <v>#REF!</v>
      </c>
      <c r="AL67" s="186" t="e">
        <f>+'Proyectos Base digitable'!#REF!</f>
        <v>#REF!</v>
      </c>
      <c r="AM67" s="186" t="e">
        <f>+'Proyectos Base digitable'!#REF!</f>
        <v>#REF!</v>
      </c>
      <c r="AN67" s="186" t="e">
        <f>+'Proyectos Base digitable'!#REF!</f>
        <v>#REF!</v>
      </c>
      <c r="AO67" s="186" t="e">
        <f>+'Proyectos Base digitable'!#REF!</f>
        <v>#REF!</v>
      </c>
      <c r="AP67" s="186" t="e">
        <f>+'Proyectos Base digitable'!#REF!</f>
        <v>#REF!</v>
      </c>
      <c r="AQ67" s="186" t="e">
        <f>+'Proyectos Base digitable'!#REF!</f>
        <v>#REF!</v>
      </c>
      <c r="AR67" s="186" t="e">
        <f>+'Proyectos Base digitable'!#REF!</f>
        <v>#REF!</v>
      </c>
      <c r="AS67" s="186" t="e">
        <f>+'Proyectos Base digitable'!#REF!</f>
        <v>#REF!</v>
      </c>
      <c r="AT67" s="187" t="e">
        <f>+'Proyectos Base digitable'!#REF!</f>
        <v>#REF!</v>
      </c>
      <c r="AU67" s="56" t="e">
        <f>+'Proyectos Base digitable'!#REF!</f>
        <v>#REF!</v>
      </c>
      <c r="AV67" s="56" t="e">
        <f>+'Proyectos Base digitable'!#REF!</f>
        <v>#REF!</v>
      </c>
      <c r="AW67" s="56" t="e">
        <f>+'Proyectos Base digitable'!#REF!</f>
        <v>#REF!</v>
      </c>
      <c r="AX67" s="56" t="e">
        <f>+'Proyectos Base digitable'!#REF!</f>
        <v>#REF!</v>
      </c>
      <c r="AY67" s="56" t="e">
        <f>+'Proyectos Base digitable'!#REF!</f>
        <v>#REF!</v>
      </c>
      <c r="AZ67" s="188" t="e">
        <f>+'Proyectos Base digitable'!#REF!</f>
        <v>#REF!</v>
      </c>
      <c r="BA67" s="188" t="e">
        <f>+'Proyectos Base digitable'!#REF!</f>
        <v>#REF!</v>
      </c>
    </row>
    <row r="68" spans="1:53" ht="12.5">
      <c r="A68" s="60" t="e">
        <f>+'Proyectos Base digitable'!#REF!</f>
        <v>#REF!</v>
      </c>
      <c r="B68" s="56" t="e">
        <f>+'Proyectos Base digitable'!#REF!</f>
        <v>#REF!</v>
      </c>
      <c r="C68" s="56" t="e">
        <f>+'Proyectos Base digitable'!#REF!</f>
        <v>#REF!</v>
      </c>
      <c r="D68" s="56" t="e">
        <f>+'Proyectos Base digitable'!#REF!</f>
        <v>#REF!</v>
      </c>
      <c r="E68" s="56" t="e">
        <f>+'Proyectos Base digitable'!#REF!</f>
        <v>#REF!</v>
      </c>
      <c r="F68" s="56" t="e">
        <f>+'Proyectos Base digitable'!#REF!</f>
        <v>#REF!</v>
      </c>
      <c r="G68" s="57" t="e">
        <f>+'Proyectos Base digitable'!#REF!</f>
        <v>#REF!</v>
      </c>
      <c r="H68" s="56" t="e">
        <f>+'Proyectos Base digitable'!#REF!</f>
        <v>#REF!</v>
      </c>
      <c r="I68" s="56" t="e">
        <f>+'Proyectos Base digitable'!#REF!</f>
        <v>#REF!</v>
      </c>
      <c r="J68" s="56" t="e">
        <f>+'Proyectos Base digitable'!#REF!</f>
        <v>#REF!</v>
      </c>
      <c r="K68" s="56" t="e">
        <f>+'Proyectos Base digitable'!#REF!</f>
        <v>#REF!</v>
      </c>
      <c r="L68" s="56" t="e">
        <f>+'Proyectos Base digitable'!#REF!</f>
        <v>#REF!</v>
      </c>
      <c r="M68" s="56" t="e">
        <f>+'Proyectos Base digitable'!#REF!</f>
        <v>#REF!</v>
      </c>
      <c r="N68" s="52" t="e">
        <f>+'Proyectos Base digitable'!#REF!</f>
        <v>#REF!</v>
      </c>
      <c r="O68" s="52" t="e">
        <f>+'Proyectos Base digitable'!#REF!</f>
        <v>#REF!</v>
      </c>
      <c r="P68" s="185" t="e">
        <f>+'Proyectos Base digitable'!#REF!</f>
        <v>#REF!</v>
      </c>
      <c r="Q68" s="58" t="e">
        <f>+'Proyectos Base digitable'!#REF!</f>
        <v>#REF!</v>
      </c>
      <c r="R68" s="58" t="e">
        <f>+'Proyectos Base digitable'!#REF!</f>
        <v>#REF!</v>
      </c>
      <c r="S68" s="58" t="e">
        <f>+'Proyectos Base digitable'!#REF!</f>
        <v>#REF!</v>
      </c>
      <c r="T68" s="58" t="e">
        <f>+'Proyectos Base digitable'!#REF!</f>
        <v>#REF!</v>
      </c>
      <c r="U68" s="63" t="e">
        <f>'Proyectos Base digitable'!#REF!</f>
        <v>#REF!</v>
      </c>
      <c r="V68" s="63" t="e">
        <f>'Proyectos Base digitable'!#REF!</f>
        <v>#REF!</v>
      </c>
      <c r="W68" s="63" t="e">
        <f>'Proyectos Base digitable'!#REF!</f>
        <v>#REF!</v>
      </c>
      <c r="X68" s="63" t="e">
        <f>'Proyectos Base digitable'!#REF!</f>
        <v>#REF!</v>
      </c>
      <c r="Y68" s="63" t="e">
        <f>'Proyectos Base digitable'!#REF!</f>
        <v>#REF!</v>
      </c>
      <c r="Z68" s="58" t="e">
        <f>+'Proyectos Base digitable'!#REF!</f>
        <v>#REF!</v>
      </c>
      <c r="AA68" s="58" t="e">
        <f>+'Proyectos Base digitable'!#REF!</f>
        <v>#REF!</v>
      </c>
      <c r="AB68" s="63" t="e">
        <f>'Proyectos Base digitable'!#REF!</f>
        <v>#REF!</v>
      </c>
      <c r="AC68" s="56" t="e">
        <f>+'Proyectos Base digitable'!#REF!</f>
        <v>#REF!</v>
      </c>
      <c r="AD68" s="52" t="e">
        <f>+'Proyectos Base digitable'!#REF!</f>
        <v>#REF!</v>
      </c>
      <c r="AE68" s="52" t="e">
        <f>+'Proyectos Base digitable'!#REF!</f>
        <v>#REF!</v>
      </c>
      <c r="AF68" s="52" t="e">
        <f>+'Proyectos Base digitable'!#REF!</f>
        <v>#REF!</v>
      </c>
      <c r="AG68" s="56" t="e">
        <f>+'Proyectos Base digitable'!#REF!</f>
        <v>#REF!</v>
      </c>
      <c r="AH68" s="52" t="e">
        <f>+'Proyectos Base digitable'!#REF!</f>
        <v>#REF!</v>
      </c>
      <c r="AI68" s="52" t="e">
        <f>+'Proyectos Base digitable'!#REF!</f>
        <v>#REF!</v>
      </c>
      <c r="AJ68" s="59" t="e">
        <f>+'Proyectos Base digitable'!#REF!</f>
        <v>#REF!</v>
      </c>
      <c r="AK68" s="186" t="e">
        <f>+'Proyectos Base digitable'!#REF!</f>
        <v>#REF!</v>
      </c>
      <c r="AL68" s="186" t="e">
        <f>+'Proyectos Base digitable'!#REF!</f>
        <v>#REF!</v>
      </c>
      <c r="AM68" s="186" t="e">
        <f>+'Proyectos Base digitable'!#REF!</f>
        <v>#REF!</v>
      </c>
      <c r="AN68" s="186" t="e">
        <f>+'Proyectos Base digitable'!#REF!</f>
        <v>#REF!</v>
      </c>
      <c r="AO68" s="186" t="e">
        <f>+'Proyectos Base digitable'!#REF!</f>
        <v>#REF!</v>
      </c>
      <c r="AP68" s="186" t="e">
        <f>+'Proyectos Base digitable'!#REF!</f>
        <v>#REF!</v>
      </c>
      <c r="AQ68" s="186" t="e">
        <f>+'Proyectos Base digitable'!#REF!</f>
        <v>#REF!</v>
      </c>
      <c r="AR68" s="186" t="e">
        <f>+'Proyectos Base digitable'!#REF!</f>
        <v>#REF!</v>
      </c>
      <c r="AS68" s="186" t="e">
        <f>+'Proyectos Base digitable'!#REF!</f>
        <v>#REF!</v>
      </c>
      <c r="AT68" s="187" t="e">
        <f>+'Proyectos Base digitable'!#REF!</f>
        <v>#REF!</v>
      </c>
      <c r="AU68" s="56" t="e">
        <f>+'Proyectos Base digitable'!#REF!</f>
        <v>#REF!</v>
      </c>
      <c r="AV68" s="56" t="e">
        <f>+'Proyectos Base digitable'!#REF!</f>
        <v>#REF!</v>
      </c>
      <c r="AW68" s="56" t="e">
        <f>+'Proyectos Base digitable'!#REF!</f>
        <v>#REF!</v>
      </c>
      <c r="AX68" s="56" t="e">
        <f>+'Proyectos Base digitable'!#REF!</f>
        <v>#REF!</v>
      </c>
      <c r="AY68" s="56" t="e">
        <f>+'Proyectos Base digitable'!#REF!</f>
        <v>#REF!</v>
      </c>
      <c r="AZ68" s="188" t="e">
        <f>+'Proyectos Base digitable'!#REF!</f>
        <v>#REF!</v>
      </c>
      <c r="BA68" s="188" t="e">
        <f>+'Proyectos Base digitable'!#REF!</f>
        <v>#REF!</v>
      </c>
    </row>
    <row r="69" spans="1:53" ht="12.5">
      <c r="A69" s="60" t="e">
        <f>+'Proyectos Base digitable'!#REF!</f>
        <v>#REF!</v>
      </c>
      <c r="B69" s="56" t="e">
        <f>+'Proyectos Base digitable'!#REF!</f>
        <v>#REF!</v>
      </c>
      <c r="C69" s="56" t="e">
        <f>+'Proyectos Base digitable'!#REF!</f>
        <v>#REF!</v>
      </c>
      <c r="D69" s="56" t="e">
        <f>+'Proyectos Base digitable'!#REF!</f>
        <v>#REF!</v>
      </c>
      <c r="E69" s="56" t="e">
        <f>+'Proyectos Base digitable'!#REF!</f>
        <v>#REF!</v>
      </c>
      <c r="F69" s="56" t="e">
        <f>+'Proyectos Base digitable'!#REF!</f>
        <v>#REF!</v>
      </c>
      <c r="G69" s="57" t="e">
        <f>+'Proyectos Base digitable'!#REF!</f>
        <v>#REF!</v>
      </c>
      <c r="H69" s="56" t="e">
        <f>+'Proyectos Base digitable'!#REF!</f>
        <v>#REF!</v>
      </c>
      <c r="I69" s="56" t="e">
        <f>+'Proyectos Base digitable'!#REF!</f>
        <v>#REF!</v>
      </c>
      <c r="J69" s="56" t="e">
        <f>+'Proyectos Base digitable'!#REF!</f>
        <v>#REF!</v>
      </c>
      <c r="K69" s="56" t="e">
        <f>+'Proyectos Base digitable'!#REF!</f>
        <v>#REF!</v>
      </c>
      <c r="L69" s="56" t="e">
        <f>+'Proyectos Base digitable'!#REF!</f>
        <v>#REF!</v>
      </c>
      <c r="M69" s="56" t="e">
        <f>+'Proyectos Base digitable'!#REF!</f>
        <v>#REF!</v>
      </c>
      <c r="N69" s="52" t="e">
        <f>+'Proyectos Base digitable'!#REF!</f>
        <v>#REF!</v>
      </c>
      <c r="O69" s="52" t="e">
        <f>+'Proyectos Base digitable'!#REF!</f>
        <v>#REF!</v>
      </c>
      <c r="P69" s="185" t="e">
        <f>+'Proyectos Base digitable'!#REF!</f>
        <v>#REF!</v>
      </c>
      <c r="Q69" s="58" t="e">
        <f>+'Proyectos Base digitable'!#REF!</f>
        <v>#REF!</v>
      </c>
      <c r="R69" s="58" t="e">
        <f>+'Proyectos Base digitable'!#REF!</f>
        <v>#REF!</v>
      </c>
      <c r="S69" s="58" t="e">
        <f>+'Proyectos Base digitable'!#REF!</f>
        <v>#REF!</v>
      </c>
      <c r="T69" s="58" t="e">
        <f>+'Proyectos Base digitable'!#REF!</f>
        <v>#REF!</v>
      </c>
      <c r="U69" s="63" t="e">
        <f>'Proyectos Base digitable'!#REF!</f>
        <v>#REF!</v>
      </c>
      <c r="V69" s="63" t="e">
        <f>'Proyectos Base digitable'!#REF!</f>
        <v>#REF!</v>
      </c>
      <c r="W69" s="63" t="e">
        <f>'Proyectos Base digitable'!#REF!</f>
        <v>#REF!</v>
      </c>
      <c r="X69" s="63" t="e">
        <f>'Proyectos Base digitable'!#REF!</f>
        <v>#REF!</v>
      </c>
      <c r="Y69" s="63" t="e">
        <f>'Proyectos Base digitable'!#REF!</f>
        <v>#REF!</v>
      </c>
      <c r="Z69" s="58" t="e">
        <f>+'Proyectos Base digitable'!#REF!</f>
        <v>#REF!</v>
      </c>
      <c r="AA69" s="58" t="e">
        <f>+'Proyectos Base digitable'!#REF!</f>
        <v>#REF!</v>
      </c>
      <c r="AB69" s="63" t="e">
        <f>'Proyectos Base digitable'!#REF!</f>
        <v>#REF!</v>
      </c>
      <c r="AC69" s="56" t="e">
        <f>+'Proyectos Base digitable'!#REF!</f>
        <v>#REF!</v>
      </c>
      <c r="AD69" s="52" t="e">
        <f>+'Proyectos Base digitable'!#REF!</f>
        <v>#REF!</v>
      </c>
      <c r="AE69" s="52" t="e">
        <f>+'Proyectos Base digitable'!#REF!</f>
        <v>#REF!</v>
      </c>
      <c r="AF69" s="52" t="e">
        <f>+'Proyectos Base digitable'!#REF!</f>
        <v>#REF!</v>
      </c>
      <c r="AG69" s="56" t="e">
        <f>+'Proyectos Base digitable'!#REF!</f>
        <v>#REF!</v>
      </c>
      <c r="AH69" s="52" t="e">
        <f>+'Proyectos Base digitable'!#REF!</f>
        <v>#REF!</v>
      </c>
      <c r="AI69" s="52" t="e">
        <f>+'Proyectos Base digitable'!#REF!</f>
        <v>#REF!</v>
      </c>
      <c r="AJ69" s="59" t="e">
        <f>+'Proyectos Base digitable'!#REF!</f>
        <v>#REF!</v>
      </c>
      <c r="AK69" s="186" t="e">
        <f>+'Proyectos Base digitable'!#REF!</f>
        <v>#REF!</v>
      </c>
      <c r="AL69" s="186" t="e">
        <f>+'Proyectos Base digitable'!#REF!</f>
        <v>#REF!</v>
      </c>
      <c r="AM69" s="186" t="e">
        <f>+'Proyectos Base digitable'!#REF!</f>
        <v>#REF!</v>
      </c>
      <c r="AN69" s="186" t="e">
        <f>+'Proyectos Base digitable'!#REF!</f>
        <v>#REF!</v>
      </c>
      <c r="AO69" s="186" t="e">
        <f>+'Proyectos Base digitable'!#REF!</f>
        <v>#REF!</v>
      </c>
      <c r="AP69" s="186" t="e">
        <f>+'Proyectos Base digitable'!#REF!</f>
        <v>#REF!</v>
      </c>
      <c r="AQ69" s="186" t="e">
        <f>+'Proyectos Base digitable'!#REF!</f>
        <v>#REF!</v>
      </c>
      <c r="AR69" s="186" t="e">
        <f>+'Proyectos Base digitable'!#REF!</f>
        <v>#REF!</v>
      </c>
      <c r="AS69" s="186" t="e">
        <f>+'Proyectos Base digitable'!#REF!</f>
        <v>#REF!</v>
      </c>
      <c r="AT69" s="187" t="e">
        <f>+'Proyectos Base digitable'!#REF!</f>
        <v>#REF!</v>
      </c>
      <c r="AU69" s="56" t="e">
        <f>+'Proyectos Base digitable'!#REF!</f>
        <v>#REF!</v>
      </c>
      <c r="AV69" s="56" t="e">
        <f>+'Proyectos Base digitable'!#REF!</f>
        <v>#REF!</v>
      </c>
      <c r="AW69" s="56" t="e">
        <f>+'Proyectos Base digitable'!#REF!</f>
        <v>#REF!</v>
      </c>
      <c r="AX69" s="56" t="e">
        <f>+'Proyectos Base digitable'!#REF!</f>
        <v>#REF!</v>
      </c>
      <c r="AY69" s="56" t="e">
        <f>+'Proyectos Base digitable'!#REF!</f>
        <v>#REF!</v>
      </c>
      <c r="AZ69" s="188" t="e">
        <f>+'Proyectos Base digitable'!#REF!</f>
        <v>#REF!</v>
      </c>
      <c r="BA69" s="188" t="e">
        <f>+'Proyectos Base digitable'!#REF!</f>
        <v>#REF!</v>
      </c>
    </row>
    <row r="70" spans="1:53" ht="12.5">
      <c r="A70" s="60" t="e">
        <f>+'Proyectos Base digitable'!#REF!</f>
        <v>#REF!</v>
      </c>
      <c r="B70" s="56" t="e">
        <f>+'Proyectos Base digitable'!#REF!</f>
        <v>#REF!</v>
      </c>
      <c r="C70" s="56" t="e">
        <f>+'Proyectos Base digitable'!#REF!</f>
        <v>#REF!</v>
      </c>
      <c r="D70" s="56" t="e">
        <f>+'Proyectos Base digitable'!#REF!</f>
        <v>#REF!</v>
      </c>
      <c r="E70" s="56" t="e">
        <f>+'Proyectos Base digitable'!#REF!</f>
        <v>#REF!</v>
      </c>
      <c r="F70" s="56" t="e">
        <f>+'Proyectos Base digitable'!#REF!</f>
        <v>#REF!</v>
      </c>
      <c r="G70" s="57" t="e">
        <f>+'Proyectos Base digitable'!#REF!</f>
        <v>#REF!</v>
      </c>
      <c r="H70" s="56" t="e">
        <f>+'Proyectos Base digitable'!#REF!</f>
        <v>#REF!</v>
      </c>
      <c r="I70" s="56" t="e">
        <f>+'Proyectos Base digitable'!#REF!</f>
        <v>#REF!</v>
      </c>
      <c r="J70" s="56" t="e">
        <f>+'Proyectos Base digitable'!#REF!</f>
        <v>#REF!</v>
      </c>
      <c r="K70" s="56" t="e">
        <f>+'Proyectos Base digitable'!#REF!</f>
        <v>#REF!</v>
      </c>
      <c r="L70" s="56" t="e">
        <f>+'Proyectos Base digitable'!#REF!</f>
        <v>#REF!</v>
      </c>
      <c r="M70" s="56" t="e">
        <f>+'Proyectos Base digitable'!#REF!</f>
        <v>#REF!</v>
      </c>
      <c r="N70" s="52" t="e">
        <f>+'Proyectos Base digitable'!#REF!</f>
        <v>#REF!</v>
      </c>
      <c r="O70" s="52" t="e">
        <f>+'Proyectos Base digitable'!#REF!</f>
        <v>#REF!</v>
      </c>
      <c r="P70" s="185" t="e">
        <f>+'Proyectos Base digitable'!#REF!</f>
        <v>#REF!</v>
      </c>
      <c r="Q70" s="58" t="e">
        <f>+'Proyectos Base digitable'!#REF!</f>
        <v>#REF!</v>
      </c>
      <c r="R70" s="58" t="e">
        <f>+'Proyectos Base digitable'!#REF!</f>
        <v>#REF!</v>
      </c>
      <c r="S70" s="58" t="e">
        <f>+'Proyectos Base digitable'!#REF!</f>
        <v>#REF!</v>
      </c>
      <c r="T70" s="58" t="e">
        <f>+'Proyectos Base digitable'!#REF!</f>
        <v>#REF!</v>
      </c>
      <c r="U70" s="63" t="e">
        <f>'Proyectos Base digitable'!#REF!</f>
        <v>#REF!</v>
      </c>
      <c r="V70" s="63" t="e">
        <f>'Proyectos Base digitable'!#REF!</f>
        <v>#REF!</v>
      </c>
      <c r="W70" s="63" t="e">
        <f>'Proyectos Base digitable'!#REF!</f>
        <v>#REF!</v>
      </c>
      <c r="X70" s="63" t="e">
        <f>'Proyectos Base digitable'!#REF!</f>
        <v>#REF!</v>
      </c>
      <c r="Y70" s="63" t="e">
        <f>'Proyectos Base digitable'!#REF!</f>
        <v>#REF!</v>
      </c>
      <c r="Z70" s="58" t="e">
        <f>+'Proyectos Base digitable'!#REF!</f>
        <v>#REF!</v>
      </c>
      <c r="AA70" s="58" t="e">
        <f>+'Proyectos Base digitable'!#REF!</f>
        <v>#REF!</v>
      </c>
      <c r="AB70" s="63" t="e">
        <f>'Proyectos Base digitable'!#REF!</f>
        <v>#REF!</v>
      </c>
      <c r="AC70" s="56" t="e">
        <f>+'Proyectos Base digitable'!#REF!</f>
        <v>#REF!</v>
      </c>
      <c r="AD70" s="52" t="e">
        <f>+'Proyectos Base digitable'!#REF!</f>
        <v>#REF!</v>
      </c>
      <c r="AE70" s="52" t="e">
        <f>+'Proyectos Base digitable'!#REF!</f>
        <v>#REF!</v>
      </c>
      <c r="AF70" s="52" t="e">
        <f>+'Proyectos Base digitable'!#REF!</f>
        <v>#REF!</v>
      </c>
      <c r="AG70" s="56" t="e">
        <f>+'Proyectos Base digitable'!#REF!</f>
        <v>#REF!</v>
      </c>
      <c r="AH70" s="52" t="e">
        <f>+'Proyectos Base digitable'!#REF!</f>
        <v>#REF!</v>
      </c>
      <c r="AI70" s="52" t="e">
        <f>+'Proyectos Base digitable'!#REF!</f>
        <v>#REF!</v>
      </c>
      <c r="AJ70" s="59" t="e">
        <f>+'Proyectos Base digitable'!#REF!</f>
        <v>#REF!</v>
      </c>
      <c r="AK70" s="186" t="e">
        <f>+'Proyectos Base digitable'!#REF!</f>
        <v>#REF!</v>
      </c>
      <c r="AL70" s="186" t="e">
        <f>+'Proyectos Base digitable'!#REF!</f>
        <v>#REF!</v>
      </c>
      <c r="AM70" s="186" t="e">
        <f>+'Proyectos Base digitable'!#REF!</f>
        <v>#REF!</v>
      </c>
      <c r="AN70" s="186" t="e">
        <f>+'Proyectos Base digitable'!#REF!</f>
        <v>#REF!</v>
      </c>
      <c r="AO70" s="186" t="e">
        <f>+'Proyectos Base digitable'!#REF!</f>
        <v>#REF!</v>
      </c>
      <c r="AP70" s="186" t="e">
        <f>+'Proyectos Base digitable'!#REF!</f>
        <v>#REF!</v>
      </c>
      <c r="AQ70" s="186" t="e">
        <f>+'Proyectos Base digitable'!#REF!</f>
        <v>#REF!</v>
      </c>
      <c r="AR70" s="186" t="e">
        <f>+'Proyectos Base digitable'!#REF!</f>
        <v>#REF!</v>
      </c>
      <c r="AS70" s="186" t="e">
        <f>+'Proyectos Base digitable'!#REF!</f>
        <v>#REF!</v>
      </c>
      <c r="AT70" s="187" t="e">
        <f>+'Proyectos Base digitable'!#REF!</f>
        <v>#REF!</v>
      </c>
      <c r="AU70" s="56" t="e">
        <f>+'Proyectos Base digitable'!#REF!</f>
        <v>#REF!</v>
      </c>
      <c r="AV70" s="56" t="e">
        <f>+'Proyectos Base digitable'!#REF!</f>
        <v>#REF!</v>
      </c>
      <c r="AW70" s="56" t="e">
        <f>+'Proyectos Base digitable'!#REF!</f>
        <v>#REF!</v>
      </c>
      <c r="AX70" s="56" t="e">
        <f>+'Proyectos Base digitable'!#REF!</f>
        <v>#REF!</v>
      </c>
      <c r="AY70" s="56" t="e">
        <f>+'Proyectos Base digitable'!#REF!</f>
        <v>#REF!</v>
      </c>
      <c r="AZ70" s="188" t="e">
        <f>+'Proyectos Base digitable'!#REF!</f>
        <v>#REF!</v>
      </c>
      <c r="BA70" s="188" t="e">
        <f>+'Proyectos Base digitable'!#REF!</f>
        <v>#REF!</v>
      </c>
    </row>
    <row r="71" spans="1:53" ht="12.5">
      <c r="A71" s="60" t="e">
        <f>+'Proyectos Base digitable'!#REF!</f>
        <v>#REF!</v>
      </c>
      <c r="B71" s="56" t="e">
        <f>+'Proyectos Base digitable'!#REF!</f>
        <v>#REF!</v>
      </c>
      <c r="C71" s="56" t="e">
        <f>+'Proyectos Base digitable'!#REF!</f>
        <v>#REF!</v>
      </c>
      <c r="D71" s="56" t="e">
        <f>+'Proyectos Base digitable'!#REF!</f>
        <v>#REF!</v>
      </c>
      <c r="E71" s="56" t="e">
        <f>+'Proyectos Base digitable'!#REF!</f>
        <v>#REF!</v>
      </c>
      <c r="F71" s="56" t="e">
        <f>+'Proyectos Base digitable'!#REF!</f>
        <v>#REF!</v>
      </c>
      <c r="G71" s="57" t="e">
        <f>+'Proyectos Base digitable'!#REF!</f>
        <v>#REF!</v>
      </c>
      <c r="H71" s="56" t="e">
        <f>+'Proyectos Base digitable'!#REF!</f>
        <v>#REF!</v>
      </c>
      <c r="I71" s="56" t="e">
        <f>+'Proyectos Base digitable'!#REF!</f>
        <v>#REF!</v>
      </c>
      <c r="J71" s="56" t="e">
        <f>+'Proyectos Base digitable'!#REF!</f>
        <v>#REF!</v>
      </c>
      <c r="K71" s="56" t="e">
        <f>+'Proyectos Base digitable'!#REF!</f>
        <v>#REF!</v>
      </c>
      <c r="L71" s="56" t="e">
        <f>+'Proyectos Base digitable'!#REF!</f>
        <v>#REF!</v>
      </c>
      <c r="M71" s="56" t="e">
        <f>+'Proyectos Base digitable'!#REF!</f>
        <v>#REF!</v>
      </c>
      <c r="N71" s="52" t="e">
        <f>+'Proyectos Base digitable'!#REF!</f>
        <v>#REF!</v>
      </c>
      <c r="O71" s="52" t="e">
        <f>+'Proyectos Base digitable'!#REF!</f>
        <v>#REF!</v>
      </c>
      <c r="P71" s="185" t="e">
        <f>+'Proyectos Base digitable'!#REF!</f>
        <v>#REF!</v>
      </c>
      <c r="Q71" s="58" t="e">
        <f>+'Proyectos Base digitable'!#REF!</f>
        <v>#REF!</v>
      </c>
      <c r="R71" s="58" t="e">
        <f>+'Proyectos Base digitable'!#REF!</f>
        <v>#REF!</v>
      </c>
      <c r="S71" s="58" t="e">
        <f>+'Proyectos Base digitable'!#REF!</f>
        <v>#REF!</v>
      </c>
      <c r="T71" s="58" t="e">
        <f>+'Proyectos Base digitable'!#REF!</f>
        <v>#REF!</v>
      </c>
      <c r="U71" s="63" t="e">
        <f>'Proyectos Base digitable'!#REF!</f>
        <v>#REF!</v>
      </c>
      <c r="V71" s="63" t="e">
        <f>'Proyectos Base digitable'!#REF!</f>
        <v>#REF!</v>
      </c>
      <c r="W71" s="63" t="e">
        <f>'Proyectos Base digitable'!#REF!</f>
        <v>#REF!</v>
      </c>
      <c r="X71" s="63" t="e">
        <f>'Proyectos Base digitable'!#REF!</f>
        <v>#REF!</v>
      </c>
      <c r="Y71" s="63" t="e">
        <f>'Proyectos Base digitable'!#REF!</f>
        <v>#REF!</v>
      </c>
      <c r="Z71" s="58" t="e">
        <f>+'Proyectos Base digitable'!#REF!</f>
        <v>#REF!</v>
      </c>
      <c r="AA71" s="58" t="e">
        <f>+'Proyectos Base digitable'!#REF!</f>
        <v>#REF!</v>
      </c>
      <c r="AB71" s="63" t="e">
        <f>'Proyectos Base digitable'!#REF!</f>
        <v>#REF!</v>
      </c>
      <c r="AC71" s="56" t="e">
        <f>+'Proyectos Base digitable'!#REF!</f>
        <v>#REF!</v>
      </c>
      <c r="AD71" s="52" t="e">
        <f>+'Proyectos Base digitable'!#REF!</f>
        <v>#REF!</v>
      </c>
      <c r="AE71" s="52" t="e">
        <f>+'Proyectos Base digitable'!#REF!</f>
        <v>#REF!</v>
      </c>
      <c r="AF71" s="52" t="e">
        <f>+'Proyectos Base digitable'!#REF!</f>
        <v>#REF!</v>
      </c>
      <c r="AG71" s="56" t="e">
        <f>+'Proyectos Base digitable'!#REF!</f>
        <v>#REF!</v>
      </c>
      <c r="AH71" s="52" t="e">
        <f>+'Proyectos Base digitable'!#REF!</f>
        <v>#REF!</v>
      </c>
      <c r="AI71" s="52" t="e">
        <f>+'Proyectos Base digitable'!#REF!</f>
        <v>#REF!</v>
      </c>
      <c r="AJ71" s="59" t="e">
        <f>+'Proyectos Base digitable'!#REF!</f>
        <v>#REF!</v>
      </c>
      <c r="AK71" s="186" t="e">
        <f>+'Proyectos Base digitable'!#REF!</f>
        <v>#REF!</v>
      </c>
      <c r="AL71" s="186" t="e">
        <f>+'Proyectos Base digitable'!#REF!</f>
        <v>#REF!</v>
      </c>
      <c r="AM71" s="186" t="e">
        <f>+'Proyectos Base digitable'!#REF!</f>
        <v>#REF!</v>
      </c>
      <c r="AN71" s="186" t="e">
        <f>+'Proyectos Base digitable'!#REF!</f>
        <v>#REF!</v>
      </c>
      <c r="AO71" s="186" t="e">
        <f>+'Proyectos Base digitable'!#REF!</f>
        <v>#REF!</v>
      </c>
      <c r="AP71" s="186" t="e">
        <f>+'Proyectos Base digitable'!#REF!</f>
        <v>#REF!</v>
      </c>
      <c r="AQ71" s="186" t="e">
        <f>+'Proyectos Base digitable'!#REF!</f>
        <v>#REF!</v>
      </c>
      <c r="AR71" s="186" t="e">
        <f>+'Proyectos Base digitable'!#REF!</f>
        <v>#REF!</v>
      </c>
      <c r="AS71" s="186" t="e">
        <f>+'Proyectos Base digitable'!#REF!</f>
        <v>#REF!</v>
      </c>
      <c r="AT71" s="187" t="e">
        <f>+'Proyectos Base digitable'!#REF!</f>
        <v>#REF!</v>
      </c>
      <c r="AU71" s="56" t="e">
        <f>+'Proyectos Base digitable'!#REF!</f>
        <v>#REF!</v>
      </c>
      <c r="AV71" s="56" t="e">
        <f>+'Proyectos Base digitable'!#REF!</f>
        <v>#REF!</v>
      </c>
      <c r="AW71" s="56" t="e">
        <f>+'Proyectos Base digitable'!#REF!</f>
        <v>#REF!</v>
      </c>
      <c r="AX71" s="56" t="e">
        <f>+'Proyectos Base digitable'!#REF!</f>
        <v>#REF!</v>
      </c>
      <c r="AY71" s="56" t="e">
        <f>+'Proyectos Base digitable'!#REF!</f>
        <v>#REF!</v>
      </c>
      <c r="AZ71" s="188" t="e">
        <f>+'Proyectos Base digitable'!#REF!</f>
        <v>#REF!</v>
      </c>
      <c r="BA71" s="188" t="e">
        <f>+'Proyectos Base digitable'!#REF!</f>
        <v>#REF!</v>
      </c>
    </row>
    <row r="72" spans="1:53" ht="12.5">
      <c r="A72" s="60" t="e">
        <f>+'Proyectos Base digitable'!#REF!</f>
        <v>#REF!</v>
      </c>
      <c r="B72" s="56" t="e">
        <f>+'Proyectos Base digitable'!#REF!</f>
        <v>#REF!</v>
      </c>
      <c r="C72" s="56" t="e">
        <f>+'Proyectos Base digitable'!#REF!</f>
        <v>#REF!</v>
      </c>
      <c r="D72" s="56" t="e">
        <f>+'Proyectos Base digitable'!#REF!</f>
        <v>#REF!</v>
      </c>
      <c r="E72" s="56" t="e">
        <f>+'Proyectos Base digitable'!#REF!</f>
        <v>#REF!</v>
      </c>
      <c r="F72" s="56" t="e">
        <f>+'Proyectos Base digitable'!#REF!</f>
        <v>#REF!</v>
      </c>
      <c r="G72" s="57" t="e">
        <f>+'Proyectos Base digitable'!#REF!</f>
        <v>#REF!</v>
      </c>
      <c r="H72" s="56" t="e">
        <f>+'Proyectos Base digitable'!#REF!</f>
        <v>#REF!</v>
      </c>
      <c r="I72" s="56" t="e">
        <f>+'Proyectos Base digitable'!#REF!</f>
        <v>#REF!</v>
      </c>
      <c r="J72" s="56" t="e">
        <f>+'Proyectos Base digitable'!#REF!</f>
        <v>#REF!</v>
      </c>
      <c r="K72" s="56" t="e">
        <f>+'Proyectos Base digitable'!#REF!</f>
        <v>#REF!</v>
      </c>
      <c r="L72" s="56" t="e">
        <f>+'Proyectos Base digitable'!#REF!</f>
        <v>#REF!</v>
      </c>
      <c r="M72" s="56" t="e">
        <f>+'Proyectos Base digitable'!#REF!</f>
        <v>#REF!</v>
      </c>
      <c r="N72" s="52" t="e">
        <f>+'Proyectos Base digitable'!#REF!</f>
        <v>#REF!</v>
      </c>
      <c r="O72" s="52" t="e">
        <f>+'Proyectos Base digitable'!#REF!</f>
        <v>#REF!</v>
      </c>
      <c r="P72" s="185" t="e">
        <f>+'Proyectos Base digitable'!#REF!</f>
        <v>#REF!</v>
      </c>
      <c r="Q72" s="58" t="e">
        <f>+'Proyectos Base digitable'!#REF!</f>
        <v>#REF!</v>
      </c>
      <c r="R72" s="58" t="e">
        <f>+'Proyectos Base digitable'!#REF!</f>
        <v>#REF!</v>
      </c>
      <c r="S72" s="58" t="e">
        <f>+'Proyectos Base digitable'!#REF!</f>
        <v>#REF!</v>
      </c>
      <c r="T72" s="58" t="e">
        <f>+'Proyectos Base digitable'!#REF!</f>
        <v>#REF!</v>
      </c>
      <c r="U72" s="63" t="e">
        <f>'Proyectos Base digitable'!#REF!</f>
        <v>#REF!</v>
      </c>
      <c r="V72" s="63" t="e">
        <f>'Proyectos Base digitable'!#REF!</f>
        <v>#REF!</v>
      </c>
      <c r="W72" s="63" t="e">
        <f>'Proyectos Base digitable'!#REF!</f>
        <v>#REF!</v>
      </c>
      <c r="X72" s="63" t="e">
        <f>'Proyectos Base digitable'!#REF!</f>
        <v>#REF!</v>
      </c>
      <c r="Y72" s="63" t="e">
        <f>'Proyectos Base digitable'!#REF!</f>
        <v>#REF!</v>
      </c>
      <c r="Z72" s="58" t="e">
        <f>+'Proyectos Base digitable'!#REF!</f>
        <v>#REF!</v>
      </c>
      <c r="AA72" s="58" t="e">
        <f>+'Proyectos Base digitable'!#REF!</f>
        <v>#REF!</v>
      </c>
      <c r="AB72" s="63" t="e">
        <f>'Proyectos Base digitable'!#REF!</f>
        <v>#REF!</v>
      </c>
      <c r="AC72" s="56" t="e">
        <f>+'Proyectos Base digitable'!#REF!</f>
        <v>#REF!</v>
      </c>
      <c r="AD72" s="52" t="e">
        <f>+'Proyectos Base digitable'!#REF!</f>
        <v>#REF!</v>
      </c>
      <c r="AE72" s="52" t="e">
        <f>+'Proyectos Base digitable'!#REF!</f>
        <v>#REF!</v>
      </c>
      <c r="AF72" s="52" t="e">
        <f>+'Proyectos Base digitable'!#REF!</f>
        <v>#REF!</v>
      </c>
      <c r="AG72" s="56" t="e">
        <f>+'Proyectos Base digitable'!#REF!</f>
        <v>#REF!</v>
      </c>
      <c r="AH72" s="52" t="e">
        <f>+'Proyectos Base digitable'!#REF!</f>
        <v>#REF!</v>
      </c>
      <c r="AI72" s="52" t="e">
        <f>+'Proyectos Base digitable'!#REF!</f>
        <v>#REF!</v>
      </c>
      <c r="AJ72" s="59" t="e">
        <f>+'Proyectos Base digitable'!#REF!</f>
        <v>#REF!</v>
      </c>
      <c r="AK72" s="186" t="e">
        <f>+'Proyectos Base digitable'!#REF!</f>
        <v>#REF!</v>
      </c>
      <c r="AL72" s="186" t="e">
        <f>+'Proyectos Base digitable'!#REF!</f>
        <v>#REF!</v>
      </c>
      <c r="AM72" s="186" t="e">
        <f>+'Proyectos Base digitable'!#REF!</f>
        <v>#REF!</v>
      </c>
      <c r="AN72" s="186" t="e">
        <f>+'Proyectos Base digitable'!#REF!</f>
        <v>#REF!</v>
      </c>
      <c r="AO72" s="186" t="e">
        <f>+'Proyectos Base digitable'!#REF!</f>
        <v>#REF!</v>
      </c>
      <c r="AP72" s="186" t="e">
        <f>+'Proyectos Base digitable'!#REF!</f>
        <v>#REF!</v>
      </c>
      <c r="AQ72" s="186" t="e">
        <f>+'Proyectos Base digitable'!#REF!</f>
        <v>#REF!</v>
      </c>
      <c r="AR72" s="186" t="e">
        <f>+'Proyectos Base digitable'!#REF!</f>
        <v>#REF!</v>
      </c>
      <c r="AS72" s="186" t="e">
        <f>+'Proyectos Base digitable'!#REF!</f>
        <v>#REF!</v>
      </c>
      <c r="AT72" s="187" t="e">
        <f>+'Proyectos Base digitable'!#REF!</f>
        <v>#REF!</v>
      </c>
      <c r="AU72" s="56" t="e">
        <f>+'Proyectos Base digitable'!#REF!</f>
        <v>#REF!</v>
      </c>
      <c r="AV72" s="56" t="e">
        <f>+'Proyectos Base digitable'!#REF!</f>
        <v>#REF!</v>
      </c>
      <c r="AW72" s="56" t="e">
        <f>+'Proyectos Base digitable'!#REF!</f>
        <v>#REF!</v>
      </c>
      <c r="AX72" s="56" t="e">
        <f>+'Proyectos Base digitable'!#REF!</f>
        <v>#REF!</v>
      </c>
      <c r="AY72" s="56" t="e">
        <f>+'Proyectos Base digitable'!#REF!</f>
        <v>#REF!</v>
      </c>
      <c r="AZ72" s="188" t="e">
        <f>+'Proyectos Base digitable'!#REF!</f>
        <v>#REF!</v>
      </c>
      <c r="BA72" s="188" t="e">
        <f>+'Proyectos Base digitable'!#REF!</f>
        <v>#REF!</v>
      </c>
    </row>
    <row r="73" spans="1:53" ht="12.5">
      <c r="A73" s="60" t="e">
        <f>+'Proyectos Base digitable'!#REF!</f>
        <v>#REF!</v>
      </c>
      <c r="B73" s="56" t="e">
        <f>+'Proyectos Base digitable'!#REF!</f>
        <v>#REF!</v>
      </c>
      <c r="C73" s="56" t="e">
        <f>+'Proyectos Base digitable'!#REF!</f>
        <v>#REF!</v>
      </c>
      <c r="D73" s="56" t="e">
        <f>+'Proyectos Base digitable'!#REF!</f>
        <v>#REF!</v>
      </c>
      <c r="E73" s="56" t="e">
        <f>+'Proyectos Base digitable'!#REF!</f>
        <v>#REF!</v>
      </c>
      <c r="F73" s="56" t="e">
        <f>+'Proyectos Base digitable'!#REF!</f>
        <v>#REF!</v>
      </c>
      <c r="G73" s="57" t="e">
        <f>+'Proyectos Base digitable'!#REF!</f>
        <v>#REF!</v>
      </c>
      <c r="H73" s="56" t="e">
        <f>+'Proyectos Base digitable'!#REF!</f>
        <v>#REF!</v>
      </c>
      <c r="I73" s="56" t="e">
        <f>+'Proyectos Base digitable'!#REF!</f>
        <v>#REF!</v>
      </c>
      <c r="J73" s="56" t="e">
        <f>+'Proyectos Base digitable'!#REF!</f>
        <v>#REF!</v>
      </c>
      <c r="K73" s="56" t="e">
        <f>+'Proyectos Base digitable'!#REF!</f>
        <v>#REF!</v>
      </c>
      <c r="L73" s="56" t="e">
        <f>+'Proyectos Base digitable'!#REF!</f>
        <v>#REF!</v>
      </c>
      <c r="M73" s="56" t="e">
        <f>+'Proyectos Base digitable'!#REF!</f>
        <v>#REF!</v>
      </c>
      <c r="N73" s="52" t="e">
        <f>+'Proyectos Base digitable'!#REF!</f>
        <v>#REF!</v>
      </c>
      <c r="O73" s="52" t="e">
        <f>+'Proyectos Base digitable'!#REF!</f>
        <v>#REF!</v>
      </c>
      <c r="P73" s="185" t="e">
        <f>+'Proyectos Base digitable'!#REF!</f>
        <v>#REF!</v>
      </c>
      <c r="Q73" s="58" t="e">
        <f>+'Proyectos Base digitable'!#REF!</f>
        <v>#REF!</v>
      </c>
      <c r="R73" s="58" t="e">
        <f>+'Proyectos Base digitable'!#REF!</f>
        <v>#REF!</v>
      </c>
      <c r="S73" s="58" t="e">
        <f>+'Proyectos Base digitable'!#REF!</f>
        <v>#REF!</v>
      </c>
      <c r="T73" s="58" t="e">
        <f>+'Proyectos Base digitable'!#REF!</f>
        <v>#REF!</v>
      </c>
      <c r="U73" s="63" t="e">
        <f>'Proyectos Base digitable'!#REF!</f>
        <v>#REF!</v>
      </c>
      <c r="V73" s="63" t="e">
        <f>'Proyectos Base digitable'!#REF!</f>
        <v>#REF!</v>
      </c>
      <c r="W73" s="63" t="e">
        <f>'Proyectos Base digitable'!#REF!</f>
        <v>#REF!</v>
      </c>
      <c r="X73" s="63" t="e">
        <f>'Proyectos Base digitable'!#REF!</f>
        <v>#REF!</v>
      </c>
      <c r="Y73" s="63" t="e">
        <f>'Proyectos Base digitable'!#REF!</f>
        <v>#REF!</v>
      </c>
      <c r="Z73" s="58" t="e">
        <f>+'Proyectos Base digitable'!#REF!</f>
        <v>#REF!</v>
      </c>
      <c r="AA73" s="58" t="e">
        <f>+'Proyectos Base digitable'!#REF!</f>
        <v>#REF!</v>
      </c>
      <c r="AB73" s="63" t="e">
        <f>'Proyectos Base digitable'!#REF!</f>
        <v>#REF!</v>
      </c>
      <c r="AC73" s="56" t="e">
        <f>+'Proyectos Base digitable'!#REF!</f>
        <v>#REF!</v>
      </c>
      <c r="AD73" s="52" t="e">
        <f>+'Proyectos Base digitable'!#REF!</f>
        <v>#REF!</v>
      </c>
      <c r="AE73" s="52" t="e">
        <f>+'Proyectos Base digitable'!#REF!</f>
        <v>#REF!</v>
      </c>
      <c r="AF73" s="52" t="e">
        <f>+'Proyectos Base digitable'!#REF!</f>
        <v>#REF!</v>
      </c>
      <c r="AG73" s="56" t="e">
        <f>+'Proyectos Base digitable'!#REF!</f>
        <v>#REF!</v>
      </c>
      <c r="AH73" s="52" t="e">
        <f>+'Proyectos Base digitable'!#REF!</f>
        <v>#REF!</v>
      </c>
      <c r="AI73" s="52" t="e">
        <f>+'Proyectos Base digitable'!#REF!</f>
        <v>#REF!</v>
      </c>
      <c r="AJ73" s="59" t="e">
        <f>+'Proyectos Base digitable'!#REF!</f>
        <v>#REF!</v>
      </c>
      <c r="AK73" s="186" t="e">
        <f>+'Proyectos Base digitable'!#REF!</f>
        <v>#REF!</v>
      </c>
      <c r="AL73" s="186" t="e">
        <f>+'Proyectos Base digitable'!#REF!</f>
        <v>#REF!</v>
      </c>
      <c r="AM73" s="186" t="e">
        <f>+'Proyectos Base digitable'!#REF!</f>
        <v>#REF!</v>
      </c>
      <c r="AN73" s="186" t="e">
        <f>+'Proyectos Base digitable'!#REF!</f>
        <v>#REF!</v>
      </c>
      <c r="AO73" s="186" t="e">
        <f>+'Proyectos Base digitable'!#REF!</f>
        <v>#REF!</v>
      </c>
      <c r="AP73" s="186" t="e">
        <f>+'Proyectos Base digitable'!#REF!</f>
        <v>#REF!</v>
      </c>
      <c r="AQ73" s="186" t="e">
        <f>+'Proyectos Base digitable'!#REF!</f>
        <v>#REF!</v>
      </c>
      <c r="AR73" s="186" t="e">
        <f>+'Proyectos Base digitable'!#REF!</f>
        <v>#REF!</v>
      </c>
      <c r="AS73" s="186" t="e">
        <f>+'Proyectos Base digitable'!#REF!</f>
        <v>#REF!</v>
      </c>
      <c r="AT73" s="187" t="e">
        <f>+'Proyectos Base digitable'!#REF!</f>
        <v>#REF!</v>
      </c>
      <c r="AU73" s="56" t="e">
        <f>+'Proyectos Base digitable'!#REF!</f>
        <v>#REF!</v>
      </c>
      <c r="AV73" s="56" t="e">
        <f>+'Proyectos Base digitable'!#REF!</f>
        <v>#REF!</v>
      </c>
      <c r="AW73" s="56" t="e">
        <f>+'Proyectos Base digitable'!#REF!</f>
        <v>#REF!</v>
      </c>
      <c r="AX73" s="56" t="e">
        <f>+'Proyectos Base digitable'!#REF!</f>
        <v>#REF!</v>
      </c>
      <c r="AY73" s="56" t="e">
        <f>+'Proyectos Base digitable'!#REF!</f>
        <v>#REF!</v>
      </c>
      <c r="AZ73" s="188" t="e">
        <f>+'Proyectos Base digitable'!#REF!</f>
        <v>#REF!</v>
      </c>
      <c r="BA73" s="188" t="e">
        <f>+'Proyectos Base digitable'!#REF!</f>
        <v>#REF!</v>
      </c>
    </row>
    <row r="74" spans="1:53" ht="12.5">
      <c r="A74" s="60" t="e">
        <f>+'Proyectos Base digitable'!#REF!</f>
        <v>#REF!</v>
      </c>
      <c r="B74" s="56" t="e">
        <f>+'Proyectos Base digitable'!#REF!</f>
        <v>#REF!</v>
      </c>
      <c r="C74" s="56" t="e">
        <f>+'Proyectos Base digitable'!#REF!</f>
        <v>#REF!</v>
      </c>
      <c r="D74" s="56" t="e">
        <f>+'Proyectos Base digitable'!#REF!</f>
        <v>#REF!</v>
      </c>
      <c r="E74" s="56" t="e">
        <f>+'Proyectos Base digitable'!#REF!</f>
        <v>#REF!</v>
      </c>
      <c r="F74" s="56" t="e">
        <f>+'Proyectos Base digitable'!#REF!</f>
        <v>#REF!</v>
      </c>
      <c r="G74" s="57" t="e">
        <f>+'Proyectos Base digitable'!#REF!</f>
        <v>#REF!</v>
      </c>
      <c r="H74" s="56" t="e">
        <f>+'Proyectos Base digitable'!#REF!</f>
        <v>#REF!</v>
      </c>
      <c r="I74" s="56" t="e">
        <f>+'Proyectos Base digitable'!#REF!</f>
        <v>#REF!</v>
      </c>
      <c r="J74" s="56" t="e">
        <f>+'Proyectos Base digitable'!#REF!</f>
        <v>#REF!</v>
      </c>
      <c r="K74" s="56" t="e">
        <f>+'Proyectos Base digitable'!#REF!</f>
        <v>#REF!</v>
      </c>
      <c r="L74" s="56" t="e">
        <f>+'Proyectos Base digitable'!#REF!</f>
        <v>#REF!</v>
      </c>
      <c r="M74" s="56" t="e">
        <f>+'Proyectos Base digitable'!#REF!</f>
        <v>#REF!</v>
      </c>
      <c r="N74" s="52" t="e">
        <f>+'Proyectos Base digitable'!#REF!</f>
        <v>#REF!</v>
      </c>
      <c r="O74" s="52" t="e">
        <f>+'Proyectos Base digitable'!#REF!</f>
        <v>#REF!</v>
      </c>
      <c r="P74" s="185" t="e">
        <f>+'Proyectos Base digitable'!#REF!</f>
        <v>#REF!</v>
      </c>
      <c r="Q74" s="58" t="e">
        <f>+'Proyectos Base digitable'!#REF!</f>
        <v>#REF!</v>
      </c>
      <c r="R74" s="58" t="e">
        <f>+'Proyectos Base digitable'!#REF!</f>
        <v>#REF!</v>
      </c>
      <c r="S74" s="58" t="e">
        <f>+'Proyectos Base digitable'!#REF!</f>
        <v>#REF!</v>
      </c>
      <c r="T74" s="58" t="e">
        <f>+'Proyectos Base digitable'!#REF!</f>
        <v>#REF!</v>
      </c>
      <c r="U74" s="63" t="e">
        <f>'Proyectos Base digitable'!#REF!</f>
        <v>#REF!</v>
      </c>
      <c r="V74" s="63" t="e">
        <f>'Proyectos Base digitable'!#REF!</f>
        <v>#REF!</v>
      </c>
      <c r="W74" s="63" t="e">
        <f>'Proyectos Base digitable'!#REF!</f>
        <v>#REF!</v>
      </c>
      <c r="X74" s="63" t="e">
        <f>'Proyectos Base digitable'!#REF!</f>
        <v>#REF!</v>
      </c>
      <c r="Y74" s="63" t="e">
        <f>'Proyectos Base digitable'!#REF!</f>
        <v>#REF!</v>
      </c>
      <c r="Z74" s="58" t="e">
        <f>+'Proyectos Base digitable'!#REF!</f>
        <v>#REF!</v>
      </c>
      <c r="AA74" s="58" t="e">
        <f>+'Proyectos Base digitable'!#REF!</f>
        <v>#REF!</v>
      </c>
      <c r="AB74" s="63" t="e">
        <f>'Proyectos Base digitable'!#REF!</f>
        <v>#REF!</v>
      </c>
      <c r="AC74" s="56" t="e">
        <f>+'Proyectos Base digitable'!#REF!</f>
        <v>#REF!</v>
      </c>
      <c r="AD74" s="52" t="e">
        <f>+'Proyectos Base digitable'!#REF!</f>
        <v>#REF!</v>
      </c>
      <c r="AE74" s="52" t="e">
        <f>+'Proyectos Base digitable'!#REF!</f>
        <v>#REF!</v>
      </c>
      <c r="AF74" s="52" t="e">
        <f>+'Proyectos Base digitable'!#REF!</f>
        <v>#REF!</v>
      </c>
      <c r="AG74" s="56" t="e">
        <f>+'Proyectos Base digitable'!#REF!</f>
        <v>#REF!</v>
      </c>
      <c r="AH74" s="52" t="e">
        <f>+'Proyectos Base digitable'!#REF!</f>
        <v>#REF!</v>
      </c>
      <c r="AI74" s="52" t="e">
        <f>+'Proyectos Base digitable'!#REF!</f>
        <v>#REF!</v>
      </c>
      <c r="AJ74" s="59" t="e">
        <f>+'Proyectos Base digitable'!#REF!</f>
        <v>#REF!</v>
      </c>
      <c r="AK74" s="186" t="e">
        <f>+'Proyectos Base digitable'!#REF!</f>
        <v>#REF!</v>
      </c>
      <c r="AL74" s="186" t="e">
        <f>+'Proyectos Base digitable'!#REF!</f>
        <v>#REF!</v>
      </c>
      <c r="AM74" s="186" t="e">
        <f>+'Proyectos Base digitable'!#REF!</f>
        <v>#REF!</v>
      </c>
      <c r="AN74" s="186" t="e">
        <f>+'Proyectos Base digitable'!#REF!</f>
        <v>#REF!</v>
      </c>
      <c r="AO74" s="186" t="e">
        <f>+'Proyectos Base digitable'!#REF!</f>
        <v>#REF!</v>
      </c>
      <c r="AP74" s="186" t="e">
        <f>+'Proyectos Base digitable'!#REF!</f>
        <v>#REF!</v>
      </c>
      <c r="AQ74" s="186" t="e">
        <f>+'Proyectos Base digitable'!#REF!</f>
        <v>#REF!</v>
      </c>
      <c r="AR74" s="186" t="e">
        <f>+'Proyectos Base digitable'!#REF!</f>
        <v>#REF!</v>
      </c>
      <c r="AS74" s="186" t="e">
        <f>+'Proyectos Base digitable'!#REF!</f>
        <v>#REF!</v>
      </c>
      <c r="AT74" s="187" t="e">
        <f>+'Proyectos Base digitable'!#REF!</f>
        <v>#REF!</v>
      </c>
      <c r="AU74" s="56" t="e">
        <f>+'Proyectos Base digitable'!#REF!</f>
        <v>#REF!</v>
      </c>
      <c r="AV74" s="56" t="e">
        <f>+'Proyectos Base digitable'!#REF!</f>
        <v>#REF!</v>
      </c>
      <c r="AW74" s="56" t="e">
        <f>+'Proyectos Base digitable'!#REF!</f>
        <v>#REF!</v>
      </c>
      <c r="AX74" s="56" t="e">
        <f>+'Proyectos Base digitable'!#REF!</f>
        <v>#REF!</v>
      </c>
      <c r="AY74" s="56" t="e">
        <f>+'Proyectos Base digitable'!#REF!</f>
        <v>#REF!</v>
      </c>
      <c r="AZ74" s="188" t="e">
        <f>+'Proyectos Base digitable'!#REF!</f>
        <v>#REF!</v>
      </c>
      <c r="BA74" s="188" t="e">
        <f>+'Proyectos Base digitable'!#REF!</f>
        <v>#REF!</v>
      </c>
    </row>
    <row r="75" spans="1:53" ht="12.5">
      <c r="A75" s="60" t="e">
        <f>+'Proyectos Base digitable'!#REF!</f>
        <v>#REF!</v>
      </c>
      <c r="B75" s="56" t="e">
        <f>+'Proyectos Base digitable'!#REF!</f>
        <v>#REF!</v>
      </c>
      <c r="C75" s="56" t="e">
        <f>+'Proyectos Base digitable'!#REF!</f>
        <v>#REF!</v>
      </c>
      <c r="D75" s="56" t="e">
        <f>+'Proyectos Base digitable'!#REF!</f>
        <v>#REF!</v>
      </c>
      <c r="E75" s="56" t="e">
        <f>+'Proyectos Base digitable'!#REF!</f>
        <v>#REF!</v>
      </c>
      <c r="F75" s="56" t="e">
        <f>+'Proyectos Base digitable'!#REF!</f>
        <v>#REF!</v>
      </c>
      <c r="G75" s="57" t="e">
        <f>+'Proyectos Base digitable'!#REF!</f>
        <v>#REF!</v>
      </c>
      <c r="H75" s="56" t="e">
        <f>+'Proyectos Base digitable'!#REF!</f>
        <v>#REF!</v>
      </c>
      <c r="I75" s="56" t="e">
        <f>+'Proyectos Base digitable'!#REF!</f>
        <v>#REF!</v>
      </c>
      <c r="J75" s="56" t="e">
        <f>+'Proyectos Base digitable'!#REF!</f>
        <v>#REF!</v>
      </c>
      <c r="K75" s="56" t="e">
        <f>+'Proyectos Base digitable'!#REF!</f>
        <v>#REF!</v>
      </c>
      <c r="L75" s="56" t="e">
        <f>+'Proyectos Base digitable'!#REF!</f>
        <v>#REF!</v>
      </c>
      <c r="M75" s="56" t="e">
        <f>+'Proyectos Base digitable'!#REF!</f>
        <v>#REF!</v>
      </c>
      <c r="N75" s="52" t="e">
        <f>+'Proyectos Base digitable'!#REF!</f>
        <v>#REF!</v>
      </c>
      <c r="O75" s="52" t="e">
        <f>+'Proyectos Base digitable'!#REF!</f>
        <v>#REF!</v>
      </c>
      <c r="P75" s="185" t="e">
        <f>+'Proyectos Base digitable'!#REF!</f>
        <v>#REF!</v>
      </c>
      <c r="Q75" s="58" t="e">
        <f>+'Proyectos Base digitable'!#REF!</f>
        <v>#REF!</v>
      </c>
      <c r="R75" s="58" t="e">
        <f>+'Proyectos Base digitable'!#REF!</f>
        <v>#REF!</v>
      </c>
      <c r="S75" s="58" t="e">
        <f>+'Proyectos Base digitable'!#REF!</f>
        <v>#REF!</v>
      </c>
      <c r="T75" s="58" t="e">
        <f>+'Proyectos Base digitable'!#REF!</f>
        <v>#REF!</v>
      </c>
      <c r="U75" s="63" t="e">
        <f>'Proyectos Base digitable'!#REF!</f>
        <v>#REF!</v>
      </c>
      <c r="V75" s="63" t="e">
        <f>'Proyectos Base digitable'!#REF!</f>
        <v>#REF!</v>
      </c>
      <c r="W75" s="63" t="e">
        <f>'Proyectos Base digitable'!#REF!</f>
        <v>#REF!</v>
      </c>
      <c r="X75" s="63" t="e">
        <f>'Proyectos Base digitable'!#REF!</f>
        <v>#REF!</v>
      </c>
      <c r="Y75" s="63" t="e">
        <f>'Proyectos Base digitable'!#REF!</f>
        <v>#REF!</v>
      </c>
      <c r="Z75" s="58" t="e">
        <f>+'Proyectos Base digitable'!#REF!</f>
        <v>#REF!</v>
      </c>
      <c r="AA75" s="58" t="e">
        <f>+'Proyectos Base digitable'!#REF!</f>
        <v>#REF!</v>
      </c>
      <c r="AB75" s="63" t="e">
        <f>'Proyectos Base digitable'!#REF!</f>
        <v>#REF!</v>
      </c>
      <c r="AC75" s="56" t="e">
        <f>+'Proyectos Base digitable'!#REF!</f>
        <v>#REF!</v>
      </c>
      <c r="AD75" s="52" t="e">
        <f>+'Proyectos Base digitable'!#REF!</f>
        <v>#REF!</v>
      </c>
      <c r="AE75" s="52" t="e">
        <f>+'Proyectos Base digitable'!#REF!</f>
        <v>#REF!</v>
      </c>
      <c r="AF75" s="52" t="e">
        <f>+'Proyectos Base digitable'!#REF!</f>
        <v>#REF!</v>
      </c>
      <c r="AG75" s="56" t="e">
        <f>+'Proyectos Base digitable'!#REF!</f>
        <v>#REF!</v>
      </c>
      <c r="AH75" s="52" t="e">
        <f>+'Proyectos Base digitable'!#REF!</f>
        <v>#REF!</v>
      </c>
      <c r="AI75" s="52" t="e">
        <f>+'Proyectos Base digitable'!#REF!</f>
        <v>#REF!</v>
      </c>
      <c r="AJ75" s="59" t="e">
        <f>+'Proyectos Base digitable'!#REF!</f>
        <v>#REF!</v>
      </c>
      <c r="AK75" s="186" t="e">
        <f>+'Proyectos Base digitable'!#REF!</f>
        <v>#REF!</v>
      </c>
      <c r="AL75" s="186" t="e">
        <f>+'Proyectos Base digitable'!#REF!</f>
        <v>#REF!</v>
      </c>
      <c r="AM75" s="186" t="e">
        <f>+'Proyectos Base digitable'!#REF!</f>
        <v>#REF!</v>
      </c>
      <c r="AN75" s="186" t="e">
        <f>+'Proyectos Base digitable'!#REF!</f>
        <v>#REF!</v>
      </c>
      <c r="AO75" s="186" t="e">
        <f>+'Proyectos Base digitable'!#REF!</f>
        <v>#REF!</v>
      </c>
      <c r="AP75" s="186" t="e">
        <f>+'Proyectos Base digitable'!#REF!</f>
        <v>#REF!</v>
      </c>
      <c r="AQ75" s="186" t="e">
        <f>+'Proyectos Base digitable'!#REF!</f>
        <v>#REF!</v>
      </c>
      <c r="AR75" s="186" t="e">
        <f>+'Proyectos Base digitable'!#REF!</f>
        <v>#REF!</v>
      </c>
      <c r="AS75" s="186" t="e">
        <f>+'Proyectos Base digitable'!#REF!</f>
        <v>#REF!</v>
      </c>
      <c r="AT75" s="187" t="e">
        <f>+'Proyectos Base digitable'!#REF!</f>
        <v>#REF!</v>
      </c>
      <c r="AU75" s="56" t="e">
        <f>+'Proyectos Base digitable'!#REF!</f>
        <v>#REF!</v>
      </c>
      <c r="AV75" s="56" t="e">
        <f>+'Proyectos Base digitable'!#REF!</f>
        <v>#REF!</v>
      </c>
      <c r="AW75" s="56" t="e">
        <f>+'Proyectos Base digitable'!#REF!</f>
        <v>#REF!</v>
      </c>
      <c r="AX75" s="56" t="e">
        <f>+'Proyectos Base digitable'!#REF!</f>
        <v>#REF!</v>
      </c>
      <c r="AY75" s="56" t="e">
        <f>+'Proyectos Base digitable'!#REF!</f>
        <v>#REF!</v>
      </c>
      <c r="AZ75" s="188" t="e">
        <f>+'Proyectos Base digitable'!#REF!</f>
        <v>#REF!</v>
      </c>
      <c r="BA75" s="188" t="e">
        <f>+'Proyectos Base digitable'!#REF!</f>
        <v>#REF!</v>
      </c>
    </row>
    <row r="76" spans="1:53" ht="12.5">
      <c r="A76" s="60" t="e">
        <f>+'Proyectos Base digitable'!#REF!</f>
        <v>#REF!</v>
      </c>
      <c r="B76" s="56" t="e">
        <f>+'Proyectos Base digitable'!#REF!</f>
        <v>#REF!</v>
      </c>
      <c r="C76" s="56" t="e">
        <f>+'Proyectos Base digitable'!#REF!</f>
        <v>#REF!</v>
      </c>
      <c r="D76" s="56" t="e">
        <f>+'Proyectos Base digitable'!#REF!</f>
        <v>#REF!</v>
      </c>
      <c r="E76" s="56" t="e">
        <f>+'Proyectos Base digitable'!#REF!</f>
        <v>#REF!</v>
      </c>
      <c r="F76" s="56" t="e">
        <f>+'Proyectos Base digitable'!#REF!</f>
        <v>#REF!</v>
      </c>
      <c r="G76" s="57" t="e">
        <f>+'Proyectos Base digitable'!#REF!</f>
        <v>#REF!</v>
      </c>
      <c r="H76" s="56" t="e">
        <f>+'Proyectos Base digitable'!#REF!</f>
        <v>#REF!</v>
      </c>
      <c r="I76" s="56" t="e">
        <f>+'Proyectos Base digitable'!#REF!</f>
        <v>#REF!</v>
      </c>
      <c r="J76" s="56" t="e">
        <f>+'Proyectos Base digitable'!#REF!</f>
        <v>#REF!</v>
      </c>
      <c r="K76" s="56" t="e">
        <f>+'Proyectos Base digitable'!#REF!</f>
        <v>#REF!</v>
      </c>
      <c r="L76" s="56" t="e">
        <f>+'Proyectos Base digitable'!#REF!</f>
        <v>#REF!</v>
      </c>
      <c r="M76" s="56" t="e">
        <f>+'Proyectos Base digitable'!#REF!</f>
        <v>#REF!</v>
      </c>
      <c r="N76" s="52" t="e">
        <f>+'Proyectos Base digitable'!#REF!</f>
        <v>#REF!</v>
      </c>
      <c r="O76" s="52" t="e">
        <f>+'Proyectos Base digitable'!#REF!</f>
        <v>#REF!</v>
      </c>
      <c r="P76" s="185" t="e">
        <f>+'Proyectos Base digitable'!#REF!</f>
        <v>#REF!</v>
      </c>
      <c r="Q76" s="58" t="e">
        <f>+'Proyectos Base digitable'!#REF!</f>
        <v>#REF!</v>
      </c>
      <c r="R76" s="58" t="e">
        <f>+'Proyectos Base digitable'!#REF!</f>
        <v>#REF!</v>
      </c>
      <c r="S76" s="58" t="e">
        <f>+'Proyectos Base digitable'!#REF!</f>
        <v>#REF!</v>
      </c>
      <c r="T76" s="58" t="e">
        <f>+'Proyectos Base digitable'!#REF!</f>
        <v>#REF!</v>
      </c>
      <c r="U76" s="63" t="e">
        <f>'Proyectos Base digitable'!#REF!</f>
        <v>#REF!</v>
      </c>
      <c r="V76" s="63" t="e">
        <f>'Proyectos Base digitable'!#REF!</f>
        <v>#REF!</v>
      </c>
      <c r="W76" s="63" t="e">
        <f>'Proyectos Base digitable'!#REF!</f>
        <v>#REF!</v>
      </c>
      <c r="X76" s="63" t="e">
        <f>'Proyectos Base digitable'!#REF!</f>
        <v>#REF!</v>
      </c>
      <c r="Y76" s="63" t="e">
        <f>'Proyectos Base digitable'!#REF!</f>
        <v>#REF!</v>
      </c>
      <c r="Z76" s="58" t="e">
        <f>+'Proyectos Base digitable'!#REF!</f>
        <v>#REF!</v>
      </c>
      <c r="AA76" s="58" t="e">
        <f>+'Proyectos Base digitable'!#REF!</f>
        <v>#REF!</v>
      </c>
      <c r="AB76" s="63" t="e">
        <f>'Proyectos Base digitable'!#REF!</f>
        <v>#REF!</v>
      </c>
      <c r="AC76" s="56" t="e">
        <f>+'Proyectos Base digitable'!#REF!</f>
        <v>#REF!</v>
      </c>
      <c r="AD76" s="52" t="e">
        <f>+'Proyectos Base digitable'!#REF!</f>
        <v>#REF!</v>
      </c>
      <c r="AE76" s="52" t="e">
        <f>+'Proyectos Base digitable'!#REF!</f>
        <v>#REF!</v>
      </c>
      <c r="AF76" s="52" t="e">
        <f>+'Proyectos Base digitable'!#REF!</f>
        <v>#REF!</v>
      </c>
      <c r="AG76" s="56" t="e">
        <f>+'Proyectos Base digitable'!#REF!</f>
        <v>#REF!</v>
      </c>
      <c r="AH76" s="52" t="e">
        <f>+'Proyectos Base digitable'!#REF!</f>
        <v>#REF!</v>
      </c>
      <c r="AI76" s="52" t="e">
        <f>+'Proyectos Base digitable'!#REF!</f>
        <v>#REF!</v>
      </c>
      <c r="AJ76" s="59" t="e">
        <f>+'Proyectos Base digitable'!#REF!</f>
        <v>#REF!</v>
      </c>
      <c r="AK76" s="186" t="e">
        <f>+'Proyectos Base digitable'!#REF!</f>
        <v>#REF!</v>
      </c>
      <c r="AL76" s="186" t="e">
        <f>+'Proyectos Base digitable'!#REF!</f>
        <v>#REF!</v>
      </c>
      <c r="AM76" s="186" t="e">
        <f>+'Proyectos Base digitable'!#REF!</f>
        <v>#REF!</v>
      </c>
      <c r="AN76" s="186" t="e">
        <f>+'Proyectos Base digitable'!#REF!</f>
        <v>#REF!</v>
      </c>
      <c r="AO76" s="186" t="e">
        <f>+'Proyectos Base digitable'!#REF!</f>
        <v>#REF!</v>
      </c>
      <c r="AP76" s="186" t="e">
        <f>+'Proyectos Base digitable'!#REF!</f>
        <v>#REF!</v>
      </c>
      <c r="AQ76" s="186" t="e">
        <f>+'Proyectos Base digitable'!#REF!</f>
        <v>#REF!</v>
      </c>
      <c r="AR76" s="186" t="e">
        <f>+'Proyectos Base digitable'!#REF!</f>
        <v>#REF!</v>
      </c>
      <c r="AS76" s="186" t="e">
        <f>+'Proyectos Base digitable'!#REF!</f>
        <v>#REF!</v>
      </c>
      <c r="AT76" s="187" t="e">
        <f>+'Proyectos Base digitable'!#REF!</f>
        <v>#REF!</v>
      </c>
      <c r="AU76" s="56" t="e">
        <f>+'Proyectos Base digitable'!#REF!</f>
        <v>#REF!</v>
      </c>
      <c r="AV76" s="56" t="e">
        <f>+'Proyectos Base digitable'!#REF!</f>
        <v>#REF!</v>
      </c>
      <c r="AW76" s="56" t="e">
        <f>+'Proyectos Base digitable'!#REF!</f>
        <v>#REF!</v>
      </c>
      <c r="AX76" s="56" t="e">
        <f>+'Proyectos Base digitable'!#REF!</f>
        <v>#REF!</v>
      </c>
      <c r="AY76" s="56" t="e">
        <f>+'Proyectos Base digitable'!#REF!</f>
        <v>#REF!</v>
      </c>
      <c r="AZ76" s="188" t="e">
        <f>+'Proyectos Base digitable'!#REF!</f>
        <v>#REF!</v>
      </c>
      <c r="BA76" s="188" t="e">
        <f>+'Proyectos Base digitable'!#REF!</f>
        <v>#REF!</v>
      </c>
    </row>
    <row r="77" spans="1:53" ht="12.5">
      <c r="A77" s="60" t="e">
        <f>+'Proyectos Base digitable'!#REF!</f>
        <v>#REF!</v>
      </c>
      <c r="B77" s="56" t="e">
        <f>+'Proyectos Base digitable'!#REF!</f>
        <v>#REF!</v>
      </c>
      <c r="C77" s="56" t="e">
        <f>+'Proyectos Base digitable'!#REF!</f>
        <v>#REF!</v>
      </c>
      <c r="D77" s="56" t="e">
        <f>+'Proyectos Base digitable'!#REF!</f>
        <v>#REF!</v>
      </c>
      <c r="E77" s="56" t="e">
        <f>+'Proyectos Base digitable'!#REF!</f>
        <v>#REF!</v>
      </c>
      <c r="F77" s="56" t="e">
        <f>+'Proyectos Base digitable'!#REF!</f>
        <v>#REF!</v>
      </c>
      <c r="G77" s="57" t="e">
        <f>+'Proyectos Base digitable'!#REF!</f>
        <v>#REF!</v>
      </c>
      <c r="H77" s="56" t="e">
        <f>+'Proyectos Base digitable'!#REF!</f>
        <v>#REF!</v>
      </c>
      <c r="I77" s="56" t="e">
        <f>+'Proyectos Base digitable'!#REF!</f>
        <v>#REF!</v>
      </c>
      <c r="J77" s="56" t="e">
        <f>+'Proyectos Base digitable'!#REF!</f>
        <v>#REF!</v>
      </c>
      <c r="K77" s="56" t="e">
        <f>+'Proyectos Base digitable'!#REF!</f>
        <v>#REF!</v>
      </c>
      <c r="L77" s="56" t="e">
        <f>+'Proyectos Base digitable'!#REF!</f>
        <v>#REF!</v>
      </c>
      <c r="M77" s="56" t="e">
        <f>+'Proyectos Base digitable'!#REF!</f>
        <v>#REF!</v>
      </c>
      <c r="N77" s="52" t="e">
        <f>+'Proyectos Base digitable'!#REF!</f>
        <v>#REF!</v>
      </c>
      <c r="O77" s="52" t="e">
        <f>+'Proyectos Base digitable'!#REF!</f>
        <v>#REF!</v>
      </c>
      <c r="P77" s="185" t="e">
        <f>+'Proyectos Base digitable'!#REF!</f>
        <v>#REF!</v>
      </c>
      <c r="Q77" s="58" t="e">
        <f>+'Proyectos Base digitable'!#REF!</f>
        <v>#REF!</v>
      </c>
      <c r="R77" s="58" t="e">
        <f>+'Proyectos Base digitable'!#REF!</f>
        <v>#REF!</v>
      </c>
      <c r="S77" s="58" t="e">
        <f>+'Proyectos Base digitable'!#REF!</f>
        <v>#REF!</v>
      </c>
      <c r="T77" s="58" t="e">
        <f>+'Proyectos Base digitable'!#REF!</f>
        <v>#REF!</v>
      </c>
      <c r="U77" s="63" t="e">
        <f>'Proyectos Base digitable'!#REF!</f>
        <v>#REF!</v>
      </c>
      <c r="V77" s="63" t="e">
        <f>'Proyectos Base digitable'!#REF!</f>
        <v>#REF!</v>
      </c>
      <c r="W77" s="63" t="e">
        <f>'Proyectos Base digitable'!#REF!</f>
        <v>#REF!</v>
      </c>
      <c r="X77" s="63" t="e">
        <f>'Proyectos Base digitable'!#REF!</f>
        <v>#REF!</v>
      </c>
      <c r="Y77" s="63" t="e">
        <f>'Proyectos Base digitable'!#REF!</f>
        <v>#REF!</v>
      </c>
      <c r="Z77" s="58" t="e">
        <f>+'Proyectos Base digitable'!#REF!</f>
        <v>#REF!</v>
      </c>
      <c r="AA77" s="58" t="e">
        <f>+'Proyectos Base digitable'!#REF!</f>
        <v>#REF!</v>
      </c>
      <c r="AB77" s="63" t="e">
        <f>'Proyectos Base digitable'!#REF!</f>
        <v>#REF!</v>
      </c>
      <c r="AC77" s="56" t="e">
        <f>+'Proyectos Base digitable'!#REF!</f>
        <v>#REF!</v>
      </c>
      <c r="AD77" s="52" t="e">
        <f>+'Proyectos Base digitable'!#REF!</f>
        <v>#REF!</v>
      </c>
      <c r="AE77" s="52" t="e">
        <f>+'Proyectos Base digitable'!#REF!</f>
        <v>#REF!</v>
      </c>
      <c r="AF77" s="52" t="e">
        <f>+'Proyectos Base digitable'!#REF!</f>
        <v>#REF!</v>
      </c>
      <c r="AG77" s="56" t="e">
        <f>+'Proyectos Base digitable'!#REF!</f>
        <v>#REF!</v>
      </c>
      <c r="AH77" s="52" t="e">
        <f>+'Proyectos Base digitable'!#REF!</f>
        <v>#REF!</v>
      </c>
      <c r="AI77" s="52" t="e">
        <f>+'Proyectos Base digitable'!#REF!</f>
        <v>#REF!</v>
      </c>
      <c r="AJ77" s="59" t="e">
        <f>+'Proyectos Base digitable'!#REF!</f>
        <v>#REF!</v>
      </c>
      <c r="AK77" s="186" t="e">
        <f>+'Proyectos Base digitable'!#REF!</f>
        <v>#REF!</v>
      </c>
      <c r="AL77" s="186" t="e">
        <f>+'Proyectos Base digitable'!#REF!</f>
        <v>#REF!</v>
      </c>
      <c r="AM77" s="186" t="e">
        <f>+'Proyectos Base digitable'!#REF!</f>
        <v>#REF!</v>
      </c>
      <c r="AN77" s="186" t="e">
        <f>+'Proyectos Base digitable'!#REF!</f>
        <v>#REF!</v>
      </c>
      <c r="AO77" s="186" t="e">
        <f>+'Proyectos Base digitable'!#REF!</f>
        <v>#REF!</v>
      </c>
      <c r="AP77" s="186" t="e">
        <f>+'Proyectos Base digitable'!#REF!</f>
        <v>#REF!</v>
      </c>
      <c r="AQ77" s="186" t="e">
        <f>+'Proyectos Base digitable'!#REF!</f>
        <v>#REF!</v>
      </c>
      <c r="AR77" s="186" t="e">
        <f>+'Proyectos Base digitable'!#REF!</f>
        <v>#REF!</v>
      </c>
      <c r="AS77" s="186" t="e">
        <f>+'Proyectos Base digitable'!#REF!</f>
        <v>#REF!</v>
      </c>
      <c r="AT77" s="187" t="e">
        <f>+'Proyectos Base digitable'!#REF!</f>
        <v>#REF!</v>
      </c>
      <c r="AU77" s="56" t="e">
        <f>+'Proyectos Base digitable'!#REF!</f>
        <v>#REF!</v>
      </c>
      <c r="AV77" s="56" t="e">
        <f>+'Proyectos Base digitable'!#REF!</f>
        <v>#REF!</v>
      </c>
      <c r="AW77" s="56" t="e">
        <f>+'Proyectos Base digitable'!#REF!</f>
        <v>#REF!</v>
      </c>
      <c r="AX77" s="56" t="e">
        <f>+'Proyectos Base digitable'!#REF!</f>
        <v>#REF!</v>
      </c>
      <c r="AY77" s="56" t="e">
        <f>+'Proyectos Base digitable'!#REF!</f>
        <v>#REF!</v>
      </c>
      <c r="AZ77" s="188" t="e">
        <f>+'Proyectos Base digitable'!#REF!</f>
        <v>#REF!</v>
      </c>
      <c r="BA77" s="188" t="e">
        <f>+'Proyectos Base digitable'!#REF!</f>
        <v>#REF!</v>
      </c>
    </row>
    <row r="78" spans="1:53" ht="12.5">
      <c r="A78" s="60" t="e">
        <f>+'Proyectos Base digitable'!#REF!</f>
        <v>#REF!</v>
      </c>
      <c r="B78" s="56" t="e">
        <f>+'Proyectos Base digitable'!#REF!</f>
        <v>#REF!</v>
      </c>
      <c r="C78" s="56" t="e">
        <f>+'Proyectos Base digitable'!#REF!</f>
        <v>#REF!</v>
      </c>
      <c r="D78" s="56" t="e">
        <f>+'Proyectos Base digitable'!#REF!</f>
        <v>#REF!</v>
      </c>
      <c r="E78" s="56" t="e">
        <f>+'Proyectos Base digitable'!#REF!</f>
        <v>#REF!</v>
      </c>
      <c r="F78" s="56" t="e">
        <f>+'Proyectos Base digitable'!#REF!</f>
        <v>#REF!</v>
      </c>
      <c r="G78" s="57" t="e">
        <f>+'Proyectos Base digitable'!#REF!</f>
        <v>#REF!</v>
      </c>
      <c r="H78" s="56" t="e">
        <f>+'Proyectos Base digitable'!#REF!</f>
        <v>#REF!</v>
      </c>
      <c r="I78" s="56" t="e">
        <f>+'Proyectos Base digitable'!#REF!</f>
        <v>#REF!</v>
      </c>
      <c r="J78" s="56" t="e">
        <f>+'Proyectos Base digitable'!#REF!</f>
        <v>#REF!</v>
      </c>
      <c r="K78" s="56" t="e">
        <f>+'Proyectos Base digitable'!#REF!</f>
        <v>#REF!</v>
      </c>
      <c r="L78" s="56" t="e">
        <f>+'Proyectos Base digitable'!#REF!</f>
        <v>#REF!</v>
      </c>
      <c r="M78" s="56" t="e">
        <f>+'Proyectos Base digitable'!#REF!</f>
        <v>#REF!</v>
      </c>
      <c r="N78" s="52" t="e">
        <f>+'Proyectos Base digitable'!#REF!</f>
        <v>#REF!</v>
      </c>
      <c r="O78" s="52" t="e">
        <f>+'Proyectos Base digitable'!#REF!</f>
        <v>#REF!</v>
      </c>
      <c r="P78" s="185" t="e">
        <f>+'Proyectos Base digitable'!#REF!</f>
        <v>#REF!</v>
      </c>
      <c r="Q78" s="58" t="e">
        <f>+'Proyectos Base digitable'!#REF!</f>
        <v>#REF!</v>
      </c>
      <c r="R78" s="58" t="e">
        <f>+'Proyectos Base digitable'!#REF!</f>
        <v>#REF!</v>
      </c>
      <c r="S78" s="58" t="e">
        <f>+'Proyectos Base digitable'!#REF!</f>
        <v>#REF!</v>
      </c>
      <c r="T78" s="58" t="e">
        <f>+'Proyectos Base digitable'!#REF!</f>
        <v>#REF!</v>
      </c>
      <c r="U78" s="63" t="e">
        <f>'Proyectos Base digitable'!#REF!</f>
        <v>#REF!</v>
      </c>
      <c r="V78" s="63" t="e">
        <f>'Proyectos Base digitable'!#REF!</f>
        <v>#REF!</v>
      </c>
      <c r="W78" s="63" t="e">
        <f>'Proyectos Base digitable'!#REF!</f>
        <v>#REF!</v>
      </c>
      <c r="X78" s="63" t="e">
        <f>'Proyectos Base digitable'!#REF!</f>
        <v>#REF!</v>
      </c>
      <c r="Y78" s="63" t="e">
        <f>'Proyectos Base digitable'!#REF!</f>
        <v>#REF!</v>
      </c>
      <c r="Z78" s="58" t="e">
        <f>+'Proyectos Base digitable'!#REF!</f>
        <v>#REF!</v>
      </c>
      <c r="AA78" s="58" t="e">
        <f>+'Proyectos Base digitable'!#REF!</f>
        <v>#REF!</v>
      </c>
      <c r="AB78" s="63" t="e">
        <f>'Proyectos Base digitable'!#REF!</f>
        <v>#REF!</v>
      </c>
      <c r="AC78" s="56" t="e">
        <f>+'Proyectos Base digitable'!#REF!</f>
        <v>#REF!</v>
      </c>
      <c r="AD78" s="52" t="e">
        <f>+'Proyectos Base digitable'!#REF!</f>
        <v>#REF!</v>
      </c>
      <c r="AE78" s="52" t="e">
        <f>+'Proyectos Base digitable'!#REF!</f>
        <v>#REF!</v>
      </c>
      <c r="AF78" s="52" t="e">
        <f>+'Proyectos Base digitable'!#REF!</f>
        <v>#REF!</v>
      </c>
      <c r="AG78" s="56" t="e">
        <f>+'Proyectos Base digitable'!#REF!</f>
        <v>#REF!</v>
      </c>
      <c r="AH78" s="52" t="e">
        <f>+'Proyectos Base digitable'!#REF!</f>
        <v>#REF!</v>
      </c>
      <c r="AI78" s="52" t="e">
        <f>+'Proyectos Base digitable'!#REF!</f>
        <v>#REF!</v>
      </c>
      <c r="AJ78" s="59" t="e">
        <f>+'Proyectos Base digitable'!#REF!</f>
        <v>#REF!</v>
      </c>
      <c r="AK78" s="186" t="e">
        <f>+'Proyectos Base digitable'!#REF!</f>
        <v>#REF!</v>
      </c>
      <c r="AL78" s="186" t="e">
        <f>+'Proyectos Base digitable'!#REF!</f>
        <v>#REF!</v>
      </c>
      <c r="AM78" s="186" t="e">
        <f>+'Proyectos Base digitable'!#REF!</f>
        <v>#REF!</v>
      </c>
      <c r="AN78" s="186" t="e">
        <f>+'Proyectos Base digitable'!#REF!</f>
        <v>#REF!</v>
      </c>
      <c r="AO78" s="186" t="e">
        <f>+'Proyectos Base digitable'!#REF!</f>
        <v>#REF!</v>
      </c>
      <c r="AP78" s="186" t="e">
        <f>+'Proyectos Base digitable'!#REF!</f>
        <v>#REF!</v>
      </c>
      <c r="AQ78" s="186" t="e">
        <f>+'Proyectos Base digitable'!#REF!</f>
        <v>#REF!</v>
      </c>
      <c r="AR78" s="186" t="e">
        <f>+'Proyectos Base digitable'!#REF!</f>
        <v>#REF!</v>
      </c>
      <c r="AS78" s="186" t="e">
        <f>+'Proyectos Base digitable'!#REF!</f>
        <v>#REF!</v>
      </c>
      <c r="AT78" s="187" t="e">
        <f>+'Proyectos Base digitable'!#REF!</f>
        <v>#REF!</v>
      </c>
      <c r="AU78" s="56" t="e">
        <f>+'Proyectos Base digitable'!#REF!</f>
        <v>#REF!</v>
      </c>
      <c r="AV78" s="56" t="e">
        <f>+'Proyectos Base digitable'!#REF!</f>
        <v>#REF!</v>
      </c>
      <c r="AW78" s="56" t="e">
        <f>+'Proyectos Base digitable'!#REF!</f>
        <v>#REF!</v>
      </c>
      <c r="AX78" s="56" t="e">
        <f>+'Proyectos Base digitable'!#REF!</f>
        <v>#REF!</v>
      </c>
      <c r="AY78" s="56" t="e">
        <f>+'Proyectos Base digitable'!#REF!</f>
        <v>#REF!</v>
      </c>
      <c r="AZ78" s="188" t="e">
        <f>+'Proyectos Base digitable'!#REF!</f>
        <v>#REF!</v>
      </c>
      <c r="BA78" s="188" t="e">
        <f>+'Proyectos Base digitable'!#REF!</f>
        <v>#REF!</v>
      </c>
    </row>
    <row r="79" spans="1:53" ht="12.5">
      <c r="A79" s="60" t="e">
        <f>+'Proyectos Base digitable'!#REF!</f>
        <v>#REF!</v>
      </c>
      <c r="B79" s="56" t="e">
        <f>+'Proyectos Base digitable'!#REF!</f>
        <v>#REF!</v>
      </c>
      <c r="C79" s="56" t="e">
        <f>+'Proyectos Base digitable'!#REF!</f>
        <v>#REF!</v>
      </c>
      <c r="D79" s="56" t="e">
        <f>+'Proyectos Base digitable'!#REF!</f>
        <v>#REF!</v>
      </c>
      <c r="E79" s="56" t="e">
        <f>+'Proyectos Base digitable'!#REF!</f>
        <v>#REF!</v>
      </c>
      <c r="F79" s="56" t="e">
        <f>+'Proyectos Base digitable'!#REF!</f>
        <v>#REF!</v>
      </c>
      <c r="G79" s="57" t="e">
        <f>+'Proyectos Base digitable'!#REF!</f>
        <v>#REF!</v>
      </c>
      <c r="H79" s="56" t="e">
        <f>+'Proyectos Base digitable'!#REF!</f>
        <v>#REF!</v>
      </c>
      <c r="I79" s="56" t="e">
        <f>+'Proyectos Base digitable'!#REF!</f>
        <v>#REF!</v>
      </c>
      <c r="J79" s="56" t="e">
        <f>+'Proyectos Base digitable'!#REF!</f>
        <v>#REF!</v>
      </c>
      <c r="K79" s="56" t="e">
        <f>+'Proyectos Base digitable'!#REF!</f>
        <v>#REF!</v>
      </c>
      <c r="L79" s="56" t="e">
        <f>+'Proyectos Base digitable'!#REF!</f>
        <v>#REF!</v>
      </c>
      <c r="M79" s="56" t="e">
        <f>+'Proyectos Base digitable'!#REF!</f>
        <v>#REF!</v>
      </c>
      <c r="N79" s="52" t="e">
        <f>+'Proyectos Base digitable'!#REF!</f>
        <v>#REF!</v>
      </c>
      <c r="O79" s="52" t="e">
        <f>+'Proyectos Base digitable'!#REF!</f>
        <v>#REF!</v>
      </c>
      <c r="P79" s="185" t="e">
        <f>+'Proyectos Base digitable'!#REF!</f>
        <v>#REF!</v>
      </c>
      <c r="Q79" s="58" t="e">
        <f>+'Proyectos Base digitable'!#REF!</f>
        <v>#REF!</v>
      </c>
      <c r="R79" s="58" t="e">
        <f>+'Proyectos Base digitable'!#REF!</f>
        <v>#REF!</v>
      </c>
      <c r="S79" s="58" t="e">
        <f>+'Proyectos Base digitable'!#REF!</f>
        <v>#REF!</v>
      </c>
      <c r="T79" s="58" t="e">
        <f>+'Proyectos Base digitable'!#REF!</f>
        <v>#REF!</v>
      </c>
      <c r="U79" s="63" t="e">
        <f>'Proyectos Base digitable'!#REF!</f>
        <v>#REF!</v>
      </c>
      <c r="V79" s="63" t="e">
        <f>'Proyectos Base digitable'!#REF!</f>
        <v>#REF!</v>
      </c>
      <c r="W79" s="63" t="e">
        <f>'Proyectos Base digitable'!#REF!</f>
        <v>#REF!</v>
      </c>
      <c r="X79" s="63" t="e">
        <f>'Proyectos Base digitable'!#REF!</f>
        <v>#REF!</v>
      </c>
      <c r="Y79" s="63" t="e">
        <f>'Proyectos Base digitable'!#REF!</f>
        <v>#REF!</v>
      </c>
      <c r="Z79" s="58" t="e">
        <f>+'Proyectos Base digitable'!#REF!</f>
        <v>#REF!</v>
      </c>
      <c r="AA79" s="58" t="e">
        <f>+'Proyectos Base digitable'!#REF!</f>
        <v>#REF!</v>
      </c>
      <c r="AB79" s="63" t="e">
        <f>'Proyectos Base digitable'!#REF!</f>
        <v>#REF!</v>
      </c>
      <c r="AC79" s="56" t="e">
        <f>+'Proyectos Base digitable'!#REF!</f>
        <v>#REF!</v>
      </c>
      <c r="AD79" s="52" t="e">
        <f>+'Proyectos Base digitable'!#REF!</f>
        <v>#REF!</v>
      </c>
      <c r="AE79" s="52" t="e">
        <f>+'Proyectos Base digitable'!#REF!</f>
        <v>#REF!</v>
      </c>
      <c r="AF79" s="52" t="e">
        <f>+'Proyectos Base digitable'!#REF!</f>
        <v>#REF!</v>
      </c>
      <c r="AG79" s="56" t="e">
        <f>+'Proyectos Base digitable'!#REF!</f>
        <v>#REF!</v>
      </c>
      <c r="AH79" s="52" t="e">
        <f>+'Proyectos Base digitable'!#REF!</f>
        <v>#REF!</v>
      </c>
      <c r="AI79" s="52" t="e">
        <f>+'Proyectos Base digitable'!#REF!</f>
        <v>#REF!</v>
      </c>
      <c r="AJ79" s="59" t="e">
        <f>+'Proyectos Base digitable'!#REF!</f>
        <v>#REF!</v>
      </c>
      <c r="AK79" s="186" t="e">
        <f>+'Proyectos Base digitable'!#REF!</f>
        <v>#REF!</v>
      </c>
      <c r="AL79" s="186" t="e">
        <f>+'Proyectos Base digitable'!#REF!</f>
        <v>#REF!</v>
      </c>
      <c r="AM79" s="186" t="e">
        <f>+'Proyectos Base digitable'!#REF!</f>
        <v>#REF!</v>
      </c>
      <c r="AN79" s="186" t="e">
        <f>+'Proyectos Base digitable'!#REF!</f>
        <v>#REF!</v>
      </c>
      <c r="AO79" s="186" t="e">
        <f>+'Proyectos Base digitable'!#REF!</f>
        <v>#REF!</v>
      </c>
      <c r="AP79" s="186" t="e">
        <f>+'Proyectos Base digitable'!#REF!</f>
        <v>#REF!</v>
      </c>
      <c r="AQ79" s="186" t="e">
        <f>+'Proyectos Base digitable'!#REF!</f>
        <v>#REF!</v>
      </c>
      <c r="AR79" s="186" t="e">
        <f>+'Proyectos Base digitable'!#REF!</f>
        <v>#REF!</v>
      </c>
      <c r="AS79" s="186" t="e">
        <f>+'Proyectos Base digitable'!#REF!</f>
        <v>#REF!</v>
      </c>
      <c r="AT79" s="187" t="e">
        <f>+'Proyectos Base digitable'!#REF!</f>
        <v>#REF!</v>
      </c>
      <c r="AU79" s="56" t="e">
        <f>+'Proyectos Base digitable'!#REF!</f>
        <v>#REF!</v>
      </c>
      <c r="AV79" s="56" t="e">
        <f>+'Proyectos Base digitable'!#REF!</f>
        <v>#REF!</v>
      </c>
      <c r="AW79" s="56" t="e">
        <f>+'Proyectos Base digitable'!#REF!</f>
        <v>#REF!</v>
      </c>
      <c r="AX79" s="56" t="e">
        <f>+'Proyectos Base digitable'!#REF!</f>
        <v>#REF!</v>
      </c>
      <c r="AY79" s="56" t="e">
        <f>+'Proyectos Base digitable'!#REF!</f>
        <v>#REF!</v>
      </c>
      <c r="AZ79" s="188" t="e">
        <f>+'Proyectos Base digitable'!#REF!</f>
        <v>#REF!</v>
      </c>
      <c r="BA79" s="188" t="e">
        <f>+'Proyectos Base digitable'!#REF!</f>
        <v>#REF!</v>
      </c>
    </row>
    <row r="80" spans="1:53" ht="12.5">
      <c r="A80" s="60" t="e">
        <f>+'Proyectos Base digitable'!#REF!</f>
        <v>#REF!</v>
      </c>
      <c r="B80" s="56" t="e">
        <f>+'Proyectos Base digitable'!#REF!</f>
        <v>#REF!</v>
      </c>
      <c r="C80" s="56" t="e">
        <f>+'Proyectos Base digitable'!#REF!</f>
        <v>#REF!</v>
      </c>
      <c r="D80" s="56" t="e">
        <f>+'Proyectos Base digitable'!#REF!</f>
        <v>#REF!</v>
      </c>
      <c r="E80" s="56" t="e">
        <f>+'Proyectos Base digitable'!#REF!</f>
        <v>#REF!</v>
      </c>
      <c r="F80" s="56" t="e">
        <f>+'Proyectos Base digitable'!#REF!</f>
        <v>#REF!</v>
      </c>
      <c r="G80" s="57" t="e">
        <f>+'Proyectos Base digitable'!#REF!</f>
        <v>#REF!</v>
      </c>
      <c r="H80" s="56" t="e">
        <f>+'Proyectos Base digitable'!#REF!</f>
        <v>#REF!</v>
      </c>
      <c r="I80" s="56" t="e">
        <f>+'Proyectos Base digitable'!#REF!</f>
        <v>#REF!</v>
      </c>
      <c r="J80" s="56" t="e">
        <f>+'Proyectos Base digitable'!#REF!</f>
        <v>#REF!</v>
      </c>
      <c r="K80" s="56" t="e">
        <f>+'Proyectos Base digitable'!#REF!</f>
        <v>#REF!</v>
      </c>
      <c r="L80" s="56" t="e">
        <f>+'Proyectos Base digitable'!#REF!</f>
        <v>#REF!</v>
      </c>
      <c r="M80" s="56" t="e">
        <f>+'Proyectos Base digitable'!#REF!</f>
        <v>#REF!</v>
      </c>
      <c r="N80" s="52" t="e">
        <f>+'Proyectos Base digitable'!#REF!</f>
        <v>#REF!</v>
      </c>
      <c r="O80" s="52" t="e">
        <f>+'Proyectos Base digitable'!#REF!</f>
        <v>#REF!</v>
      </c>
      <c r="P80" s="185" t="e">
        <f>+'Proyectos Base digitable'!#REF!</f>
        <v>#REF!</v>
      </c>
      <c r="Q80" s="58" t="e">
        <f>+'Proyectos Base digitable'!#REF!</f>
        <v>#REF!</v>
      </c>
      <c r="R80" s="58" t="e">
        <f>+'Proyectos Base digitable'!#REF!</f>
        <v>#REF!</v>
      </c>
      <c r="S80" s="58" t="e">
        <f>+'Proyectos Base digitable'!#REF!</f>
        <v>#REF!</v>
      </c>
      <c r="T80" s="58" t="e">
        <f>+'Proyectos Base digitable'!#REF!</f>
        <v>#REF!</v>
      </c>
      <c r="U80" s="63" t="e">
        <f>'Proyectos Base digitable'!#REF!</f>
        <v>#REF!</v>
      </c>
      <c r="V80" s="63" t="e">
        <f>'Proyectos Base digitable'!#REF!</f>
        <v>#REF!</v>
      </c>
      <c r="W80" s="63" t="e">
        <f>'Proyectos Base digitable'!#REF!</f>
        <v>#REF!</v>
      </c>
      <c r="X80" s="63" t="e">
        <f>'Proyectos Base digitable'!#REF!</f>
        <v>#REF!</v>
      </c>
      <c r="Y80" s="63" t="e">
        <f>'Proyectos Base digitable'!#REF!</f>
        <v>#REF!</v>
      </c>
      <c r="Z80" s="58" t="e">
        <f>+'Proyectos Base digitable'!#REF!</f>
        <v>#REF!</v>
      </c>
      <c r="AA80" s="58" t="e">
        <f>+'Proyectos Base digitable'!#REF!</f>
        <v>#REF!</v>
      </c>
      <c r="AB80" s="63" t="e">
        <f>'Proyectos Base digitable'!#REF!</f>
        <v>#REF!</v>
      </c>
      <c r="AC80" s="56" t="e">
        <f>+'Proyectos Base digitable'!#REF!</f>
        <v>#REF!</v>
      </c>
      <c r="AD80" s="52" t="e">
        <f>+'Proyectos Base digitable'!#REF!</f>
        <v>#REF!</v>
      </c>
      <c r="AE80" s="52" t="e">
        <f>+'Proyectos Base digitable'!#REF!</f>
        <v>#REF!</v>
      </c>
      <c r="AF80" s="52" t="e">
        <f>+'Proyectos Base digitable'!#REF!</f>
        <v>#REF!</v>
      </c>
      <c r="AG80" s="56" t="e">
        <f>+'Proyectos Base digitable'!#REF!</f>
        <v>#REF!</v>
      </c>
      <c r="AH80" s="52" t="e">
        <f>+'Proyectos Base digitable'!#REF!</f>
        <v>#REF!</v>
      </c>
      <c r="AI80" s="52" t="e">
        <f>+'Proyectos Base digitable'!#REF!</f>
        <v>#REF!</v>
      </c>
      <c r="AJ80" s="59" t="e">
        <f>+'Proyectos Base digitable'!#REF!</f>
        <v>#REF!</v>
      </c>
      <c r="AK80" s="186" t="e">
        <f>+'Proyectos Base digitable'!#REF!</f>
        <v>#REF!</v>
      </c>
      <c r="AL80" s="186" t="e">
        <f>+'Proyectos Base digitable'!#REF!</f>
        <v>#REF!</v>
      </c>
      <c r="AM80" s="186" t="e">
        <f>+'Proyectos Base digitable'!#REF!</f>
        <v>#REF!</v>
      </c>
      <c r="AN80" s="186" t="e">
        <f>+'Proyectos Base digitable'!#REF!</f>
        <v>#REF!</v>
      </c>
      <c r="AO80" s="186" t="e">
        <f>+'Proyectos Base digitable'!#REF!</f>
        <v>#REF!</v>
      </c>
      <c r="AP80" s="186" t="e">
        <f>+'Proyectos Base digitable'!#REF!</f>
        <v>#REF!</v>
      </c>
      <c r="AQ80" s="186" t="e">
        <f>+'Proyectos Base digitable'!#REF!</f>
        <v>#REF!</v>
      </c>
      <c r="AR80" s="186" t="e">
        <f>+'Proyectos Base digitable'!#REF!</f>
        <v>#REF!</v>
      </c>
      <c r="AS80" s="186" t="e">
        <f>+'Proyectos Base digitable'!#REF!</f>
        <v>#REF!</v>
      </c>
      <c r="AT80" s="187" t="e">
        <f>+'Proyectos Base digitable'!#REF!</f>
        <v>#REF!</v>
      </c>
      <c r="AU80" s="56" t="e">
        <f>+'Proyectos Base digitable'!#REF!</f>
        <v>#REF!</v>
      </c>
      <c r="AV80" s="56" t="e">
        <f>+'Proyectos Base digitable'!#REF!</f>
        <v>#REF!</v>
      </c>
      <c r="AW80" s="56" t="e">
        <f>+'Proyectos Base digitable'!#REF!</f>
        <v>#REF!</v>
      </c>
      <c r="AX80" s="56" t="e">
        <f>+'Proyectos Base digitable'!#REF!</f>
        <v>#REF!</v>
      </c>
      <c r="AY80" s="56" t="e">
        <f>+'Proyectos Base digitable'!#REF!</f>
        <v>#REF!</v>
      </c>
      <c r="AZ80" s="188" t="e">
        <f>+'Proyectos Base digitable'!#REF!</f>
        <v>#REF!</v>
      </c>
      <c r="BA80" s="188" t="e">
        <f>+'Proyectos Base digitable'!#REF!</f>
        <v>#REF!</v>
      </c>
    </row>
    <row r="81" spans="1:53" ht="12.5">
      <c r="A81" s="60" t="e">
        <f>+'Proyectos Base digitable'!#REF!</f>
        <v>#REF!</v>
      </c>
      <c r="B81" s="56" t="e">
        <f>+'Proyectos Base digitable'!#REF!</f>
        <v>#REF!</v>
      </c>
      <c r="C81" s="56" t="e">
        <f>+'Proyectos Base digitable'!#REF!</f>
        <v>#REF!</v>
      </c>
      <c r="D81" s="56" t="e">
        <f>+'Proyectos Base digitable'!#REF!</f>
        <v>#REF!</v>
      </c>
      <c r="E81" s="56" t="e">
        <f>+'Proyectos Base digitable'!#REF!</f>
        <v>#REF!</v>
      </c>
      <c r="F81" s="56" t="e">
        <f>+'Proyectos Base digitable'!#REF!</f>
        <v>#REF!</v>
      </c>
      <c r="G81" s="57" t="e">
        <f>+'Proyectos Base digitable'!#REF!</f>
        <v>#REF!</v>
      </c>
      <c r="H81" s="56" t="e">
        <f>+'Proyectos Base digitable'!#REF!</f>
        <v>#REF!</v>
      </c>
      <c r="I81" s="56" t="e">
        <f>+'Proyectos Base digitable'!#REF!</f>
        <v>#REF!</v>
      </c>
      <c r="J81" s="56" t="e">
        <f>+'Proyectos Base digitable'!#REF!</f>
        <v>#REF!</v>
      </c>
      <c r="K81" s="56" t="e">
        <f>+'Proyectos Base digitable'!#REF!</f>
        <v>#REF!</v>
      </c>
      <c r="L81" s="56" t="e">
        <f>+'Proyectos Base digitable'!#REF!</f>
        <v>#REF!</v>
      </c>
      <c r="M81" s="56" t="e">
        <f>+'Proyectos Base digitable'!#REF!</f>
        <v>#REF!</v>
      </c>
      <c r="N81" s="52" t="e">
        <f>+'Proyectos Base digitable'!#REF!</f>
        <v>#REF!</v>
      </c>
      <c r="O81" s="52" t="e">
        <f>+'Proyectos Base digitable'!#REF!</f>
        <v>#REF!</v>
      </c>
      <c r="P81" s="185" t="e">
        <f>+'Proyectos Base digitable'!#REF!</f>
        <v>#REF!</v>
      </c>
      <c r="Q81" s="58" t="e">
        <f>+'Proyectos Base digitable'!#REF!</f>
        <v>#REF!</v>
      </c>
      <c r="R81" s="58" t="e">
        <f>+'Proyectos Base digitable'!#REF!</f>
        <v>#REF!</v>
      </c>
      <c r="S81" s="58" t="e">
        <f>+'Proyectos Base digitable'!#REF!</f>
        <v>#REF!</v>
      </c>
      <c r="T81" s="58" t="e">
        <f>+'Proyectos Base digitable'!#REF!</f>
        <v>#REF!</v>
      </c>
      <c r="U81" s="63" t="e">
        <f>'Proyectos Base digitable'!#REF!</f>
        <v>#REF!</v>
      </c>
      <c r="V81" s="63" t="e">
        <f>'Proyectos Base digitable'!#REF!</f>
        <v>#REF!</v>
      </c>
      <c r="W81" s="63" t="e">
        <f>'Proyectos Base digitable'!#REF!</f>
        <v>#REF!</v>
      </c>
      <c r="X81" s="63" t="e">
        <f>'Proyectos Base digitable'!#REF!</f>
        <v>#REF!</v>
      </c>
      <c r="Y81" s="63" t="e">
        <f>'Proyectos Base digitable'!#REF!</f>
        <v>#REF!</v>
      </c>
      <c r="Z81" s="58" t="e">
        <f>+'Proyectos Base digitable'!#REF!</f>
        <v>#REF!</v>
      </c>
      <c r="AA81" s="58" t="e">
        <f>+'Proyectos Base digitable'!#REF!</f>
        <v>#REF!</v>
      </c>
      <c r="AB81" s="63" t="e">
        <f>'Proyectos Base digitable'!#REF!</f>
        <v>#REF!</v>
      </c>
      <c r="AC81" s="56" t="e">
        <f>+'Proyectos Base digitable'!#REF!</f>
        <v>#REF!</v>
      </c>
      <c r="AD81" s="52" t="e">
        <f>+'Proyectos Base digitable'!#REF!</f>
        <v>#REF!</v>
      </c>
      <c r="AE81" s="52" t="e">
        <f>+'Proyectos Base digitable'!#REF!</f>
        <v>#REF!</v>
      </c>
      <c r="AF81" s="52" t="e">
        <f>+'Proyectos Base digitable'!#REF!</f>
        <v>#REF!</v>
      </c>
      <c r="AG81" s="56" t="e">
        <f>+'Proyectos Base digitable'!#REF!</f>
        <v>#REF!</v>
      </c>
      <c r="AH81" s="52" t="e">
        <f>+'Proyectos Base digitable'!#REF!</f>
        <v>#REF!</v>
      </c>
      <c r="AI81" s="52" t="e">
        <f>+'Proyectos Base digitable'!#REF!</f>
        <v>#REF!</v>
      </c>
      <c r="AJ81" s="59" t="e">
        <f>+'Proyectos Base digitable'!#REF!</f>
        <v>#REF!</v>
      </c>
      <c r="AK81" s="186" t="e">
        <f>+'Proyectos Base digitable'!#REF!</f>
        <v>#REF!</v>
      </c>
      <c r="AL81" s="186" t="e">
        <f>+'Proyectos Base digitable'!#REF!</f>
        <v>#REF!</v>
      </c>
      <c r="AM81" s="186" t="e">
        <f>+'Proyectos Base digitable'!#REF!</f>
        <v>#REF!</v>
      </c>
      <c r="AN81" s="186" t="e">
        <f>+'Proyectos Base digitable'!#REF!</f>
        <v>#REF!</v>
      </c>
      <c r="AO81" s="186" t="e">
        <f>+'Proyectos Base digitable'!#REF!</f>
        <v>#REF!</v>
      </c>
      <c r="AP81" s="186" t="e">
        <f>+'Proyectos Base digitable'!#REF!</f>
        <v>#REF!</v>
      </c>
      <c r="AQ81" s="186" t="e">
        <f>+'Proyectos Base digitable'!#REF!</f>
        <v>#REF!</v>
      </c>
      <c r="AR81" s="186" t="e">
        <f>+'Proyectos Base digitable'!#REF!</f>
        <v>#REF!</v>
      </c>
      <c r="AS81" s="186" t="e">
        <f>+'Proyectos Base digitable'!#REF!</f>
        <v>#REF!</v>
      </c>
      <c r="AT81" s="187" t="e">
        <f>+'Proyectos Base digitable'!#REF!</f>
        <v>#REF!</v>
      </c>
      <c r="AU81" s="56" t="e">
        <f>+'Proyectos Base digitable'!#REF!</f>
        <v>#REF!</v>
      </c>
      <c r="AV81" s="56" t="e">
        <f>+'Proyectos Base digitable'!#REF!</f>
        <v>#REF!</v>
      </c>
      <c r="AW81" s="56" t="e">
        <f>+'Proyectos Base digitable'!#REF!</f>
        <v>#REF!</v>
      </c>
      <c r="AX81" s="56" t="e">
        <f>+'Proyectos Base digitable'!#REF!</f>
        <v>#REF!</v>
      </c>
      <c r="AY81" s="56" t="e">
        <f>+'Proyectos Base digitable'!#REF!</f>
        <v>#REF!</v>
      </c>
      <c r="AZ81" s="188" t="e">
        <f>+'Proyectos Base digitable'!#REF!</f>
        <v>#REF!</v>
      </c>
      <c r="BA81" s="188" t="e">
        <f>+'Proyectos Base digitable'!#REF!</f>
        <v>#REF!</v>
      </c>
    </row>
    <row r="82" spans="1:53" ht="12.5">
      <c r="A82" s="60" t="e">
        <f>+'Proyectos Base digitable'!#REF!</f>
        <v>#REF!</v>
      </c>
      <c r="B82" s="56" t="e">
        <f>+'Proyectos Base digitable'!#REF!</f>
        <v>#REF!</v>
      </c>
      <c r="C82" s="56" t="e">
        <f>+'Proyectos Base digitable'!#REF!</f>
        <v>#REF!</v>
      </c>
      <c r="D82" s="56" t="e">
        <f>+'Proyectos Base digitable'!#REF!</f>
        <v>#REF!</v>
      </c>
      <c r="E82" s="56" t="e">
        <f>+'Proyectos Base digitable'!#REF!</f>
        <v>#REF!</v>
      </c>
      <c r="F82" s="56" t="e">
        <f>+'Proyectos Base digitable'!#REF!</f>
        <v>#REF!</v>
      </c>
      <c r="G82" s="57" t="e">
        <f>+'Proyectos Base digitable'!#REF!</f>
        <v>#REF!</v>
      </c>
      <c r="H82" s="56" t="e">
        <f>+'Proyectos Base digitable'!#REF!</f>
        <v>#REF!</v>
      </c>
      <c r="I82" s="56" t="e">
        <f>+'Proyectos Base digitable'!#REF!</f>
        <v>#REF!</v>
      </c>
      <c r="J82" s="56" t="e">
        <f>+'Proyectos Base digitable'!#REF!</f>
        <v>#REF!</v>
      </c>
      <c r="K82" s="56" t="e">
        <f>+'Proyectos Base digitable'!#REF!</f>
        <v>#REF!</v>
      </c>
      <c r="L82" s="56" t="e">
        <f>+'Proyectos Base digitable'!#REF!</f>
        <v>#REF!</v>
      </c>
      <c r="M82" s="56" t="e">
        <f>+'Proyectos Base digitable'!#REF!</f>
        <v>#REF!</v>
      </c>
      <c r="N82" s="52" t="e">
        <f>+'Proyectos Base digitable'!#REF!</f>
        <v>#REF!</v>
      </c>
      <c r="O82" s="52" t="e">
        <f>+'Proyectos Base digitable'!#REF!</f>
        <v>#REF!</v>
      </c>
      <c r="P82" s="185" t="e">
        <f>+'Proyectos Base digitable'!#REF!</f>
        <v>#REF!</v>
      </c>
      <c r="Q82" s="58" t="e">
        <f>+'Proyectos Base digitable'!#REF!</f>
        <v>#REF!</v>
      </c>
      <c r="R82" s="58" t="e">
        <f>+'Proyectos Base digitable'!#REF!</f>
        <v>#REF!</v>
      </c>
      <c r="S82" s="58" t="e">
        <f>+'Proyectos Base digitable'!#REF!</f>
        <v>#REF!</v>
      </c>
      <c r="T82" s="58" t="e">
        <f>+'Proyectos Base digitable'!#REF!</f>
        <v>#REF!</v>
      </c>
      <c r="U82" s="63" t="e">
        <f>'Proyectos Base digitable'!#REF!</f>
        <v>#REF!</v>
      </c>
      <c r="V82" s="63" t="e">
        <f>'Proyectos Base digitable'!#REF!</f>
        <v>#REF!</v>
      </c>
      <c r="W82" s="63" t="e">
        <f>'Proyectos Base digitable'!#REF!</f>
        <v>#REF!</v>
      </c>
      <c r="X82" s="63" t="e">
        <f>'Proyectos Base digitable'!#REF!</f>
        <v>#REF!</v>
      </c>
      <c r="Y82" s="63" t="e">
        <f>'Proyectos Base digitable'!#REF!</f>
        <v>#REF!</v>
      </c>
      <c r="Z82" s="58" t="e">
        <f>+'Proyectos Base digitable'!#REF!</f>
        <v>#REF!</v>
      </c>
      <c r="AA82" s="58" t="e">
        <f>+'Proyectos Base digitable'!#REF!</f>
        <v>#REF!</v>
      </c>
      <c r="AB82" s="63" t="e">
        <f>'Proyectos Base digitable'!#REF!</f>
        <v>#REF!</v>
      </c>
      <c r="AC82" s="56" t="e">
        <f>+'Proyectos Base digitable'!#REF!</f>
        <v>#REF!</v>
      </c>
      <c r="AD82" s="52" t="e">
        <f>+'Proyectos Base digitable'!#REF!</f>
        <v>#REF!</v>
      </c>
      <c r="AE82" s="52" t="e">
        <f>+'Proyectos Base digitable'!#REF!</f>
        <v>#REF!</v>
      </c>
      <c r="AF82" s="52" t="e">
        <f>+'Proyectos Base digitable'!#REF!</f>
        <v>#REF!</v>
      </c>
      <c r="AG82" s="56" t="e">
        <f>+'Proyectos Base digitable'!#REF!</f>
        <v>#REF!</v>
      </c>
      <c r="AH82" s="52" t="e">
        <f>+'Proyectos Base digitable'!#REF!</f>
        <v>#REF!</v>
      </c>
      <c r="AI82" s="52" t="e">
        <f>+'Proyectos Base digitable'!#REF!</f>
        <v>#REF!</v>
      </c>
      <c r="AJ82" s="59" t="e">
        <f>+'Proyectos Base digitable'!#REF!</f>
        <v>#REF!</v>
      </c>
      <c r="AK82" s="186" t="e">
        <f>+'Proyectos Base digitable'!#REF!</f>
        <v>#REF!</v>
      </c>
      <c r="AL82" s="186" t="e">
        <f>+'Proyectos Base digitable'!#REF!</f>
        <v>#REF!</v>
      </c>
      <c r="AM82" s="186" t="e">
        <f>+'Proyectos Base digitable'!#REF!</f>
        <v>#REF!</v>
      </c>
      <c r="AN82" s="186" t="e">
        <f>+'Proyectos Base digitable'!#REF!</f>
        <v>#REF!</v>
      </c>
      <c r="AO82" s="186" t="e">
        <f>+'Proyectos Base digitable'!#REF!</f>
        <v>#REF!</v>
      </c>
      <c r="AP82" s="186" t="e">
        <f>+'Proyectos Base digitable'!#REF!</f>
        <v>#REF!</v>
      </c>
      <c r="AQ82" s="186" t="e">
        <f>+'Proyectos Base digitable'!#REF!</f>
        <v>#REF!</v>
      </c>
      <c r="AR82" s="186" t="e">
        <f>+'Proyectos Base digitable'!#REF!</f>
        <v>#REF!</v>
      </c>
      <c r="AS82" s="186" t="e">
        <f>+'Proyectos Base digitable'!#REF!</f>
        <v>#REF!</v>
      </c>
      <c r="AT82" s="187" t="e">
        <f>+'Proyectos Base digitable'!#REF!</f>
        <v>#REF!</v>
      </c>
      <c r="AU82" s="56" t="e">
        <f>+'Proyectos Base digitable'!#REF!</f>
        <v>#REF!</v>
      </c>
      <c r="AV82" s="56" t="e">
        <f>+'Proyectos Base digitable'!#REF!</f>
        <v>#REF!</v>
      </c>
      <c r="AW82" s="56" t="e">
        <f>+'Proyectos Base digitable'!#REF!</f>
        <v>#REF!</v>
      </c>
      <c r="AX82" s="56" t="e">
        <f>+'Proyectos Base digitable'!#REF!</f>
        <v>#REF!</v>
      </c>
      <c r="AY82" s="56" t="e">
        <f>+'Proyectos Base digitable'!#REF!</f>
        <v>#REF!</v>
      </c>
      <c r="AZ82" s="188" t="e">
        <f>+'Proyectos Base digitable'!#REF!</f>
        <v>#REF!</v>
      </c>
      <c r="BA82" s="188" t="e">
        <f>+'Proyectos Base digitable'!#REF!</f>
        <v>#REF!</v>
      </c>
    </row>
    <row r="83" spans="1:53" ht="12.5">
      <c r="A83" s="60" t="e">
        <f>+'Proyectos Base digitable'!#REF!</f>
        <v>#REF!</v>
      </c>
      <c r="B83" s="56" t="e">
        <f>+'Proyectos Base digitable'!#REF!</f>
        <v>#REF!</v>
      </c>
      <c r="C83" s="56" t="e">
        <f>+'Proyectos Base digitable'!#REF!</f>
        <v>#REF!</v>
      </c>
      <c r="D83" s="56" t="e">
        <f>+'Proyectos Base digitable'!#REF!</f>
        <v>#REF!</v>
      </c>
      <c r="E83" s="56" t="e">
        <f>+'Proyectos Base digitable'!#REF!</f>
        <v>#REF!</v>
      </c>
      <c r="F83" s="56" t="e">
        <f>+'Proyectos Base digitable'!#REF!</f>
        <v>#REF!</v>
      </c>
      <c r="G83" s="57" t="e">
        <f>+'Proyectos Base digitable'!#REF!</f>
        <v>#REF!</v>
      </c>
      <c r="H83" s="56" t="e">
        <f>+'Proyectos Base digitable'!#REF!</f>
        <v>#REF!</v>
      </c>
      <c r="I83" s="56" t="e">
        <f>+'Proyectos Base digitable'!#REF!</f>
        <v>#REF!</v>
      </c>
      <c r="J83" s="56" t="e">
        <f>+'Proyectos Base digitable'!#REF!</f>
        <v>#REF!</v>
      </c>
      <c r="K83" s="56" t="e">
        <f>+'Proyectos Base digitable'!#REF!</f>
        <v>#REF!</v>
      </c>
      <c r="L83" s="56" t="e">
        <f>+'Proyectos Base digitable'!#REF!</f>
        <v>#REF!</v>
      </c>
      <c r="M83" s="56" t="e">
        <f>+'Proyectos Base digitable'!#REF!</f>
        <v>#REF!</v>
      </c>
      <c r="N83" s="52" t="e">
        <f>+'Proyectos Base digitable'!#REF!</f>
        <v>#REF!</v>
      </c>
      <c r="O83" s="52" t="e">
        <f>+'Proyectos Base digitable'!#REF!</f>
        <v>#REF!</v>
      </c>
      <c r="P83" s="185" t="e">
        <f>+'Proyectos Base digitable'!#REF!</f>
        <v>#REF!</v>
      </c>
      <c r="Q83" s="58" t="e">
        <f>+'Proyectos Base digitable'!#REF!</f>
        <v>#REF!</v>
      </c>
      <c r="R83" s="58" t="e">
        <f>+'Proyectos Base digitable'!#REF!</f>
        <v>#REF!</v>
      </c>
      <c r="S83" s="58" t="e">
        <f>+'Proyectos Base digitable'!#REF!</f>
        <v>#REF!</v>
      </c>
      <c r="T83" s="58" t="e">
        <f>+'Proyectos Base digitable'!#REF!</f>
        <v>#REF!</v>
      </c>
      <c r="U83" s="63" t="e">
        <f>'Proyectos Base digitable'!#REF!</f>
        <v>#REF!</v>
      </c>
      <c r="V83" s="63" t="e">
        <f>'Proyectos Base digitable'!#REF!</f>
        <v>#REF!</v>
      </c>
      <c r="W83" s="63" t="e">
        <f>'Proyectos Base digitable'!#REF!</f>
        <v>#REF!</v>
      </c>
      <c r="X83" s="63" t="e">
        <f>'Proyectos Base digitable'!#REF!</f>
        <v>#REF!</v>
      </c>
      <c r="Y83" s="63" t="e">
        <f>'Proyectos Base digitable'!#REF!</f>
        <v>#REF!</v>
      </c>
      <c r="Z83" s="58" t="e">
        <f>+'Proyectos Base digitable'!#REF!</f>
        <v>#REF!</v>
      </c>
      <c r="AA83" s="58" t="e">
        <f>+'Proyectos Base digitable'!#REF!</f>
        <v>#REF!</v>
      </c>
      <c r="AB83" s="63" t="e">
        <f>'Proyectos Base digitable'!#REF!</f>
        <v>#REF!</v>
      </c>
      <c r="AC83" s="56" t="e">
        <f>+'Proyectos Base digitable'!#REF!</f>
        <v>#REF!</v>
      </c>
      <c r="AD83" s="52" t="e">
        <f>+'Proyectos Base digitable'!#REF!</f>
        <v>#REF!</v>
      </c>
      <c r="AE83" s="52" t="e">
        <f>+'Proyectos Base digitable'!#REF!</f>
        <v>#REF!</v>
      </c>
      <c r="AF83" s="52" t="e">
        <f>+'Proyectos Base digitable'!#REF!</f>
        <v>#REF!</v>
      </c>
      <c r="AG83" s="56" t="e">
        <f>+'Proyectos Base digitable'!#REF!</f>
        <v>#REF!</v>
      </c>
      <c r="AH83" s="52" t="e">
        <f>+'Proyectos Base digitable'!#REF!</f>
        <v>#REF!</v>
      </c>
      <c r="AI83" s="52" t="e">
        <f>+'Proyectos Base digitable'!#REF!</f>
        <v>#REF!</v>
      </c>
      <c r="AJ83" s="59" t="e">
        <f>+'Proyectos Base digitable'!#REF!</f>
        <v>#REF!</v>
      </c>
      <c r="AK83" s="186" t="e">
        <f>+'Proyectos Base digitable'!#REF!</f>
        <v>#REF!</v>
      </c>
      <c r="AL83" s="186" t="e">
        <f>+'Proyectos Base digitable'!#REF!</f>
        <v>#REF!</v>
      </c>
      <c r="AM83" s="186" t="e">
        <f>+'Proyectos Base digitable'!#REF!</f>
        <v>#REF!</v>
      </c>
      <c r="AN83" s="186" t="e">
        <f>+'Proyectos Base digitable'!#REF!</f>
        <v>#REF!</v>
      </c>
      <c r="AO83" s="186" t="e">
        <f>+'Proyectos Base digitable'!#REF!</f>
        <v>#REF!</v>
      </c>
      <c r="AP83" s="186" t="e">
        <f>+'Proyectos Base digitable'!#REF!</f>
        <v>#REF!</v>
      </c>
      <c r="AQ83" s="186" t="e">
        <f>+'Proyectos Base digitable'!#REF!</f>
        <v>#REF!</v>
      </c>
      <c r="AR83" s="186" t="e">
        <f>+'Proyectos Base digitable'!#REF!</f>
        <v>#REF!</v>
      </c>
      <c r="AS83" s="186" t="e">
        <f>+'Proyectos Base digitable'!#REF!</f>
        <v>#REF!</v>
      </c>
      <c r="AT83" s="187" t="e">
        <f>+'Proyectos Base digitable'!#REF!</f>
        <v>#REF!</v>
      </c>
      <c r="AU83" s="56" t="e">
        <f>+'Proyectos Base digitable'!#REF!</f>
        <v>#REF!</v>
      </c>
      <c r="AV83" s="56" t="e">
        <f>+'Proyectos Base digitable'!#REF!</f>
        <v>#REF!</v>
      </c>
      <c r="AW83" s="56" t="e">
        <f>+'Proyectos Base digitable'!#REF!</f>
        <v>#REF!</v>
      </c>
      <c r="AX83" s="56" t="e">
        <f>+'Proyectos Base digitable'!#REF!</f>
        <v>#REF!</v>
      </c>
      <c r="AY83" s="56" t="e">
        <f>+'Proyectos Base digitable'!#REF!</f>
        <v>#REF!</v>
      </c>
      <c r="AZ83" s="188" t="e">
        <f>+'Proyectos Base digitable'!#REF!</f>
        <v>#REF!</v>
      </c>
      <c r="BA83" s="188" t="e">
        <f>+'Proyectos Base digitable'!#REF!</f>
        <v>#REF!</v>
      </c>
    </row>
    <row r="84" spans="1:53" ht="12.5">
      <c r="A84" s="60" t="e">
        <f>+'Proyectos Base digitable'!#REF!</f>
        <v>#REF!</v>
      </c>
      <c r="B84" s="56" t="e">
        <f>+'Proyectos Base digitable'!#REF!</f>
        <v>#REF!</v>
      </c>
      <c r="C84" s="56" t="e">
        <f>+'Proyectos Base digitable'!#REF!</f>
        <v>#REF!</v>
      </c>
      <c r="D84" s="56" t="e">
        <f>+'Proyectos Base digitable'!#REF!</f>
        <v>#REF!</v>
      </c>
      <c r="E84" s="56" t="e">
        <f>+'Proyectos Base digitable'!#REF!</f>
        <v>#REF!</v>
      </c>
      <c r="F84" s="56" t="e">
        <f>+'Proyectos Base digitable'!#REF!</f>
        <v>#REF!</v>
      </c>
      <c r="G84" s="57" t="e">
        <f>+'Proyectos Base digitable'!#REF!</f>
        <v>#REF!</v>
      </c>
      <c r="H84" s="56" t="e">
        <f>+'Proyectos Base digitable'!#REF!</f>
        <v>#REF!</v>
      </c>
      <c r="I84" s="56" t="e">
        <f>+'Proyectos Base digitable'!#REF!</f>
        <v>#REF!</v>
      </c>
      <c r="J84" s="56" t="e">
        <f>+'Proyectos Base digitable'!#REF!</f>
        <v>#REF!</v>
      </c>
      <c r="K84" s="56" t="e">
        <f>+'Proyectos Base digitable'!#REF!</f>
        <v>#REF!</v>
      </c>
      <c r="L84" s="56" t="e">
        <f>+'Proyectos Base digitable'!#REF!</f>
        <v>#REF!</v>
      </c>
      <c r="M84" s="56" t="e">
        <f>+'Proyectos Base digitable'!#REF!</f>
        <v>#REF!</v>
      </c>
      <c r="N84" s="52" t="e">
        <f>+'Proyectos Base digitable'!#REF!</f>
        <v>#REF!</v>
      </c>
      <c r="O84" s="52" t="e">
        <f>+'Proyectos Base digitable'!#REF!</f>
        <v>#REF!</v>
      </c>
      <c r="P84" s="185" t="e">
        <f>+'Proyectos Base digitable'!#REF!</f>
        <v>#REF!</v>
      </c>
      <c r="Q84" s="58" t="e">
        <f>+'Proyectos Base digitable'!#REF!</f>
        <v>#REF!</v>
      </c>
      <c r="R84" s="58" t="e">
        <f>+'Proyectos Base digitable'!#REF!</f>
        <v>#REF!</v>
      </c>
      <c r="S84" s="58" t="e">
        <f>+'Proyectos Base digitable'!#REF!</f>
        <v>#REF!</v>
      </c>
      <c r="T84" s="58" t="e">
        <f>+'Proyectos Base digitable'!#REF!</f>
        <v>#REF!</v>
      </c>
      <c r="U84" s="63" t="e">
        <f>'Proyectos Base digitable'!#REF!</f>
        <v>#REF!</v>
      </c>
      <c r="V84" s="63" t="e">
        <f>'Proyectos Base digitable'!#REF!</f>
        <v>#REF!</v>
      </c>
      <c r="W84" s="63" t="e">
        <f>'Proyectos Base digitable'!#REF!</f>
        <v>#REF!</v>
      </c>
      <c r="X84" s="63" t="e">
        <f>'Proyectos Base digitable'!#REF!</f>
        <v>#REF!</v>
      </c>
      <c r="Y84" s="63" t="e">
        <f>'Proyectos Base digitable'!#REF!</f>
        <v>#REF!</v>
      </c>
      <c r="Z84" s="58" t="e">
        <f>+'Proyectos Base digitable'!#REF!</f>
        <v>#REF!</v>
      </c>
      <c r="AA84" s="58" t="e">
        <f>+'Proyectos Base digitable'!#REF!</f>
        <v>#REF!</v>
      </c>
      <c r="AB84" s="63" t="e">
        <f>'Proyectos Base digitable'!#REF!</f>
        <v>#REF!</v>
      </c>
      <c r="AC84" s="56" t="e">
        <f>+'Proyectos Base digitable'!#REF!</f>
        <v>#REF!</v>
      </c>
      <c r="AD84" s="52" t="e">
        <f>+'Proyectos Base digitable'!#REF!</f>
        <v>#REF!</v>
      </c>
      <c r="AE84" s="52" t="e">
        <f>+'Proyectos Base digitable'!#REF!</f>
        <v>#REF!</v>
      </c>
      <c r="AF84" s="52" t="e">
        <f>+'Proyectos Base digitable'!#REF!</f>
        <v>#REF!</v>
      </c>
      <c r="AG84" s="56" t="e">
        <f>+'Proyectos Base digitable'!#REF!</f>
        <v>#REF!</v>
      </c>
      <c r="AH84" s="52" t="e">
        <f>+'Proyectos Base digitable'!#REF!</f>
        <v>#REF!</v>
      </c>
      <c r="AI84" s="52" t="e">
        <f>+'Proyectos Base digitable'!#REF!</f>
        <v>#REF!</v>
      </c>
      <c r="AJ84" s="59" t="e">
        <f>+'Proyectos Base digitable'!#REF!</f>
        <v>#REF!</v>
      </c>
      <c r="AK84" s="186" t="e">
        <f>+'Proyectos Base digitable'!#REF!</f>
        <v>#REF!</v>
      </c>
      <c r="AL84" s="186" t="e">
        <f>+'Proyectos Base digitable'!#REF!</f>
        <v>#REF!</v>
      </c>
      <c r="AM84" s="186" t="e">
        <f>+'Proyectos Base digitable'!#REF!</f>
        <v>#REF!</v>
      </c>
      <c r="AN84" s="186" t="e">
        <f>+'Proyectos Base digitable'!#REF!</f>
        <v>#REF!</v>
      </c>
      <c r="AO84" s="186" t="e">
        <f>+'Proyectos Base digitable'!#REF!</f>
        <v>#REF!</v>
      </c>
      <c r="AP84" s="186" t="e">
        <f>+'Proyectos Base digitable'!#REF!</f>
        <v>#REF!</v>
      </c>
      <c r="AQ84" s="186" t="e">
        <f>+'Proyectos Base digitable'!#REF!</f>
        <v>#REF!</v>
      </c>
      <c r="AR84" s="186" t="e">
        <f>+'Proyectos Base digitable'!#REF!</f>
        <v>#REF!</v>
      </c>
      <c r="AS84" s="186" t="e">
        <f>+'Proyectos Base digitable'!#REF!</f>
        <v>#REF!</v>
      </c>
      <c r="AT84" s="187" t="e">
        <f>+'Proyectos Base digitable'!#REF!</f>
        <v>#REF!</v>
      </c>
      <c r="AU84" s="56" t="e">
        <f>+'Proyectos Base digitable'!#REF!</f>
        <v>#REF!</v>
      </c>
      <c r="AV84" s="56" t="e">
        <f>+'Proyectos Base digitable'!#REF!</f>
        <v>#REF!</v>
      </c>
      <c r="AW84" s="56" t="e">
        <f>+'Proyectos Base digitable'!#REF!</f>
        <v>#REF!</v>
      </c>
      <c r="AX84" s="56" t="e">
        <f>+'Proyectos Base digitable'!#REF!</f>
        <v>#REF!</v>
      </c>
      <c r="AY84" s="56" t="e">
        <f>+'Proyectos Base digitable'!#REF!</f>
        <v>#REF!</v>
      </c>
      <c r="AZ84" s="188" t="e">
        <f>+'Proyectos Base digitable'!#REF!</f>
        <v>#REF!</v>
      </c>
      <c r="BA84" s="188" t="e">
        <f>+'Proyectos Base digitable'!#REF!</f>
        <v>#REF!</v>
      </c>
    </row>
    <row r="85" spans="1:53" ht="12.5">
      <c r="A85" s="60" t="e">
        <f>+'Proyectos Base digitable'!#REF!</f>
        <v>#REF!</v>
      </c>
      <c r="B85" s="56" t="e">
        <f>+'Proyectos Base digitable'!#REF!</f>
        <v>#REF!</v>
      </c>
      <c r="C85" s="56" t="e">
        <f>+'Proyectos Base digitable'!#REF!</f>
        <v>#REF!</v>
      </c>
      <c r="D85" s="56" t="e">
        <f>+'Proyectos Base digitable'!#REF!</f>
        <v>#REF!</v>
      </c>
      <c r="E85" s="56" t="e">
        <f>+'Proyectos Base digitable'!#REF!</f>
        <v>#REF!</v>
      </c>
      <c r="F85" s="56" t="e">
        <f>+'Proyectos Base digitable'!#REF!</f>
        <v>#REF!</v>
      </c>
      <c r="G85" s="57" t="e">
        <f>+'Proyectos Base digitable'!#REF!</f>
        <v>#REF!</v>
      </c>
      <c r="H85" s="56" t="e">
        <f>+'Proyectos Base digitable'!#REF!</f>
        <v>#REF!</v>
      </c>
      <c r="I85" s="56" t="e">
        <f>+'Proyectos Base digitable'!#REF!</f>
        <v>#REF!</v>
      </c>
      <c r="J85" s="56" t="e">
        <f>+'Proyectos Base digitable'!#REF!</f>
        <v>#REF!</v>
      </c>
      <c r="K85" s="56" t="e">
        <f>+'Proyectos Base digitable'!#REF!</f>
        <v>#REF!</v>
      </c>
      <c r="L85" s="56" t="e">
        <f>+'Proyectos Base digitable'!#REF!</f>
        <v>#REF!</v>
      </c>
      <c r="M85" s="56" t="e">
        <f>+'Proyectos Base digitable'!#REF!</f>
        <v>#REF!</v>
      </c>
      <c r="N85" s="52" t="e">
        <f>+'Proyectos Base digitable'!#REF!</f>
        <v>#REF!</v>
      </c>
      <c r="O85" s="52" t="e">
        <f>+'Proyectos Base digitable'!#REF!</f>
        <v>#REF!</v>
      </c>
      <c r="P85" s="185" t="e">
        <f>+'Proyectos Base digitable'!#REF!</f>
        <v>#REF!</v>
      </c>
      <c r="Q85" s="58" t="e">
        <f>+'Proyectos Base digitable'!#REF!</f>
        <v>#REF!</v>
      </c>
      <c r="R85" s="58" t="e">
        <f>+'Proyectos Base digitable'!#REF!</f>
        <v>#REF!</v>
      </c>
      <c r="S85" s="58" t="e">
        <f>+'Proyectos Base digitable'!#REF!</f>
        <v>#REF!</v>
      </c>
      <c r="T85" s="58" t="e">
        <f>+'Proyectos Base digitable'!#REF!</f>
        <v>#REF!</v>
      </c>
      <c r="U85" s="63" t="e">
        <f>'Proyectos Base digitable'!#REF!</f>
        <v>#REF!</v>
      </c>
      <c r="V85" s="63" t="e">
        <f>'Proyectos Base digitable'!#REF!</f>
        <v>#REF!</v>
      </c>
      <c r="W85" s="63" t="e">
        <f>'Proyectos Base digitable'!#REF!</f>
        <v>#REF!</v>
      </c>
      <c r="X85" s="63" t="e">
        <f>'Proyectos Base digitable'!#REF!</f>
        <v>#REF!</v>
      </c>
      <c r="Y85" s="63" t="e">
        <f>'Proyectos Base digitable'!#REF!</f>
        <v>#REF!</v>
      </c>
      <c r="Z85" s="58" t="e">
        <f>+'Proyectos Base digitable'!#REF!</f>
        <v>#REF!</v>
      </c>
      <c r="AA85" s="58" t="e">
        <f>+'Proyectos Base digitable'!#REF!</f>
        <v>#REF!</v>
      </c>
      <c r="AB85" s="63" t="e">
        <f>'Proyectos Base digitable'!#REF!</f>
        <v>#REF!</v>
      </c>
      <c r="AC85" s="56" t="e">
        <f>+'Proyectos Base digitable'!#REF!</f>
        <v>#REF!</v>
      </c>
      <c r="AD85" s="52" t="e">
        <f>+'Proyectos Base digitable'!#REF!</f>
        <v>#REF!</v>
      </c>
      <c r="AE85" s="52" t="e">
        <f>+'Proyectos Base digitable'!#REF!</f>
        <v>#REF!</v>
      </c>
      <c r="AF85" s="52" t="e">
        <f>+'Proyectos Base digitable'!#REF!</f>
        <v>#REF!</v>
      </c>
      <c r="AG85" s="56" t="e">
        <f>+'Proyectos Base digitable'!#REF!</f>
        <v>#REF!</v>
      </c>
      <c r="AH85" s="52" t="e">
        <f>+'Proyectos Base digitable'!#REF!</f>
        <v>#REF!</v>
      </c>
      <c r="AI85" s="52" t="e">
        <f>+'Proyectos Base digitable'!#REF!</f>
        <v>#REF!</v>
      </c>
      <c r="AJ85" s="59" t="e">
        <f>+'Proyectos Base digitable'!#REF!</f>
        <v>#REF!</v>
      </c>
      <c r="AK85" s="186" t="e">
        <f>+'Proyectos Base digitable'!#REF!</f>
        <v>#REF!</v>
      </c>
      <c r="AL85" s="186" t="e">
        <f>+'Proyectos Base digitable'!#REF!</f>
        <v>#REF!</v>
      </c>
      <c r="AM85" s="186" t="e">
        <f>+'Proyectos Base digitable'!#REF!</f>
        <v>#REF!</v>
      </c>
      <c r="AN85" s="186" t="e">
        <f>+'Proyectos Base digitable'!#REF!</f>
        <v>#REF!</v>
      </c>
      <c r="AO85" s="186" t="e">
        <f>+'Proyectos Base digitable'!#REF!</f>
        <v>#REF!</v>
      </c>
      <c r="AP85" s="186" t="e">
        <f>+'Proyectos Base digitable'!#REF!</f>
        <v>#REF!</v>
      </c>
      <c r="AQ85" s="186" t="e">
        <f>+'Proyectos Base digitable'!#REF!</f>
        <v>#REF!</v>
      </c>
      <c r="AR85" s="186" t="e">
        <f>+'Proyectos Base digitable'!#REF!</f>
        <v>#REF!</v>
      </c>
      <c r="AS85" s="186" t="e">
        <f>+'Proyectos Base digitable'!#REF!</f>
        <v>#REF!</v>
      </c>
      <c r="AT85" s="187" t="e">
        <f>+'Proyectos Base digitable'!#REF!</f>
        <v>#REF!</v>
      </c>
      <c r="AU85" s="56" t="e">
        <f>+'Proyectos Base digitable'!#REF!</f>
        <v>#REF!</v>
      </c>
      <c r="AV85" s="56" t="e">
        <f>+'Proyectos Base digitable'!#REF!</f>
        <v>#REF!</v>
      </c>
      <c r="AW85" s="56" t="e">
        <f>+'Proyectos Base digitable'!#REF!</f>
        <v>#REF!</v>
      </c>
      <c r="AX85" s="56" t="e">
        <f>+'Proyectos Base digitable'!#REF!</f>
        <v>#REF!</v>
      </c>
      <c r="AY85" s="56" t="e">
        <f>+'Proyectos Base digitable'!#REF!</f>
        <v>#REF!</v>
      </c>
      <c r="AZ85" s="188" t="e">
        <f>+'Proyectos Base digitable'!#REF!</f>
        <v>#REF!</v>
      </c>
      <c r="BA85" s="188" t="e">
        <f>+'Proyectos Base digitable'!#REF!</f>
        <v>#REF!</v>
      </c>
    </row>
    <row r="86" spans="1:53" ht="12.5">
      <c r="A86" s="60" t="e">
        <f>+'Proyectos Base digitable'!#REF!</f>
        <v>#REF!</v>
      </c>
      <c r="B86" s="56" t="e">
        <f>+'Proyectos Base digitable'!#REF!</f>
        <v>#REF!</v>
      </c>
      <c r="C86" s="56" t="e">
        <f>+'Proyectos Base digitable'!#REF!</f>
        <v>#REF!</v>
      </c>
      <c r="D86" s="56" t="e">
        <f>+'Proyectos Base digitable'!#REF!</f>
        <v>#REF!</v>
      </c>
      <c r="E86" s="56" t="e">
        <f>+'Proyectos Base digitable'!#REF!</f>
        <v>#REF!</v>
      </c>
      <c r="F86" s="56" t="e">
        <f>+'Proyectos Base digitable'!#REF!</f>
        <v>#REF!</v>
      </c>
      <c r="G86" s="57" t="e">
        <f>+'Proyectos Base digitable'!#REF!</f>
        <v>#REF!</v>
      </c>
      <c r="H86" s="56" t="e">
        <f>+'Proyectos Base digitable'!#REF!</f>
        <v>#REF!</v>
      </c>
      <c r="I86" s="56" t="e">
        <f>+'Proyectos Base digitable'!#REF!</f>
        <v>#REF!</v>
      </c>
      <c r="J86" s="56" t="e">
        <f>+'Proyectos Base digitable'!#REF!</f>
        <v>#REF!</v>
      </c>
      <c r="K86" s="56" t="e">
        <f>+'Proyectos Base digitable'!#REF!</f>
        <v>#REF!</v>
      </c>
      <c r="L86" s="56" t="e">
        <f>+'Proyectos Base digitable'!#REF!</f>
        <v>#REF!</v>
      </c>
      <c r="M86" s="56" t="e">
        <f>+'Proyectos Base digitable'!#REF!</f>
        <v>#REF!</v>
      </c>
      <c r="N86" s="52" t="e">
        <f>+'Proyectos Base digitable'!#REF!</f>
        <v>#REF!</v>
      </c>
      <c r="O86" s="52" t="e">
        <f>+'Proyectos Base digitable'!#REF!</f>
        <v>#REF!</v>
      </c>
      <c r="P86" s="185" t="e">
        <f>+'Proyectos Base digitable'!#REF!</f>
        <v>#REF!</v>
      </c>
      <c r="Q86" s="58" t="e">
        <f>+'Proyectos Base digitable'!#REF!</f>
        <v>#REF!</v>
      </c>
      <c r="R86" s="58" t="e">
        <f>+'Proyectos Base digitable'!#REF!</f>
        <v>#REF!</v>
      </c>
      <c r="S86" s="58" t="e">
        <f>+'Proyectos Base digitable'!#REF!</f>
        <v>#REF!</v>
      </c>
      <c r="T86" s="58" t="e">
        <f>+'Proyectos Base digitable'!#REF!</f>
        <v>#REF!</v>
      </c>
      <c r="U86" s="63" t="e">
        <f>'Proyectos Base digitable'!#REF!</f>
        <v>#REF!</v>
      </c>
      <c r="V86" s="63" t="e">
        <f>'Proyectos Base digitable'!#REF!</f>
        <v>#REF!</v>
      </c>
      <c r="W86" s="63" t="e">
        <f>'Proyectos Base digitable'!#REF!</f>
        <v>#REF!</v>
      </c>
      <c r="X86" s="63" t="e">
        <f>'Proyectos Base digitable'!#REF!</f>
        <v>#REF!</v>
      </c>
      <c r="Y86" s="63" t="e">
        <f>'Proyectos Base digitable'!#REF!</f>
        <v>#REF!</v>
      </c>
      <c r="Z86" s="58" t="e">
        <f>+'Proyectos Base digitable'!#REF!</f>
        <v>#REF!</v>
      </c>
      <c r="AA86" s="58" t="e">
        <f>+'Proyectos Base digitable'!#REF!</f>
        <v>#REF!</v>
      </c>
      <c r="AB86" s="63" t="e">
        <f>'Proyectos Base digitable'!#REF!</f>
        <v>#REF!</v>
      </c>
      <c r="AC86" s="56" t="e">
        <f>+'Proyectos Base digitable'!#REF!</f>
        <v>#REF!</v>
      </c>
      <c r="AD86" s="52" t="e">
        <f>+'Proyectos Base digitable'!#REF!</f>
        <v>#REF!</v>
      </c>
      <c r="AE86" s="52" t="e">
        <f>+'Proyectos Base digitable'!#REF!</f>
        <v>#REF!</v>
      </c>
      <c r="AF86" s="52" t="e">
        <f>+'Proyectos Base digitable'!#REF!</f>
        <v>#REF!</v>
      </c>
      <c r="AG86" s="56" t="e">
        <f>+'Proyectos Base digitable'!#REF!</f>
        <v>#REF!</v>
      </c>
      <c r="AH86" s="52" t="e">
        <f>+'Proyectos Base digitable'!#REF!</f>
        <v>#REF!</v>
      </c>
      <c r="AI86" s="52" t="e">
        <f>+'Proyectos Base digitable'!#REF!</f>
        <v>#REF!</v>
      </c>
      <c r="AJ86" s="59" t="e">
        <f>+'Proyectos Base digitable'!#REF!</f>
        <v>#REF!</v>
      </c>
      <c r="AK86" s="186" t="e">
        <f>+'Proyectos Base digitable'!#REF!</f>
        <v>#REF!</v>
      </c>
      <c r="AL86" s="186" t="e">
        <f>+'Proyectos Base digitable'!#REF!</f>
        <v>#REF!</v>
      </c>
      <c r="AM86" s="186" t="e">
        <f>+'Proyectos Base digitable'!#REF!</f>
        <v>#REF!</v>
      </c>
      <c r="AN86" s="186" t="e">
        <f>+'Proyectos Base digitable'!#REF!</f>
        <v>#REF!</v>
      </c>
      <c r="AO86" s="186" t="e">
        <f>+'Proyectos Base digitable'!#REF!</f>
        <v>#REF!</v>
      </c>
      <c r="AP86" s="186" t="e">
        <f>+'Proyectos Base digitable'!#REF!</f>
        <v>#REF!</v>
      </c>
      <c r="AQ86" s="186" t="e">
        <f>+'Proyectos Base digitable'!#REF!</f>
        <v>#REF!</v>
      </c>
      <c r="AR86" s="186" t="e">
        <f>+'Proyectos Base digitable'!#REF!</f>
        <v>#REF!</v>
      </c>
      <c r="AS86" s="186" t="e">
        <f>+'Proyectos Base digitable'!#REF!</f>
        <v>#REF!</v>
      </c>
      <c r="AT86" s="187" t="e">
        <f>+'Proyectos Base digitable'!#REF!</f>
        <v>#REF!</v>
      </c>
      <c r="AU86" s="56" t="e">
        <f>+'Proyectos Base digitable'!#REF!</f>
        <v>#REF!</v>
      </c>
      <c r="AV86" s="56" t="e">
        <f>+'Proyectos Base digitable'!#REF!</f>
        <v>#REF!</v>
      </c>
      <c r="AW86" s="56" t="e">
        <f>+'Proyectos Base digitable'!#REF!</f>
        <v>#REF!</v>
      </c>
      <c r="AX86" s="56" t="e">
        <f>+'Proyectos Base digitable'!#REF!</f>
        <v>#REF!</v>
      </c>
      <c r="AY86" s="56" t="e">
        <f>+'Proyectos Base digitable'!#REF!</f>
        <v>#REF!</v>
      </c>
      <c r="AZ86" s="188" t="e">
        <f>+'Proyectos Base digitable'!#REF!</f>
        <v>#REF!</v>
      </c>
      <c r="BA86" s="188" t="e">
        <f>+'Proyectos Base digitable'!#REF!</f>
        <v>#REF!</v>
      </c>
    </row>
    <row r="87" spans="1:53" ht="12.5">
      <c r="A87" s="60" t="e">
        <f>+'Proyectos Base digitable'!#REF!</f>
        <v>#REF!</v>
      </c>
      <c r="B87" s="56" t="e">
        <f>+'Proyectos Base digitable'!#REF!</f>
        <v>#REF!</v>
      </c>
      <c r="C87" s="56" t="e">
        <f>+'Proyectos Base digitable'!#REF!</f>
        <v>#REF!</v>
      </c>
      <c r="D87" s="56" t="e">
        <f>+'Proyectos Base digitable'!#REF!</f>
        <v>#REF!</v>
      </c>
      <c r="E87" s="56" t="e">
        <f>+'Proyectos Base digitable'!#REF!</f>
        <v>#REF!</v>
      </c>
      <c r="F87" s="56" t="e">
        <f>+'Proyectos Base digitable'!#REF!</f>
        <v>#REF!</v>
      </c>
      <c r="G87" s="57" t="e">
        <f>+'Proyectos Base digitable'!#REF!</f>
        <v>#REF!</v>
      </c>
      <c r="H87" s="56" t="e">
        <f>+'Proyectos Base digitable'!#REF!</f>
        <v>#REF!</v>
      </c>
      <c r="I87" s="56" t="e">
        <f>+'Proyectos Base digitable'!#REF!</f>
        <v>#REF!</v>
      </c>
      <c r="J87" s="56" t="e">
        <f>+'Proyectos Base digitable'!#REF!</f>
        <v>#REF!</v>
      </c>
      <c r="K87" s="56" t="e">
        <f>+'Proyectos Base digitable'!#REF!</f>
        <v>#REF!</v>
      </c>
      <c r="L87" s="56" t="e">
        <f>+'Proyectos Base digitable'!#REF!</f>
        <v>#REF!</v>
      </c>
      <c r="M87" s="56" t="e">
        <f>+'Proyectos Base digitable'!#REF!</f>
        <v>#REF!</v>
      </c>
      <c r="N87" s="52" t="e">
        <f>+'Proyectos Base digitable'!#REF!</f>
        <v>#REF!</v>
      </c>
      <c r="O87" s="52" t="e">
        <f>+'Proyectos Base digitable'!#REF!</f>
        <v>#REF!</v>
      </c>
      <c r="P87" s="185" t="e">
        <f>+'Proyectos Base digitable'!#REF!</f>
        <v>#REF!</v>
      </c>
      <c r="Q87" s="58" t="e">
        <f>+'Proyectos Base digitable'!#REF!</f>
        <v>#REF!</v>
      </c>
      <c r="R87" s="58" t="e">
        <f>+'Proyectos Base digitable'!#REF!</f>
        <v>#REF!</v>
      </c>
      <c r="S87" s="58" t="e">
        <f>+'Proyectos Base digitable'!#REF!</f>
        <v>#REF!</v>
      </c>
      <c r="T87" s="58" t="e">
        <f>+'Proyectos Base digitable'!#REF!</f>
        <v>#REF!</v>
      </c>
      <c r="U87" s="63" t="e">
        <f>'Proyectos Base digitable'!#REF!</f>
        <v>#REF!</v>
      </c>
      <c r="V87" s="63" t="e">
        <f>'Proyectos Base digitable'!#REF!</f>
        <v>#REF!</v>
      </c>
      <c r="W87" s="63" t="e">
        <f>'Proyectos Base digitable'!#REF!</f>
        <v>#REF!</v>
      </c>
      <c r="X87" s="63" t="e">
        <f>'Proyectos Base digitable'!#REF!</f>
        <v>#REF!</v>
      </c>
      <c r="Y87" s="63" t="e">
        <f>'Proyectos Base digitable'!#REF!</f>
        <v>#REF!</v>
      </c>
      <c r="Z87" s="58" t="e">
        <f>+'Proyectos Base digitable'!#REF!</f>
        <v>#REF!</v>
      </c>
      <c r="AA87" s="58" t="e">
        <f>+'Proyectos Base digitable'!#REF!</f>
        <v>#REF!</v>
      </c>
      <c r="AB87" s="63" t="e">
        <f>'Proyectos Base digitable'!#REF!</f>
        <v>#REF!</v>
      </c>
      <c r="AC87" s="56" t="e">
        <f>+'Proyectos Base digitable'!#REF!</f>
        <v>#REF!</v>
      </c>
      <c r="AD87" s="52" t="e">
        <f>+'Proyectos Base digitable'!#REF!</f>
        <v>#REF!</v>
      </c>
      <c r="AE87" s="52" t="e">
        <f>+'Proyectos Base digitable'!#REF!</f>
        <v>#REF!</v>
      </c>
      <c r="AF87" s="52" t="e">
        <f>+'Proyectos Base digitable'!#REF!</f>
        <v>#REF!</v>
      </c>
      <c r="AG87" s="56" t="e">
        <f>+'Proyectos Base digitable'!#REF!</f>
        <v>#REF!</v>
      </c>
      <c r="AH87" s="52" t="e">
        <f>+'Proyectos Base digitable'!#REF!</f>
        <v>#REF!</v>
      </c>
      <c r="AI87" s="52" t="e">
        <f>+'Proyectos Base digitable'!#REF!</f>
        <v>#REF!</v>
      </c>
      <c r="AJ87" s="59" t="e">
        <f>+'Proyectos Base digitable'!#REF!</f>
        <v>#REF!</v>
      </c>
      <c r="AK87" s="186" t="e">
        <f>+'Proyectos Base digitable'!#REF!</f>
        <v>#REF!</v>
      </c>
      <c r="AL87" s="186" t="e">
        <f>+'Proyectos Base digitable'!#REF!</f>
        <v>#REF!</v>
      </c>
      <c r="AM87" s="186" t="e">
        <f>+'Proyectos Base digitable'!#REF!</f>
        <v>#REF!</v>
      </c>
      <c r="AN87" s="186" t="e">
        <f>+'Proyectos Base digitable'!#REF!</f>
        <v>#REF!</v>
      </c>
      <c r="AO87" s="186" t="e">
        <f>+'Proyectos Base digitable'!#REF!</f>
        <v>#REF!</v>
      </c>
      <c r="AP87" s="186" t="e">
        <f>+'Proyectos Base digitable'!#REF!</f>
        <v>#REF!</v>
      </c>
      <c r="AQ87" s="186" t="e">
        <f>+'Proyectos Base digitable'!#REF!</f>
        <v>#REF!</v>
      </c>
      <c r="AR87" s="186" t="e">
        <f>+'Proyectos Base digitable'!#REF!</f>
        <v>#REF!</v>
      </c>
      <c r="AS87" s="186" t="e">
        <f>+'Proyectos Base digitable'!#REF!</f>
        <v>#REF!</v>
      </c>
      <c r="AT87" s="187" t="e">
        <f>+'Proyectos Base digitable'!#REF!</f>
        <v>#REF!</v>
      </c>
      <c r="AU87" s="56" t="e">
        <f>+'Proyectos Base digitable'!#REF!</f>
        <v>#REF!</v>
      </c>
      <c r="AV87" s="56" t="e">
        <f>+'Proyectos Base digitable'!#REF!</f>
        <v>#REF!</v>
      </c>
      <c r="AW87" s="56" t="e">
        <f>+'Proyectos Base digitable'!#REF!</f>
        <v>#REF!</v>
      </c>
      <c r="AX87" s="56" t="e">
        <f>+'Proyectos Base digitable'!#REF!</f>
        <v>#REF!</v>
      </c>
      <c r="AY87" s="56" t="e">
        <f>+'Proyectos Base digitable'!#REF!</f>
        <v>#REF!</v>
      </c>
      <c r="AZ87" s="188" t="e">
        <f>+'Proyectos Base digitable'!#REF!</f>
        <v>#REF!</v>
      </c>
      <c r="BA87" s="188" t="e">
        <f>+'Proyectos Base digitable'!#REF!</f>
        <v>#REF!</v>
      </c>
    </row>
    <row r="88" spans="1:53" ht="12.5">
      <c r="A88" s="60" t="e">
        <f>+'Proyectos Base digitable'!#REF!</f>
        <v>#REF!</v>
      </c>
      <c r="B88" s="56" t="e">
        <f>+'Proyectos Base digitable'!#REF!</f>
        <v>#REF!</v>
      </c>
      <c r="C88" s="56" t="e">
        <f>+'Proyectos Base digitable'!#REF!</f>
        <v>#REF!</v>
      </c>
      <c r="D88" s="56" t="e">
        <f>+'Proyectos Base digitable'!#REF!</f>
        <v>#REF!</v>
      </c>
      <c r="E88" s="56" t="e">
        <f>+'Proyectos Base digitable'!#REF!</f>
        <v>#REF!</v>
      </c>
      <c r="F88" s="56" t="e">
        <f>+'Proyectos Base digitable'!#REF!</f>
        <v>#REF!</v>
      </c>
      <c r="G88" s="57" t="e">
        <f>+'Proyectos Base digitable'!#REF!</f>
        <v>#REF!</v>
      </c>
      <c r="H88" s="56" t="e">
        <f>+'Proyectos Base digitable'!#REF!</f>
        <v>#REF!</v>
      </c>
      <c r="I88" s="56" t="e">
        <f>+'Proyectos Base digitable'!#REF!</f>
        <v>#REF!</v>
      </c>
      <c r="J88" s="56" t="e">
        <f>+'Proyectos Base digitable'!#REF!</f>
        <v>#REF!</v>
      </c>
      <c r="K88" s="56" t="e">
        <f>+'Proyectos Base digitable'!#REF!</f>
        <v>#REF!</v>
      </c>
      <c r="L88" s="56" t="e">
        <f>+'Proyectos Base digitable'!#REF!</f>
        <v>#REF!</v>
      </c>
      <c r="M88" s="56" t="e">
        <f>+'Proyectos Base digitable'!#REF!</f>
        <v>#REF!</v>
      </c>
      <c r="N88" s="52" t="e">
        <f>+'Proyectos Base digitable'!#REF!</f>
        <v>#REF!</v>
      </c>
      <c r="O88" s="52" t="e">
        <f>+'Proyectos Base digitable'!#REF!</f>
        <v>#REF!</v>
      </c>
      <c r="P88" s="185" t="e">
        <f>+'Proyectos Base digitable'!#REF!</f>
        <v>#REF!</v>
      </c>
      <c r="Q88" s="58" t="e">
        <f>+'Proyectos Base digitable'!#REF!</f>
        <v>#REF!</v>
      </c>
      <c r="R88" s="58" t="e">
        <f>+'Proyectos Base digitable'!#REF!</f>
        <v>#REF!</v>
      </c>
      <c r="S88" s="58" t="e">
        <f>+'Proyectos Base digitable'!#REF!</f>
        <v>#REF!</v>
      </c>
      <c r="T88" s="58" t="e">
        <f>+'Proyectos Base digitable'!#REF!</f>
        <v>#REF!</v>
      </c>
      <c r="U88" s="63" t="e">
        <f>'Proyectos Base digitable'!#REF!</f>
        <v>#REF!</v>
      </c>
      <c r="V88" s="63" t="e">
        <f>'Proyectos Base digitable'!#REF!</f>
        <v>#REF!</v>
      </c>
      <c r="W88" s="63" t="e">
        <f>'Proyectos Base digitable'!#REF!</f>
        <v>#REF!</v>
      </c>
      <c r="X88" s="63" t="e">
        <f>'Proyectos Base digitable'!#REF!</f>
        <v>#REF!</v>
      </c>
      <c r="Y88" s="63" t="e">
        <f>'Proyectos Base digitable'!#REF!</f>
        <v>#REF!</v>
      </c>
      <c r="Z88" s="58" t="e">
        <f>+'Proyectos Base digitable'!#REF!</f>
        <v>#REF!</v>
      </c>
      <c r="AA88" s="58" t="e">
        <f>+'Proyectos Base digitable'!#REF!</f>
        <v>#REF!</v>
      </c>
      <c r="AB88" s="63" t="e">
        <f>'Proyectos Base digitable'!#REF!</f>
        <v>#REF!</v>
      </c>
      <c r="AC88" s="56" t="e">
        <f>+'Proyectos Base digitable'!#REF!</f>
        <v>#REF!</v>
      </c>
      <c r="AD88" s="52" t="e">
        <f>+'Proyectos Base digitable'!#REF!</f>
        <v>#REF!</v>
      </c>
      <c r="AE88" s="52" t="e">
        <f>+'Proyectos Base digitable'!#REF!</f>
        <v>#REF!</v>
      </c>
      <c r="AF88" s="52" t="e">
        <f>+'Proyectos Base digitable'!#REF!</f>
        <v>#REF!</v>
      </c>
      <c r="AG88" s="56" t="e">
        <f>+'Proyectos Base digitable'!#REF!</f>
        <v>#REF!</v>
      </c>
      <c r="AH88" s="52" t="e">
        <f>+'Proyectos Base digitable'!#REF!</f>
        <v>#REF!</v>
      </c>
      <c r="AI88" s="52" t="e">
        <f>+'Proyectos Base digitable'!#REF!</f>
        <v>#REF!</v>
      </c>
      <c r="AJ88" s="59" t="e">
        <f>+'Proyectos Base digitable'!#REF!</f>
        <v>#REF!</v>
      </c>
      <c r="AK88" s="186" t="e">
        <f>+'Proyectos Base digitable'!#REF!</f>
        <v>#REF!</v>
      </c>
      <c r="AL88" s="186" t="e">
        <f>+'Proyectos Base digitable'!#REF!</f>
        <v>#REF!</v>
      </c>
      <c r="AM88" s="186" t="e">
        <f>+'Proyectos Base digitable'!#REF!</f>
        <v>#REF!</v>
      </c>
      <c r="AN88" s="186" t="e">
        <f>+'Proyectos Base digitable'!#REF!</f>
        <v>#REF!</v>
      </c>
      <c r="AO88" s="186" t="e">
        <f>+'Proyectos Base digitable'!#REF!</f>
        <v>#REF!</v>
      </c>
      <c r="AP88" s="186" t="e">
        <f>+'Proyectos Base digitable'!#REF!</f>
        <v>#REF!</v>
      </c>
      <c r="AQ88" s="186" t="e">
        <f>+'Proyectos Base digitable'!#REF!</f>
        <v>#REF!</v>
      </c>
      <c r="AR88" s="186" t="e">
        <f>+'Proyectos Base digitable'!#REF!</f>
        <v>#REF!</v>
      </c>
      <c r="AS88" s="186" t="e">
        <f>+'Proyectos Base digitable'!#REF!</f>
        <v>#REF!</v>
      </c>
      <c r="AT88" s="187" t="e">
        <f>+'Proyectos Base digitable'!#REF!</f>
        <v>#REF!</v>
      </c>
      <c r="AU88" s="56" t="e">
        <f>+'Proyectos Base digitable'!#REF!</f>
        <v>#REF!</v>
      </c>
      <c r="AV88" s="56" t="e">
        <f>+'Proyectos Base digitable'!#REF!</f>
        <v>#REF!</v>
      </c>
      <c r="AW88" s="56" t="e">
        <f>+'Proyectos Base digitable'!#REF!</f>
        <v>#REF!</v>
      </c>
      <c r="AX88" s="56" t="e">
        <f>+'Proyectos Base digitable'!#REF!</f>
        <v>#REF!</v>
      </c>
      <c r="AY88" s="56" t="e">
        <f>+'Proyectos Base digitable'!#REF!</f>
        <v>#REF!</v>
      </c>
      <c r="AZ88" s="188" t="e">
        <f>+'Proyectos Base digitable'!#REF!</f>
        <v>#REF!</v>
      </c>
      <c r="BA88" s="188" t="e">
        <f>+'Proyectos Base digitable'!#REF!</f>
        <v>#REF!</v>
      </c>
    </row>
    <row r="89" spans="1:53" ht="12.5">
      <c r="A89" s="60" t="e">
        <f>+'Proyectos Base digitable'!#REF!</f>
        <v>#REF!</v>
      </c>
      <c r="B89" s="56" t="e">
        <f>+'Proyectos Base digitable'!#REF!</f>
        <v>#REF!</v>
      </c>
      <c r="C89" s="56" t="e">
        <f>+'Proyectos Base digitable'!#REF!</f>
        <v>#REF!</v>
      </c>
      <c r="D89" s="56" t="e">
        <f>+'Proyectos Base digitable'!#REF!</f>
        <v>#REF!</v>
      </c>
      <c r="E89" s="56" t="e">
        <f>+'Proyectos Base digitable'!#REF!</f>
        <v>#REF!</v>
      </c>
      <c r="F89" s="56" t="e">
        <f>+'Proyectos Base digitable'!#REF!</f>
        <v>#REF!</v>
      </c>
      <c r="G89" s="57" t="e">
        <f>+'Proyectos Base digitable'!#REF!</f>
        <v>#REF!</v>
      </c>
      <c r="H89" s="56" t="e">
        <f>+'Proyectos Base digitable'!#REF!</f>
        <v>#REF!</v>
      </c>
      <c r="I89" s="56" t="e">
        <f>+'Proyectos Base digitable'!#REF!</f>
        <v>#REF!</v>
      </c>
      <c r="J89" s="56" t="e">
        <f>+'Proyectos Base digitable'!#REF!</f>
        <v>#REF!</v>
      </c>
      <c r="K89" s="56" t="e">
        <f>+'Proyectos Base digitable'!#REF!</f>
        <v>#REF!</v>
      </c>
      <c r="L89" s="56" t="e">
        <f>+'Proyectos Base digitable'!#REF!</f>
        <v>#REF!</v>
      </c>
      <c r="M89" s="56" t="e">
        <f>+'Proyectos Base digitable'!#REF!</f>
        <v>#REF!</v>
      </c>
      <c r="N89" s="52" t="e">
        <f>+'Proyectos Base digitable'!#REF!</f>
        <v>#REF!</v>
      </c>
      <c r="O89" s="52" t="e">
        <f>+'Proyectos Base digitable'!#REF!</f>
        <v>#REF!</v>
      </c>
      <c r="P89" s="185" t="e">
        <f>+'Proyectos Base digitable'!#REF!</f>
        <v>#REF!</v>
      </c>
      <c r="Q89" s="58" t="e">
        <f>+'Proyectos Base digitable'!#REF!</f>
        <v>#REF!</v>
      </c>
      <c r="R89" s="58" t="e">
        <f>+'Proyectos Base digitable'!#REF!</f>
        <v>#REF!</v>
      </c>
      <c r="S89" s="58" t="e">
        <f>+'Proyectos Base digitable'!#REF!</f>
        <v>#REF!</v>
      </c>
      <c r="T89" s="58" t="e">
        <f>+'Proyectos Base digitable'!#REF!</f>
        <v>#REF!</v>
      </c>
      <c r="U89" s="63" t="e">
        <f>'Proyectos Base digitable'!#REF!</f>
        <v>#REF!</v>
      </c>
      <c r="V89" s="63" t="e">
        <f>'Proyectos Base digitable'!#REF!</f>
        <v>#REF!</v>
      </c>
      <c r="W89" s="63" t="e">
        <f>'Proyectos Base digitable'!#REF!</f>
        <v>#REF!</v>
      </c>
      <c r="X89" s="63" t="e">
        <f>'Proyectos Base digitable'!#REF!</f>
        <v>#REF!</v>
      </c>
      <c r="Y89" s="63" t="e">
        <f>'Proyectos Base digitable'!#REF!</f>
        <v>#REF!</v>
      </c>
      <c r="Z89" s="58" t="e">
        <f>+'Proyectos Base digitable'!#REF!</f>
        <v>#REF!</v>
      </c>
      <c r="AA89" s="58" t="e">
        <f>+'Proyectos Base digitable'!#REF!</f>
        <v>#REF!</v>
      </c>
      <c r="AB89" s="63" t="e">
        <f>'Proyectos Base digitable'!#REF!</f>
        <v>#REF!</v>
      </c>
      <c r="AC89" s="56" t="e">
        <f>+'Proyectos Base digitable'!#REF!</f>
        <v>#REF!</v>
      </c>
      <c r="AD89" s="52" t="e">
        <f>+'Proyectos Base digitable'!#REF!</f>
        <v>#REF!</v>
      </c>
      <c r="AE89" s="52" t="e">
        <f>+'Proyectos Base digitable'!#REF!</f>
        <v>#REF!</v>
      </c>
      <c r="AF89" s="52" t="e">
        <f>+'Proyectos Base digitable'!#REF!</f>
        <v>#REF!</v>
      </c>
      <c r="AG89" s="56" t="e">
        <f>+'Proyectos Base digitable'!#REF!</f>
        <v>#REF!</v>
      </c>
      <c r="AH89" s="52" t="e">
        <f>+'Proyectos Base digitable'!#REF!</f>
        <v>#REF!</v>
      </c>
      <c r="AI89" s="52" t="e">
        <f>+'Proyectos Base digitable'!#REF!</f>
        <v>#REF!</v>
      </c>
      <c r="AJ89" s="59" t="e">
        <f>+'Proyectos Base digitable'!#REF!</f>
        <v>#REF!</v>
      </c>
      <c r="AK89" s="186" t="e">
        <f>+'Proyectos Base digitable'!#REF!</f>
        <v>#REF!</v>
      </c>
      <c r="AL89" s="186" t="e">
        <f>+'Proyectos Base digitable'!#REF!</f>
        <v>#REF!</v>
      </c>
      <c r="AM89" s="186" t="e">
        <f>+'Proyectos Base digitable'!#REF!</f>
        <v>#REF!</v>
      </c>
      <c r="AN89" s="186" t="e">
        <f>+'Proyectos Base digitable'!#REF!</f>
        <v>#REF!</v>
      </c>
      <c r="AO89" s="186" t="e">
        <f>+'Proyectos Base digitable'!#REF!</f>
        <v>#REF!</v>
      </c>
      <c r="AP89" s="186" t="e">
        <f>+'Proyectos Base digitable'!#REF!</f>
        <v>#REF!</v>
      </c>
      <c r="AQ89" s="186" t="e">
        <f>+'Proyectos Base digitable'!#REF!</f>
        <v>#REF!</v>
      </c>
      <c r="AR89" s="186" t="e">
        <f>+'Proyectos Base digitable'!#REF!</f>
        <v>#REF!</v>
      </c>
      <c r="AS89" s="186" t="e">
        <f>+'Proyectos Base digitable'!#REF!</f>
        <v>#REF!</v>
      </c>
      <c r="AT89" s="187" t="e">
        <f>+'Proyectos Base digitable'!#REF!</f>
        <v>#REF!</v>
      </c>
      <c r="AU89" s="56" t="e">
        <f>+'Proyectos Base digitable'!#REF!</f>
        <v>#REF!</v>
      </c>
      <c r="AV89" s="56" t="e">
        <f>+'Proyectos Base digitable'!#REF!</f>
        <v>#REF!</v>
      </c>
      <c r="AW89" s="56" t="e">
        <f>+'Proyectos Base digitable'!#REF!</f>
        <v>#REF!</v>
      </c>
      <c r="AX89" s="56" t="e">
        <f>+'Proyectos Base digitable'!#REF!</f>
        <v>#REF!</v>
      </c>
      <c r="AY89" s="56" t="e">
        <f>+'Proyectos Base digitable'!#REF!</f>
        <v>#REF!</v>
      </c>
      <c r="AZ89" s="188" t="e">
        <f>+'Proyectos Base digitable'!#REF!</f>
        <v>#REF!</v>
      </c>
      <c r="BA89" s="188" t="e">
        <f>+'Proyectos Base digitable'!#REF!</f>
        <v>#REF!</v>
      </c>
    </row>
    <row r="90" spans="1:53" ht="12.5">
      <c r="A90" s="60" t="e">
        <f>+'Proyectos Base digitable'!#REF!</f>
        <v>#REF!</v>
      </c>
      <c r="B90" s="56" t="e">
        <f>+'Proyectos Base digitable'!#REF!</f>
        <v>#REF!</v>
      </c>
      <c r="C90" s="56" t="e">
        <f>+'Proyectos Base digitable'!#REF!</f>
        <v>#REF!</v>
      </c>
      <c r="D90" s="56" t="e">
        <f>+'Proyectos Base digitable'!#REF!</f>
        <v>#REF!</v>
      </c>
      <c r="E90" s="56" t="e">
        <f>+'Proyectos Base digitable'!#REF!</f>
        <v>#REF!</v>
      </c>
      <c r="F90" s="56" t="e">
        <f>+'Proyectos Base digitable'!#REF!</f>
        <v>#REF!</v>
      </c>
      <c r="G90" s="57" t="e">
        <f>+'Proyectos Base digitable'!#REF!</f>
        <v>#REF!</v>
      </c>
      <c r="H90" s="56" t="e">
        <f>+'Proyectos Base digitable'!#REF!</f>
        <v>#REF!</v>
      </c>
      <c r="I90" s="56" t="e">
        <f>+'Proyectos Base digitable'!#REF!</f>
        <v>#REF!</v>
      </c>
      <c r="J90" s="56" t="e">
        <f>+'Proyectos Base digitable'!#REF!</f>
        <v>#REF!</v>
      </c>
      <c r="K90" s="56" t="e">
        <f>+'Proyectos Base digitable'!#REF!</f>
        <v>#REF!</v>
      </c>
      <c r="L90" s="56" t="e">
        <f>+'Proyectos Base digitable'!#REF!</f>
        <v>#REF!</v>
      </c>
      <c r="M90" s="56" t="e">
        <f>+'Proyectos Base digitable'!#REF!</f>
        <v>#REF!</v>
      </c>
      <c r="N90" s="52" t="e">
        <f>+'Proyectos Base digitable'!#REF!</f>
        <v>#REF!</v>
      </c>
      <c r="O90" s="52" t="e">
        <f>+'Proyectos Base digitable'!#REF!</f>
        <v>#REF!</v>
      </c>
      <c r="P90" s="185" t="e">
        <f>+'Proyectos Base digitable'!#REF!</f>
        <v>#REF!</v>
      </c>
      <c r="Q90" s="58" t="e">
        <f>+'Proyectos Base digitable'!#REF!</f>
        <v>#REF!</v>
      </c>
      <c r="R90" s="58" t="e">
        <f>+'Proyectos Base digitable'!#REF!</f>
        <v>#REF!</v>
      </c>
      <c r="S90" s="58" t="e">
        <f>+'Proyectos Base digitable'!#REF!</f>
        <v>#REF!</v>
      </c>
      <c r="T90" s="58" t="e">
        <f>+'Proyectos Base digitable'!#REF!</f>
        <v>#REF!</v>
      </c>
      <c r="U90" s="63" t="e">
        <f>'Proyectos Base digitable'!#REF!</f>
        <v>#REF!</v>
      </c>
      <c r="V90" s="63" t="e">
        <f>'Proyectos Base digitable'!#REF!</f>
        <v>#REF!</v>
      </c>
      <c r="W90" s="63" t="e">
        <f>'Proyectos Base digitable'!#REF!</f>
        <v>#REF!</v>
      </c>
      <c r="X90" s="63" t="e">
        <f>'Proyectos Base digitable'!#REF!</f>
        <v>#REF!</v>
      </c>
      <c r="Y90" s="63" t="e">
        <f>'Proyectos Base digitable'!#REF!</f>
        <v>#REF!</v>
      </c>
      <c r="Z90" s="58" t="e">
        <f>+'Proyectos Base digitable'!#REF!</f>
        <v>#REF!</v>
      </c>
      <c r="AA90" s="58" t="e">
        <f>+'Proyectos Base digitable'!#REF!</f>
        <v>#REF!</v>
      </c>
      <c r="AB90" s="63" t="e">
        <f>'Proyectos Base digitable'!#REF!</f>
        <v>#REF!</v>
      </c>
      <c r="AC90" s="56" t="e">
        <f>+'Proyectos Base digitable'!#REF!</f>
        <v>#REF!</v>
      </c>
      <c r="AD90" s="52" t="e">
        <f>+'Proyectos Base digitable'!#REF!</f>
        <v>#REF!</v>
      </c>
      <c r="AE90" s="52" t="e">
        <f>+'Proyectos Base digitable'!#REF!</f>
        <v>#REF!</v>
      </c>
      <c r="AF90" s="52" t="e">
        <f>+'Proyectos Base digitable'!#REF!</f>
        <v>#REF!</v>
      </c>
      <c r="AG90" s="56" t="e">
        <f>+'Proyectos Base digitable'!#REF!</f>
        <v>#REF!</v>
      </c>
      <c r="AH90" s="52" t="e">
        <f>+'Proyectos Base digitable'!#REF!</f>
        <v>#REF!</v>
      </c>
      <c r="AI90" s="52" t="e">
        <f>+'Proyectos Base digitable'!#REF!</f>
        <v>#REF!</v>
      </c>
      <c r="AJ90" s="59" t="e">
        <f>+'Proyectos Base digitable'!#REF!</f>
        <v>#REF!</v>
      </c>
      <c r="AK90" s="186" t="e">
        <f>+'Proyectos Base digitable'!#REF!</f>
        <v>#REF!</v>
      </c>
      <c r="AL90" s="186" t="e">
        <f>+'Proyectos Base digitable'!#REF!</f>
        <v>#REF!</v>
      </c>
      <c r="AM90" s="186" t="e">
        <f>+'Proyectos Base digitable'!#REF!</f>
        <v>#REF!</v>
      </c>
      <c r="AN90" s="186" t="e">
        <f>+'Proyectos Base digitable'!#REF!</f>
        <v>#REF!</v>
      </c>
      <c r="AO90" s="186" t="e">
        <f>+'Proyectos Base digitable'!#REF!</f>
        <v>#REF!</v>
      </c>
      <c r="AP90" s="186" t="e">
        <f>+'Proyectos Base digitable'!#REF!</f>
        <v>#REF!</v>
      </c>
      <c r="AQ90" s="186" t="e">
        <f>+'Proyectos Base digitable'!#REF!</f>
        <v>#REF!</v>
      </c>
      <c r="AR90" s="186" t="e">
        <f>+'Proyectos Base digitable'!#REF!</f>
        <v>#REF!</v>
      </c>
      <c r="AS90" s="186" t="e">
        <f>+'Proyectos Base digitable'!#REF!</f>
        <v>#REF!</v>
      </c>
      <c r="AT90" s="187" t="e">
        <f>+'Proyectos Base digitable'!#REF!</f>
        <v>#REF!</v>
      </c>
      <c r="AU90" s="56" t="e">
        <f>+'Proyectos Base digitable'!#REF!</f>
        <v>#REF!</v>
      </c>
      <c r="AV90" s="56" t="e">
        <f>+'Proyectos Base digitable'!#REF!</f>
        <v>#REF!</v>
      </c>
      <c r="AW90" s="56" t="e">
        <f>+'Proyectos Base digitable'!#REF!</f>
        <v>#REF!</v>
      </c>
      <c r="AX90" s="56" t="e">
        <f>+'Proyectos Base digitable'!#REF!</f>
        <v>#REF!</v>
      </c>
      <c r="AY90" s="56" t="e">
        <f>+'Proyectos Base digitable'!#REF!</f>
        <v>#REF!</v>
      </c>
      <c r="AZ90" s="188" t="e">
        <f>+'Proyectos Base digitable'!#REF!</f>
        <v>#REF!</v>
      </c>
      <c r="BA90" s="188" t="e">
        <f>+'Proyectos Base digitable'!#REF!</f>
        <v>#REF!</v>
      </c>
    </row>
    <row r="91" spans="1:53" ht="12.5">
      <c r="A91" s="60" t="e">
        <f>+'Proyectos Base digitable'!#REF!</f>
        <v>#REF!</v>
      </c>
      <c r="B91" s="56" t="e">
        <f>+'Proyectos Base digitable'!#REF!</f>
        <v>#REF!</v>
      </c>
      <c r="C91" s="56" t="e">
        <f>+'Proyectos Base digitable'!#REF!</f>
        <v>#REF!</v>
      </c>
      <c r="D91" s="56" t="e">
        <f>+'Proyectos Base digitable'!#REF!</f>
        <v>#REF!</v>
      </c>
      <c r="E91" s="56" t="e">
        <f>+'Proyectos Base digitable'!#REF!</f>
        <v>#REF!</v>
      </c>
      <c r="F91" s="56" t="e">
        <f>+'Proyectos Base digitable'!#REF!</f>
        <v>#REF!</v>
      </c>
      <c r="G91" s="57" t="e">
        <f>+'Proyectos Base digitable'!#REF!</f>
        <v>#REF!</v>
      </c>
      <c r="H91" s="56" t="e">
        <f>+'Proyectos Base digitable'!#REF!</f>
        <v>#REF!</v>
      </c>
      <c r="I91" s="56" t="e">
        <f>+'Proyectos Base digitable'!#REF!</f>
        <v>#REF!</v>
      </c>
      <c r="J91" s="56" t="e">
        <f>+'Proyectos Base digitable'!#REF!</f>
        <v>#REF!</v>
      </c>
      <c r="K91" s="56" t="e">
        <f>+'Proyectos Base digitable'!#REF!</f>
        <v>#REF!</v>
      </c>
      <c r="L91" s="56" t="e">
        <f>+'Proyectos Base digitable'!#REF!</f>
        <v>#REF!</v>
      </c>
      <c r="M91" s="56" t="e">
        <f>+'Proyectos Base digitable'!#REF!</f>
        <v>#REF!</v>
      </c>
      <c r="N91" s="52" t="e">
        <f>+'Proyectos Base digitable'!#REF!</f>
        <v>#REF!</v>
      </c>
      <c r="O91" s="52" t="e">
        <f>+'Proyectos Base digitable'!#REF!</f>
        <v>#REF!</v>
      </c>
      <c r="P91" s="185" t="e">
        <f>+'Proyectos Base digitable'!#REF!</f>
        <v>#REF!</v>
      </c>
      <c r="Q91" s="58" t="e">
        <f>+'Proyectos Base digitable'!#REF!</f>
        <v>#REF!</v>
      </c>
      <c r="R91" s="58" t="e">
        <f>+'Proyectos Base digitable'!#REF!</f>
        <v>#REF!</v>
      </c>
      <c r="S91" s="58" t="e">
        <f>+'Proyectos Base digitable'!#REF!</f>
        <v>#REF!</v>
      </c>
      <c r="T91" s="58" t="e">
        <f>+'Proyectos Base digitable'!#REF!</f>
        <v>#REF!</v>
      </c>
      <c r="U91" s="63" t="e">
        <f>'Proyectos Base digitable'!#REF!</f>
        <v>#REF!</v>
      </c>
      <c r="V91" s="63" t="e">
        <f>'Proyectos Base digitable'!#REF!</f>
        <v>#REF!</v>
      </c>
      <c r="W91" s="63" t="e">
        <f>'Proyectos Base digitable'!#REF!</f>
        <v>#REF!</v>
      </c>
      <c r="X91" s="63" t="e">
        <f>'Proyectos Base digitable'!#REF!</f>
        <v>#REF!</v>
      </c>
      <c r="Y91" s="63" t="e">
        <f>'Proyectos Base digitable'!#REF!</f>
        <v>#REF!</v>
      </c>
      <c r="Z91" s="58" t="e">
        <f>+'Proyectos Base digitable'!#REF!</f>
        <v>#REF!</v>
      </c>
      <c r="AA91" s="58" t="e">
        <f>+'Proyectos Base digitable'!#REF!</f>
        <v>#REF!</v>
      </c>
      <c r="AB91" s="63" t="e">
        <f>'Proyectos Base digitable'!#REF!</f>
        <v>#REF!</v>
      </c>
      <c r="AC91" s="56" t="e">
        <f>+'Proyectos Base digitable'!#REF!</f>
        <v>#REF!</v>
      </c>
      <c r="AD91" s="52" t="e">
        <f>+'Proyectos Base digitable'!#REF!</f>
        <v>#REF!</v>
      </c>
      <c r="AE91" s="52" t="e">
        <f>+'Proyectos Base digitable'!#REF!</f>
        <v>#REF!</v>
      </c>
      <c r="AF91" s="52" t="e">
        <f>+'Proyectos Base digitable'!#REF!</f>
        <v>#REF!</v>
      </c>
      <c r="AG91" s="56" t="e">
        <f>+'Proyectos Base digitable'!#REF!</f>
        <v>#REF!</v>
      </c>
      <c r="AH91" s="52" t="e">
        <f>+'Proyectos Base digitable'!#REF!</f>
        <v>#REF!</v>
      </c>
      <c r="AI91" s="52" t="e">
        <f>+'Proyectos Base digitable'!#REF!</f>
        <v>#REF!</v>
      </c>
      <c r="AJ91" s="59" t="e">
        <f>+'Proyectos Base digitable'!#REF!</f>
        <v>#REF!</v>
      </c>
      <c r="AK91" s="186" t="e">
        <f>+'Proyectos Base digitable'!#REF!</f>
        <v>#REF!</v>
      </c>
      <c r="AL91" s="186" t="e">
        <f>+'Proyectos Base digitable'!#REF!</f>
        <v>#REF!</v>
      </c>
      <c r="AM91" s="186" t="e">
        <f>+'Proyectos Base digitable'!#REF!</f>
        <v>#REF!</v>
      </c>
      <c r="AN91" s="186" t="e">
        <f>+'Proyectos Base digitable'!#REF!</f>
        <v>#REF!</v>
      </c>
      <c r="AO91" s="186" t="e">
        <f>+'Proyectos Base digitable'!#REF!</f>
        <v>#REF!</v>
      </c>
      <c r="AP91" s="186" t="e">
        <f>+'Proyectos Base digitable'!#REF!</f>
        <v>#REF!</v>
      </c>
      <c r="AQ91" s="186" t="e">
        <f>+'Proyectos Base digitable'!#REF!</f>
        <v>#REF!</v>
      </c>
      <c r="AR91" s="186" t="e">
        <f>+'Proyectos Base digitable'!#REF!</f>
        <v>#REF!</v>
      </c>
      <c r="AS91" s="186" t="e">
        <f>+'Proyectos Base digitable'!#REF!</f>
        <v>#REF!</v>
      </c>
      <c r="AT91" s="187" t="e">
        <f>+'Proyectos Base digitable'!#REF!</f>
        <v>#REF!</v>
      </c>
      <c r="AU91" s="56" t="e">
        <f>+'Proyectos Base digitable'!#REF!</f>
        <v>#REF!</v>
      </c>
      <c r="AV91" s="56" t="e">
        <f>+'Proyectos Base digitable'!#REF!</f>
        <v>#REF!</v>
      </c>
      <c r="AW91" s="56" t="e">
        <f>+'Proyectos Base digitable'!#REF!</f>
        <v>#REF!</v>
      </c>
      <c r="AX91" s="56" t="e">
        <f>+'Proyectos Base digitable'!#REF!</f>
        <v>#REF!</v>
      </c>
      <c r="AY91" s="56" t="e">
        <f>+'Proyectos Base digitable'!#REF!</f>
        <v>#REF!</v>
      </c>
      <c r="AZ91" s="188" t="e">
        <f>+'Proyectos Base digitable'!#REF!</f>
        <v>#REF!</v>
      </c>
      <c r="BA91" s="188" t="e">
        <f>+'Proyectos Base digitable'!#REF!</f>
        <v>#REF!</v>
      </c>
    </row>
    <row r="92" spans="1:53" ht="12.5">
      <c r="A92" s="60" t="e">
        <f>+'Proyectos Base digitable'!#REF!</f>
        <v>#REF!</v>
      </c>
      <c r="B92" s="56" t="e">
        <f>+'Proyectos Base digitable'!#REF!</f>
        <v>#REF!</v>
      </c>
      <c r="C92" s="56" t="e">
        <f>+'Proyectos Base digitable'!#REF!</f>
        <v>#REF!</v>
      </c>
      <c r="D92" s="56" t="e">
        <f>+'Proyectos Base digitable'!#REF!</f>
        <v>#REF!</v>
      </c>
      <c r="E92" s="56" t="e">
        <f>+'Proyectos Base digitable'!#REF!</f>
        <v>#REF!</v>
      </c>
      <c r="F92" s="56" t="e">
        <f>+'Proyectos Base digitable'!#REF!</f>
        <v>#REF!</v>
      </c>
      <c r="G92" s="57" t="e">
        <f>+'Proyectos Base digitable'!#REF!</f>
        <v>#REF!</v>
      </c>
      <c r="H92" s="56" t="e">
        <f>+'Proyectos Base digitable'!#REF!</f>
        <v>#REF!</v>
      </c>
      <c r="I92" s="56" t="e">
        <f>+'Proyectos Base digitable'!#REF!</f>
        <v>#REF!</v>
      </c>
      <c r="J92" s="56" t="e">
        <f>+'Proyectos Base digitable'!#REF!</f>
        <v>#REF!</v>
      </c>
      <c r="K92" s="56" t="e">
        <f>+'Proyectos Base digitable'!#REF!</f>
        <v>#REF!</v>
      </c>
      <c r="L92" s="56" t="e">
        <f>+'Proyectos Base digitable'!#REF!</f>
        <v>#REF!</v>
      </c>
      <c r="M92" s="56" t="e">
        <f>+'Proyectos Base digitable'!#REF!</f>
        <v>#REF!</v>
      </c>
      <c r="N92" s="52" t="e">
        <f>+'Proyectos Base digitable'!#REF!</f>
        <v>#REF!</v>
      </c>
      <c r="O92" s="52" t="e">
        <f>+'Proyectos Base digitable'!#REF!</f>
        <v>#REF!</v>
      </c>
      <c r="P92" s="185" t="e">
        <f>+'Proyectos Base digitable'!#REF!</f>
        <v>#REF!</v>
      </c>
      <c r="Q92" s="58" t="e">
        <f>+'Proyectos Base digitable'!#REF!</f>
        <v>#REF!</v>
      </c>
      <c r="R92" s="58" t="e">
        <f>+'Proyectos Base digitable'!#REF!</f>
        <v>#REF!</v>
      </c>
      <c r="S92" s="58" t="e">
        <f>+'Proyectos Base digitable'!#REF!</f>
        <v>#REF!</v>
      </c>
      <c r="T92" s="58" t="e">
        <f>+'Proyectos Base digitable'!#REF!</f>
        <v>#REF!</v>
      </c>
      <c r="U92" s="63" t="e">
        <f>'Proyectos Base digitable'!#REF!</f>
        <v>#REF!</v>
      </c>
      <c r="V92" s="63" t="e">
        <f>'Proyectos Base digitable'!#REF!</f>
        <v>#REF!</v>
      </c>
      <c r="W92" s="63" t="e">
        <f>'Proyectos Base digitable'!#REF!</f>
        <v>#REF!</v>
      </c>
      <c r="X92" s="63" t="e">
        <f>'Proyectos Base digitable'!#REF!</f>
        <v>#REF!</v>
      </c>
      <c r="Y92" s="63" t="e">
        <f>'Proyectos Base digitable'!#REF!</f>
        <v>#REF!</v>
      </c>
      <c r="Z92" s="58" t="e">
        <f>+'Proyectos Base digitable'!#REF!</f>
        <v>#REF!</v>
      </c>
      <c r="AA92" s="58" t="e">
        <f>+'Proyectos Base digitable'!#REF!</f>
        <v>#REF!</v>
      </c>
      <c r="AB92" s="63" t="e">
        <f>'Proyectos Base digitable'!#REF!</f>
        <v>#REF!</v>
      </c>
      <c r="AC92" s="56" t="e">
        <f>+'Proyectos Base digitable'!#REF!</f>
        <v>#REF!</v>
      </c>
      <c r="AD92" s="52" t="e">
        <f>+'Proyectos Base digitable'!#REF!</f>
        <v>#REF!</v>
      </c>
      <c r="AE92" s="52" t="e">
        <f>+'Proyectos Base digitable'!#REF!</f>
        <v>#REF!</v>
      </c>
      <c r="AF92" s="52" t="e">
        <f>+'Proyectos Base digitable'!#REF!</f>
        <v>#REF!</v>
      </c>
      <c r="AG92" s="56" t="e">
        <f>+'Proyectos Base digitable'!#REF!</f>
        <v>#REF!</v>
      </c>
      <c r="AH92" s="52" t="e">
        <f>+'Proyectos Base digitable'!#REF!</f>
        <v>#REF!</v>
      </c>
      <c r="AI92" s="52" t="e">
        <f>+'Proyectos Base digitable'!#REF!</f>
        <v>#REF!</v>
      </c>
      <c r="AJ92" s="59" t="e">
        <f>+'Proyectos Base digitable'!#REF!</f>
        <v>#REF!</v>
      </c>
      <c r="AK92" s="186" t="e">
        <f>+'Proyectos Base digitable'!#REF!</f>
        <v>#REF!</v>
      </c>
      <c r="AL92" s="186" t="e">
        <f>+'Proyectos Base digitable'!#REF!</f>
        <v>#REF!</v>
      </c>
      <c r="AM92" s="186" t="e">
        <f>+'Proyectos Base digitable'!#REF!</f>
        <v>#REF!</v>
      </c>
      <c r="AN92" s="186" t="e">
        <f>+'Proyectos Base digitable'!#REF!</f>
        <v>#REF!</v>
      </c>
      <c r="AO92" s="186" t="e">
        <f>+'Proyectos Base digitable'!#REF!</f>
        <v>#REF!</v>
      </c>
      <c r="AP92" s="186" t="e">
        <f>+'Proyectos Base digitable'!#REF!</f>
        <v>#REF!</v>
      </c>
      <c r="AQ92" s="186" t="e">
        <f>+'Proyectos Base digitable'!#REF!</f>
        <v>#REF!</v>
      </c>
      <c r="AR92" s="186" t="e">
        <f>+'Proyectos Base digitable'!#REF!</f>
        <v>#REF!</v>
      </c>
      <c r="AS92" s="186" t="e">
        <f>+'Proyectos Base digitable'!#REF!</f>
        <v>#REF!</v>
      </c>
      <c r="AT92" s="187" t="e">
        <f>+'Proyectos Base digitable'!#REF!</f>
        <v>#REF!</v>
      </c>
      <c r="AU92" s="56" t="e">
        <f>+'Proyectos Base digitable'!#REF!</f>
        <v>#REF!</v>
      </c>
      <c r="AV92" s="56" t="e">
        <f>+'Proyectos Base digitable'!#REF!</f>
        <v>#REF!</v>
      </c>
      <c r="AW92" s="56" t="e">
        <f>+'Proyectos Base digitable'!#REF!</f>
        <v>#REF!</v>
      </c>
      <c r="AX92" s="56" t="e">
        <f>+'Proyectos Base digitable'!#REF!</f>
        <v>#REF!</v>
      </c>
      <c r="AY92" s="56" t="e">
        <f>+'Proyectos Base digitable'!#REF!</f>
        <v>#REF!</v>
      </c>
      <c r="AZ92" s="188" t="e">
        <f>+'Proyectos Base digitable'!#REF!</f>
        <v>#REF!</v>
      </c>
      <c r="BA92" s="188" t="e">
        <f>+'Proyectos Base digitable'!#REF!</f>
        <v>#REF!</v>
      </c>
    </row>
    <row r="93" spans="1:53" ht="12.5">
      <c r="A93" s="60" t="e">
        <f>+'Proyectos Base digitable'!#REF!</f>
        <v>#REF!</v>
      </c>
      <c r="B93" s="56" t="e">
        <f>+'Proyectos Base digitable'!#REF!</f>
        <v>#REF!</v>
      </c>
      <c r="C93" s="56" t="e">
        <f>+'Proyectos Base digitable'!#REF!</f>
        <v>#REF!</v>
      </c>
      <c r="D93" s="56" t="e">
        <f>+'Proyectos Base digitable'!#REF!</f>
        <v>#REF!</v>
      </c>
      <c r="E93" s="56" t="e">
        <f>+'Proyectos Base digitable'!#REF!</f>
        <v>#REF!</v>
      </c>
      <c r="F93" s="56" t="e">
        <f>+'Proyectos Base digitable'!#REF!</f>
        <v>#REF!</v>
      </c>
      <c r="G93" s="57" t="e">
        <f>+'Proyectos Base digitable'!#REF!</f>
        <v>#REF!</v>
      </c>
      <c r="H93" s="56" t="e">
        <f>+'Proyectos Base digitable'!#REF!</f>
        <v>#REF!</v>
      </c>
      <c r="I93" s="56" t="e">
        <f>+'Proyectos Base digitable'!#REF!</f>
        <v>#REF!</v>
      </c>
      <c r="J93" s="56" t="e">
        <f>+'Proyectos Base digitable'!#REF!</f>
        <v>#REF!</v>
      </c>
      <c r="K93" s="56" t="e">
        <f>+'Proyectos Base digitable'!#REF!</f>
        <v>#REF!</v>
      </c>
      <c r="L93" s="56" t="e">
        <f>+'Proyectos Base digitable'!#REF!</f>
        <v>#REF!</v>
      </c>
      <c r="M93" s="56" t="e">
        <f>+'Proyectos Base digitable'!#REF!</f>
        <v>#REF!</v>
      </c>
      <c r="N93" s="52" t="e">
        <f>+'Proyectos Base digitable'!#REF!</f>
        <v>#REF!</v>
      </c>
      <c r="O93" s="52" t="e">
        <f>+'Proyectos Base digitable'!#REF!</f>
        <v>#REF!</v>
      </c>
      <c r="P93" s="185" t="e">
        <f>+'Proyectos Base digitable'!#REF!</f>
        <v>#REF!</v>
      </c>
      <c r="Q93" s="58" t="e">
        <f>+'Proyectos Base digitable'!#REF!</f>
        <v>#REF!</v>
      </c>
      <c r="R93" s="58" t="e">
        <f>+'Proyectos Base digitable'!#REF!</f>
        <v>#REF!</v>
      </c>
      <c r="S93" s="58" t="e">
        <f>+'Proyectos Base digitable'!#REF!</f>
        <v>#REF!</v>
      </c>
      <c r="T93" s="58" t="e">
        <f>+'Proyectos Base digitable'!#REF!</f>
        <v>#REF!</v>
      </c>
      <c r="U93" s="63" t="e">
        <f>'Proyectos Base digitable'!#REF!</f>
        <v>#REF!</v>
      </c>
      <c r="V93" s="63" t="e">
        <f>'Proyectos Base digitable'!#REF!</f>
        <v>#REF!</v>
      </c>
      <c r="W93" s="63" t="e">
        <f>'Proyectos Base digitable'!#REF!</f>
        <v>#REF!</v>
      </c>
      <c r="X93" s="63" t="e">
        <f>'Proyectos Base digitable'!#REF!</f>
        <v>#REF!</v>
      </c>
      <c r="Y93" s="63" t="e">
        <f>'Proyectos Base digitable'!#REF!</f>
        <v>#REF!</v>
      </c>
      <c r="Z93" s="58" t="e">
        <f>+'Proyectos Base digitable'!#REF!</f>
        <v>#REF!</v>
      </c>
      <c r="AA93" s="58" t="e">
        <f>+'Proyectos Base digitable'!#REF!</f>
        <v>#REF!</v>
      </c>
      <c r="AB93" s="63" t="e">
        <f>'Proyectos Base digitable'!#REF!</f>
        <v>#REF!</v>
      </c>
      <c r="AC93" s="56" t="e">
        <f>+'Proyectos Base digitable'!#REF!</f>
        <v>#REF!</v>
      </c>
      <c r="AD93" s="52" t="e">
        <f>+'Proyectos Base digitable'!#REF!</f>
        <v>#REF!</v>
      </c>
      <c r="AE93" s="52" t="e">
        <f>+'Proyectos Base digitable'!#REF!</f>
        <v>#REF!</v>
      </c>
      <c r="AF93" s="52" t="e">
        <f>+'Proyectos Base digitable'!#REF!</f>
        <v>#REF!</v>
      </c>
      <c r="AG93" s="56" t="e">
        <f>+'Proyectos Base digitable'!#REF!</f>
        <v>#REF!</v>
      </c>
      <c r="AH93" s="52" t="e">
        <f>+'Proyectos Base digitable'!#REF!</f>
        <v>#REF!</v>
      </c>
      <c r="AI93" s="52" t="e">
        <f>+'Proyectos Base digitable'!#REF!</f>
        <v>#REF!</v>
      </c>
      <c r="AJ93" s="59" t="e">
        <f>+'Proyectos Base digitable'!#REF!</f>
        <v>#REF!</v>
      </c>
      <c r="AK93" s="186" t="e">
        <f>+'Proyectos Base digitable'!#REF!</f>
        <v>#REF!</v>
      </c>
      <c r="AL93" s="186" t="e">
        <f>+'Proyectos Base digitable'!#REF!</f>
        <v>#REF!</v>
      </c>
      <c r="AM93" s="186" t="e">
        <f>+'Proyectos Base digitable'!#REF!</f>
        <v>#REF!</v>
      </c>
      <c r="AN93" s="186" t="e">
        <f>+'Proyectos Base digitable'!#REF!</f>
        <v>#REF!</v>
      </c>
      <c r="AO93" s="186" t="e">
        <f>+'Proyectos Base digitable'!#REF!</f>
        <v>#REF!</v>
      </c>
      <c r="AP93" s="186" t="e">
        <f>+'Proyectos Base digitable'!#REF!</f>
        <v>#REF!</v>
      </c>
      <c r="AQ93" s="186" t="e">
        <f>+'Proyectos Base digitable'!#REF!</f>
        <v>#REF!</v>
      </c>
      <c r="AR93" s="186" t="e">
        <f>+'Proyectos Base digitable'!#REF!</f>
        <v>#REF!</v>
      </c>
      <c r="AS93" s="186" t="e">
        <f>+'Proyectos Base digitable'!#REF!</f>
        <v>#REF!</v>
      </c>
      <c r="AT93" s="187" t="e">
        <f>+'Proyectos Base digitable'!#REF!</f>
        <v>#REF!</v>
      </c>
      <c r="AU93" s="56" t="e">
        <f>+'Proyectos Base digitable'!#REF!</f>
        <v>#REF!</v>
      </c>
      <c r="AV93" s="56" t="e">
        <f>+'Proyectos Base digitable'!#REF!</f>
        <v>#REF!</v>
      </c>
      <c r="AW93" s="56" t="e">
        <f>+'Proyectos Base digitable'!#REF!</f>
        <v>#REF!</v>
      </c>
      <c r="AX93" s="56" t="e">
        <f>+'Proyectos Base digitable'!#REF!</f>
        <v>#REF!</v>
      </c>
      <c r="AY93" s="56" t="e">
        <f>+'Proyectos Base digitable'!#REF!</f>
        <v>#REF!</v>
      </c>
      <c r="AZ93" s="188" t="e">
        <f>+'Proyectos Base digitable'!#REF!</f>
        <v>#REF!</v>
      </c>
      <c r="BA93" s="188" t="e">
        <f>+'Proyectos Base digitable'!#REF!</f>
        <v>#REF!</v>
      </c>
    </row>
    <row r="94" spans="1:53" ht="12.5">
      <c r="A94" s="60" t="e">
        <f>+'Proyectos Base digitable'!#REF!</f>
        <v>#REF!</v>
      </c>
      <c r="B94" s="56" t="e">
        <f>+'Proyectos Base digitable'!#REF!</f>
        <v>#REF!</v>
      </c>
      <c r="C94" s="56" t="e">
        <f>+'Proyectos Base digitable'!#REF!</f>
        <v>#REF!</v>
      </c>
      <c r="D94" s="56" t="e">
        <f>+'Proyectos Base digitable'!#REF!</f>
        <v>#REF!</v>
      </c>
      <c r="E94" s="56" t="e">
        <f>+'Proyectos Base digitable'!#REF!</f>
        <v>#REF!</v>
      </c>
      <c r="F94" s="56" t="e">
        <f>+'Proyectos Base digitable'!#REF!</f>
        <v>#REF!</v>
      </c>
      <c r="G94" s="57" t="e">
        <f>+'Proyectos Base digitable'!#REF!</f>
        <v>#REF!</v>
      </c>
      <c r="H94" s="56" t="e">
        <f>+'Proyectos Base digitable'!#REF!</f>
        <v>#REF!</v>
      </c>
      <c r="I94" s="56" t="e">
        <f>+'Proyectos Base digitable'!#REF!</f>
        <v>#REF!</v>
      </c>
      <c r="J94" s="56" t="e">
        <f>+'Proyectos Base digitable'!#REF!</f>
        <v>#REF!</v>
      </c>
      <c r="K94" s="56" t="e">
        <f>+'Proyectos Base digitable'!#REF!</f>
        <v>#REF!</v>
      </c>
      <c r="L94" s="56" t="e">
        <f>+'Proyectos Base digitable'!#REF!</f>
        <v>#REF!</v>
      </c>
      <c r="M94" s="56" t="e">
        <f>+'Proyectos Base digitable'!#REF!</f>
        <v>#REF!</v>
      </c>
      <c r="N94" s="52" t="e">
        <f>+'Proyectos Base digitable'!#REF!</f>
        <v>#REF!</v>
      </c>
      <c r="O94" s="52" t="e">
        <f>+'Proyectos Base digitable'!#REF!</f>
        <v>#REF!</v>
      </c>
      <c r="P94" s="185" t="e">
        <f>+'Proyectos Base digitable'!#REF!</f>
        <v>#REF!</v>
      </c>
      <c r="Q94" s="58" t="e">
        <f>+'Proyectos Base digitable'!#REF!</f>
        <v>#REF!</v>
      </c>
      <c r="R94" s="58" t="e">
        <f>+'Proyectos Base digitable'!#REF!</f>
        <v>#REF!</v>
      </c>
      <c r="S94" s="58" t="e">
        <f>+'Proyectos Base digitable'!#REF!</f>
        <v>#REF!</v>
      </c>
      <c r="T94" s="58" t="e">
        <f>+'Proyectos Base digitable'!#REF!</f>
        <v>#REF!</v>
      </c>
      <c r="U94" s="63" t="e">
        <f>'Proyectos Base digitable'!#REF!</f>
        <v>#REF!</v>
      </c>
      <c r="V94" s="63" t="e">
        <f>'Proyectos Base digitable'!#REF!</f>
        <v>#REF!</v>
      </c>
      <c r="W94" s="63" t="e">
        <f>'Proyectos Base digitable'!#REF!</f>
        <v>#REF!</v>
      </c>
      <c r="X94" s="63" t="e">
        <f>'Proyectos Base digitable'!#REF!</f>
        <v>#REF!</v>
      </c>
      <c r="Y94" s="63" t="e">
        <f>'Proyectos Base digitable'!#REF!</f>
        <v>#REF!</v>
      </c>
      <c r="Z94" s="58" t="e">
        <f>+'Proyectos Base digitable'!#REF!</f>
        <v>#REF!</v>
      </c>
      <c r="AA94" s="58" t="e">
        <f>+'Proyectos Base digitable'!#REF!</f>
        <v>#REF!</v>
      </c>
      <c r="AB94" s="63" t="e">
        <f>'Proyectos Base digitable'!#REF!</f>
        <v>#REF!</v>
      </c>
      <c r="AC94" s="56" t="e">
        <f>+'Proyectos Base digitable'!#REF!</f>
        <v>#REF!</v>
      </c>
      <c r="AD94" s="52" t="e">
        <f>+'Proyectos Base digitable'!#REF!</f>
        <v>#REF!</v>
      </c>
      <c r="AE94" s="52" t="e">
        <f>+'Proyectos Base digitable'!#REF!</f>
        <v>#REF!</v>
      </c>
      <c r="AF94" s="52" t="e">
        <f>+'Proyectos Base digitable'!#REF!</f>
        <v>#REF!</v>
      </c>
      <c r="AG94" s="56" t="e">
        <f>+'Proyectos Base digitable'!#REF!</f>
        <v>#REF!</v>
      </c>
      <c r="AH94" s="52" t="e">
        <f>+'Proyectos Base digitable'!#REF!</f>
        <v>#REF!</v>
      </c>
      <c r="AI94" s="52" t="e">
        <f>+'Proyectos Base digitable'!#REF!</f>
        <v>#REF!</v>
      </c>
      <c r="AJ94" s="59" t="e">
        <f>+'Proyectos Base digitable'!#REF!</f>
        <v>#REF!</v>
      </c>
      <c r="AK94" s="186" t="e">
        <f>+'Proyectos Base digitable'!#REF!</f>
        <v>#REF!</v>
      </c>
      <c r="AL94" s="186" t="e">
        <f>+'Proyectos Base digitable'!#REF!</f>
        <v>#REF!</v>
      </c>
      <c r="AM94" s="186" t="e">
        <f>+'Proyectos Base digitable'!#REF!</f>
        <v>#REF!</v>
      </c>
      <c r="AN94" s="186" t="e">
        <f>+'Proyectos Base digitable'!#REF!</f>
        <v>#REF!</v>
      </c>
      <c r="AO94" s="186" t="e">
        <f>+'Proyectos Base digitable'!#REF!</f>
        <v>#REF!</v>
      </c>
      <c r="AP94" s="186" t="e">
        <f>+'Proyectos Base digitable'!#REF!</f>
        <v>#REF!</v>
      </c>
      <c r="AQ94" s="186" t="e">
        <f>+'Proyectos Base digitable'!#REF!</f>
        <v>#REF!</v>
      </c>
      <c r="AR94" s="186" t="e">
        <f>+'Proyectos Base digitable'!#REF!</f>
        <v>#REF!</v>
      </c>
      <c r="AS94" s="186" t="e">
        <f>+'Proyectos Base digitable'!#REF!</f>
        <v>#REF!</v>
      </c>
      <c r="AT94" s="187" t="e">
        <f>+'Proyectos Base digitable'!#REF!</f>
        <v>#REF!</v>
      </c>
      <c r="AU94" s="56" t="e">
        <f>+'Proyectos Base digitable'!#REF!</f>
        <v>#REF!</v>
      </c>
      <c r="AV94" s="56" t="e">
        <f>+'Proyectos Base digitable'!#REF!</f>
        <v>#REF!</v>
      </c>
      <c r="AW94" s="56" t="e">
        <f>+'Proyectos Base digitable'!#REF!</f>
        <v>#REF!</v>
      </c>
      <c r="AX94" s="56" t="e">
        <f>+'Proyectos Base digitable'!#REF!</f>
        <v>#REF!</v>
      </c>
      <c r="AY94" s="56" t="e">
        <f>+'Proyectos Base digitable'!#REF!</f>
        <v>#REF!</v>
      </c>
      <c r="AZ94" s="188" t="e">
        <f>+'Proyectos Base digitable'!#REF!</f>
        <v>#REF!</v>
      </c>
      <c r="BA94" s="188" t="e">
        <f>+'Proyectos Base digitable'!#REF!</f>
        <v>#REF!</v>
      </c>
    </row>
    <row r="95" spans="1:53" ht="12.5">
      <c r="A95" s="60" t="e">
        <f>+'Proyectos Base digitable'!#REF!</f>
        <v>#REF!</v>
      </c>
      <c r="B95" s="56" t="e">
        <f>+'Proyectos Base digitable'!#REF!</f>
        <v>#REF!</v>
      </c>
      <c r="C95" s="56" t="e">
        <f>+'Proyectos Base digitable'!#REF!</f>
        <v>#REF!</v>
      </c>
      <c r="D95" s="56" t="e">
        <f>+'Proyectos Base digitable'!#REF!</f>
        <v>#REF!</v>
      </c>
      <c r="E95" s="56" t="e">
        <f>+'Proyectos Base digitable'!#REF!</f>
        <v>#REF!</v>
      </c>
      <c r="F95" s="56" t="e">
        <f>+'Proyectos Base digitable'!#REF!</f>
        <v>#REF!</v>
      </c>
      <c r="G95" s="57" t="e">
        <f>+'Proyectos Base digitable'!#REF!</f>
        <v>#REF!</v>
      </c>
      <c r="H95" s="56" t="e">
        <f>+'Proyectos Base digitable'!#REF!</f>
        <v>#REF!</v>
      </c>
      <c r="I95" s="56" t="e">
        <f>+'Proyectos Base digitable'!#REF!</f>
        <v>#REF!</v>
      </c>
      <c r="J95" s="56" t="e">
        <f>+'Proyectos Base digitable'!#REF!</f>
        <v>#REF!</v>
      </c>
      <c r="K95" s="56" t="e">
        <f>+'Proyectos Base digitable'!#REF!</f>
        <v>#REF!</v>
      </c>
      <c r="L95" s="56" t="e">
        <f>+'Proyectos Base digitable'!#REF!</f>
        <v>#REF!</v>
      </c>
      <c r="M95" s="56" t="e">
        <f>+'Proyectos Base digitable'!#REF!</f>
        <v>#REF!</v>
      </c>
      <c r="N95" s="52" t="e">
        <f>+'Proyectos Base digitable'!#REF!</f>
        <v>#REF!</v>
      </c>
      <c r="O95" s="52" t="e">
        <f>+'Proyectos Base digitable'!#REF!</f>
        <v>#REF!</v>
      </c>
      <c r="P95" s="185" t="e">
        <f>+'Proyectos Base digitable'!#REF!</f>
        <v>#REF!</v>
      </c>
      <c r="Q95" s="58" t="e">
        <f>+'Proyectos Base digitable'!#REF!</f>
        <v>#REF!</v>
      </c>
      <c r="R95" s="58" t="e">
        <f>+'Proyectos Base digitable'!#REF!</f>
        <v>#REF!</v>
      </c>
      <c r="S95" s="58" t="e">
        <f>+'Proyectos Base digitable'!#REF!</f>
        <v>#REF!</v>
      </c>
      <c r="T95" s="58" t="e">
        <f>+'Proyectos Base digitable'!#REF!</f>
        <v>#REF!</v>
      </c>
      <c r="U95" s="63" t="e">
        <f>'Proyectos Base digitable'!#REF!</f>
        <v>#REF!</v>
      </c>
      <c r="V95" s="63" t="e">
        <f>'Proyectos Base digitable'!#REF!</f>
        <v>#REF!</v>
      </c>
      <c r="W95" s="63" t="e">
        <f>'Proyectos Base digitable'!#REF!</f>
        <v>#REF!</v>
      </c>
      <c r="X95" s="63" t="e">
        <f>'Proyectos Base digitable'!#REF!</f>
        <v>#REF!</v>
      </c>
      <c r="Y95" s="63" t="e">
        <f>'Proyectos Base digitable'!#REF!</f>
        <v>#REF!</v>
      </c>
      <c r="Z95" s="58" t="e">
        <f>+'Proyectos Base digitable'!#REF!</f>
        <v>#REF!</v>
      </c>
      <c r="AA95" s="58" t="e">
        <f>+'Proyectos Base digitable'!#REF!</f>
        <v>#REF!</v>
      </c>
      <c r="AB95" s="63" t="e">
        <f>'Proyectos Base digitable'!#REF!</f>
        <v>#REF!</v>
      </c>
      <c r="AC95" s="56" t="e">
        <f>+'Proyectos Base digitable'!#REF!</f>
        <v>#REF!</v>
      </c>
      <c r="AD95" s="52" t="e">
        <f>+'Proyectos Base digitable'!#REF!</f>
        <v>#REF!</v>
      </c>
      <c r="AE95" s="52" t="e">
        <f>+'Proyectos Base digitable'!#REF!</f>
        <v>#REF!</v>
      </c>
      <c r="AF95" s="52" t="e">
        <f>+'Proyectos Base digitable'!#REF!</f>
        <v>#REF!</v>
      </c>
      <c r="AG95" s="56" t="e">
        <f>+'Proyectos Base digitable'!#REF!</f>
        <v>#REF!</v>
      </c>
      <c r="AH95" s="52" t="e">
        <f>+'Proyectos Base digitable'!#REF!</f>
        <v>#REF!</v>
      </c>
      <c r="AI95" s="52" t="e">
        <f>+'Proyectos Base digitable'!#REF!</f>
        <v>#REF!</v>
      </c>
      <c r="AJ95" s="59" t="e">
        <f>+'Proyectos Base digitable'!#REF!</f>
        <v>#REF!</v>
      </c>
      <c r="AK95" s="186" t="e">
        <f>+'Proyectos Base digitable'!#REF!</f>
        <v>#REF!</v>
      </c>
      <c r="AL95" s="186" t="e">
        <f>+'Proyectos Base digitable'!#REF!</f>
        <v>#REF!</v>
      </c>
      <c r="AM95" s="186" t="e">
        <f>+'Proyectos Base digitable'!#REF!</f>
        <v>#REF!</v>
      </c>
      <c r="AN95" s="186" t="e">
        <f>+'Proyectos Base digitable'!#REF!</f>
        <v>#REF!</v>
      </c>
      <c r="AO95" s="186" t="e">
        <f>+'Proyectos Base digitable'!#REF!</f>
        <v>#REF!</v>
      </c>
      <c r="AP95" s="186" t="e">
        <f>+'Proyectos Base digitable'!#REF!</f>
        <v>#REF!</v>
      </c>
      <c r="AQ95" s="186" t="e">
        <f>+'Proyectos Base digitable'!#REF!</f>
        <v>#REF!</v>
      </c>
      <c r="AR95" s="186" t="e">
        <f>+'Proyectos Base digitable'!#REF!</f>
        <v>#REF!</v>
      </c>
      <c r="AS95" s="186" t="e">
        <f>+'Proyectos Base digitable'!#REF!</f>
        <v>#REF!</v>
      </c>
      <c r="AT95" s="187" t="e">
        <f>+'Proyectos Base digitable'!#REF!</f>
        <v>#REF!</v>
      </c>
      <c r="AU95" s="56" t="e">
        <f>+'Proyectos Base digitable'!#REF!</f>
        <v>#REF!</v>
      </c>
      <c r="AV95" s="56" t="e">
        <f>+'Proyectos Base digitable'!#REF!</f>
        <v>#REF!</v>
      </c>
      <c r="AW95" s="56" t="e">
        <f>+'Proyectos Base digitable'!#REF!</f>
        <v>#REF!</v>
      </c>
      <c r="AX95" s="56" t="e">
        <f>+'Proyectos Base digitable'!#REF!</f>
        <v>#REF!</v>
      </c>
      <c r="AY95" s="56" t="e">
        <f>+'Proyectos Base digitable'!#REF!</f>
        <v>#REF!</v>
      </c>
      <c r="AZ95" s="188" t="e">
        <f>+'Proyectos Base digitable'!#REF!</f>
        <v>#REF!</v>
      </c>
      <c r="BA95" s="188" t="e">
        <f>+'Proyectos Base digitable'!#REF!</f>
        <v>#REF!</v>
      </c>
    </row>
    <row r="96" spans="1:53" ht="12.5">
      <c r="A96" s="60" t="e">
        <f>+'Proyectos Base digitable'!#REF!</f>
        <v>#REF!</v>
      </c>
      <c r="B96" s="56" t="e">
        <f>+'Proyectos Base digitable'!#REF!</f>
        <v>#REF!</v>
      </c>
      <c r="C96" s="56" t="e">
        <f>+'Proyectos Base digitable'!#REF!</f>
        <v>#REF!</v>
      </c>
      <c r="D96" s="56" t="e">
        <f>+'Proyectos Base digitable'!#REF!</f>
        <v>#REF!</v>
      </c>
      <c r="E96" s="56" t="e">
        <f>+'Proyectos Base digitable'!#REF!</f>
        <v>#REF!</v>
      </c>
      <c r="F96" s="56" t="e">
        <f>+'Proyectos Base digitable'!#REF!</f>
        <v>#REF!</v>
      </c>
      <c r="G96" s="57" t="e">
        <f>+'Proyectos Base digitable'!#REF!</f>
        <v>#REF!</v>
      </c>
      <c r="H96" s="56" t="e">
        <f>+'Proyectos Base digitable'!#REF!</f>
        <v>#REF!</v>
      </c>
      <c r="I96" s="56" t="e">
        <f>+'Proyectos Base digitable'!#REF!</f>
        <v>#REF!</v>
      </c>
      <c r="J96" s="56" t="e">
        <f>+'Proyectos Base digitable'!#REF!</f>
        <v>#REF!</v>
      </c>
      <c r="K96" s="56" t="e">
        <f>+'Proyectos Base digitable'!#REF!</f>
        <v>#REF!</v>
      </c>
      <c r="L96" s="56" t="e">
        <f>+'Proyectos Base digitable'!#REF!</f>
        <v>#REF!</v>
      </c>
      <c r="M96" s="56" t="e">
        <f>+'Proyectos Base digitable'!#REF!</f>
        <v>#REF!</v>
      </c>
      <c r="N96" s="52" t="e">
        <f>+'Proyectos Base digitable'!#REF!</f>
        <v>#REF!</v>
      </c>
      <c r="O96" s="52" t="e">
        <f>+'Proyectos Base digitable'!#REF!</f>
        <v>#REF!</v>
      </c>
      <c r="P96" s="185" t="e">
        <f>+'Proyectos Base digitable'!#REF!</f>
        <v>#REF!</v>
      </c>
      <c r="Q96" s="58" t="e">
        <f>+'Proyectos Base digitable'!#REF!</f>
        <v>#REF!</v>
      </c>
      <c r="R96" s="58" t="e">
        <f>+'Proyectos Base digitable'!#REF!</f>
        <v>#REF!</v>
      </c>
      <c r="S96" s="58" t="e">
        <f>+'Proyectos Base digitable'!#REF!</f>
        <v>#REF!</v>
      </c>
      <c r="T96" s="58" t="e">
        <f>+'Proyectos Base digitable'!#REF!</f>
        <v>#REF!</v>
      </c>
      <c r="U96" s="63" t="e">
        <f>'Proyectos Base digitable'!#REF!</f>
        <v>#REF!</v>
      </c>
      <c r="V96" s="63" t="e">
        <f>'Proyectos Base digitable'!#REF!</f>
        <v>#REF!</v>
      </c>
      <c r="W96" s="63" t="e">
        <f>'Proyectos Base digitable'!#REF!</f>
        <v>#REF!</v>
      </c>
      <c r="X96" s="63" t="e">
        <f>'Proyectos Base digitable'!#REF!</f>
        <v>#REF!</v>
      </c>
      <c r="Y96" s="63" t="e">
        <f>'Proyectos Base digitable'!#REF!</f>
        <v>#REF!</v>
      </c>
      <c r="Z96" s="58" t="e">
        <f>+'Proyectos Base digitable'!#REF!</f>
        <v>#REF!</v>
      </c>
      <c r="AA96" s="58" t="e">
        <f>+'Proyectos Base digitable'!#REF!</f>
        <v>#REF!</v>
      </c>
      <c r="AB96" s="63" t="e">
        <f>'Proyectos Base digitable'!#REF!</f>
        <v>#REF!</v>
      </c>
      <c r="AC96" s="56" t="e">
        <f>+'Proyectos Base digitable'!#REF!</f>
        <v>#REF!</v>
      </c>
      <c r="AD96" s="52" t="e">
        <f>+'Proyectos Base digitable'!#REF!</f>
        <v>#REF!</v>
      </c>
      <c r="AE96" s="52" t="e">
        <f>+'Proyectos Base digitable'!#REF!</f>
        <v>#REF!</v>
      </c>
      <c r="AF96" s="52" t="e">
        <f>+'Proyectos Base digitable'!#REF!</f>
        <v>#REF!</v>
      </c>
      <c r="AG96" s="56" t="e">
        <f>+'Proyectos Base digitable'!#REF!</f>
        <v>#REF!</v>
      </c>
      <c r="AH96" s="52" t="e">
        <f>+'Proyectos Base digitable'!#REF!</f>
        <v>#REF!</v>
      </c>
      <c r="AI96" s="52" t="e">
        <f>+'Proyectos Base digitable'!#REF!</f>
        <v>#REF!</v>
      </c>
      <c r="AJ96" s="59" t="e">
        <f>+'Proyectos Base digitable'!#REF!</f>
        <v>#REF!</v>
      </c>
      <c r="AK96" s="186" t="e">
        <f>+'Proyectos Base digitable'!#REF!</f>
        <v>#REF!</v>
      </c>
      <c r="AL96" s="186" t="e">
        <f>+'Proyectos Base digitable'!#REF!</f>
        <v>#REF!</v>
      </c>
      <c r="AM96" s="186" t="e">
        <f>+'Proyectos Base digitable'!#REF!</f>
        <v>#REF!</v>
      </c>
      <c r="AN96" s="186" t="e">
        <f>+'Proyectos Base digitable'!#REF!</f>
        <v>#REF!</v>
      </c>
      <c r="AO96" s="186" t="e">
        <f>+'Proyectos Base digitable'!#REF!</f>
        <v>#REF!</v>
      </c>
      <c r="AP96" s="186" t="e">
        <f>+'Proyectos Base digitable'!#REF!</f>
        <v>#REF!</v>
      </c>
      <c r="AQ96" s="186" t="e">
        <f>+'Proyectos Base digitable'!#REF!</f>
        <v>#REF!</v>
      </c>
      <c r="AR96" s="186" t="e">
        <f>+'Proyectos Base digitable'!#REF!</f>
        <v>#REF!</v>
      </c>
      <c r="AS96" s="186" t="e">
        <f>+'Proyectos Base digitable'!#REF!</f>
        <v>#REF!</v>
      </c>
      <c r="AT96" s="187" t="e">
        <f>+'Proyectos Base digitable'!#REF!</f>
        <v>#REF!</v>
      </c>
      <c r="AU96" s="56" t="e">
        <f>+'Proyectos Base digitable'!#REF!</f>
        <v>#REF!</v>
      </c>
      <c r="AV96" s="56" t="e">
        <f>+'Proyectos Base digitable'!#REF!</f>
        <v>#REF!</v>
      </c>
      <c r="AW96" s="56" t="e">
        <f>+'Proyectos Base digitable'!#REF!</f>
        <v>#REF!</v>
      </c>
      <c r="AX96" s="56" t="e">
        <f>+'Proyectos Base digitable'!#REF!</f>
        <v>#REF!</v>
      </c>
      <c r="AY96" s="56" t="e">
        <f>+'Proyectos Base digitable'!#REF!</f>
        <v>#REF!</v>
      </c>
      <c r="AZ96" s="188" t="e">
        <f>+'Proyectos Base digitable'!#REF!</f>
        <v>#REF!</v>
      </c>
      <c r="BA96" s="188" t="e">
        <f>+'Proyectos Base digitable'!#REF!</f>
        <v>#REF!</v>
      </c>
    </row>
    <row r="97" spans="1:53" ht="12.5">
      <c r="A97" s="60" t="e">
        <f>+'Proyectos Base digitable'!#REF!</f>
        <v>#REF!</v>
      </c>
      <c r="B97" s="56" t="e">
        <f>+'Proyectos Base digitable'!#REF!</f>
        <v>#REF!</v>
      </c>
      <c r="C97" s="56" t="e">
        <f>+'Proyectos Base digitable'!#REF!</f>
        <v>#REF!</v>
      </c>
      <c r="D97" s="56" t="e">
        <f>+'Proyectos Base digitable'!#REF!</f>
        <v>#REF!</v>
      </c>
      <c r="E97" s="56" t="e">
        <f>+'Proyectos Base digitable'!#REF!</f>
        <v>#REF!</v>
      </c>
      <c r="F97" s="56" t="e">
        <f>+'Proyectos Base digitable'!#REF!</f>
        <v>#REF!</v>
      </c>
      <c r="G97" s="57" t="e">
        <f>+'Proyectos Base digitable'!#REF!</f>
        <v>#REF!</v>
      </c>
      <c r="H97" s="56" t="e">
        <f>+'Proyectos Base digitable'!#REF!</f>
        <v>#REF!</v>
      </c>
      <c r="I97" s="56" t="e">
        <f>+'Proyectos Base digitable'!#REF!</f>
        <v>#REF!</v>
      </c>
      <c r="J97" s="56" t="e">
        <f>+'Proyectos Base digitable'!#REF!</f>
        <v>#REF!</v>
      </c>
      <c r="K97" s="56" t="e">
        <f>+'Proyectos Base digitable'!#REF!</f>
        <v>#REF!</v>
      </c>
      <c r="L97" s="56" t="e">
        <f>+'Proyectos Base digitable'!#REF!</f>
        <v>#REF!</v>
      </c>
      <c r="M97" s="56" t="e">
        <f>+'Proyectos Base digitable'!#REF!</f>
        <v>#REF!</v>
      </c>
      <c r="N97" s="52" t="e">
        <f>+'Proyectos Base digitable'!#REF!</f>
        <v>#REF!</v>
      </c>
      <c r="O97" s="52" t="e">
        <f>+'Proyectos Base digitable'!#REF!</f>
        <v>#REF!</v>
      </c>
      <c r="P97" s="185" t="e">
        <f>+'Proyectos Base digitable'!#REF!</f>
        <v>#REF!</v>
      </c>
      <c r="Q97" s="58" t="e">
        <f>+'Proyectos Base digitable'!#REF!</f>
        <v>#REF!</v>
      </c>
      <c r="R97" s="58" t="e">
        <f>+'Proyectos Base digitable'!#REF!</f>
        <v>#REF!</v>
      </c>
      <c r="S97" s="58" t="e">
        <f>+'Proyectos Base digitable'!#REF!</f>
        <v>#REF!</v>
      </c>
      <c r="T97" s="58" t="e">
        <f>+'Proyectos Base digitable'!#REF!</f>
        <v>#REF!</v>
      </c>
      <c r="U97" s="63" t="e">
        <f>'Proyectos Base digitable'!#REF!</f>
        <v>#REF!</v>
      </c>
      <c r="V97" s="63" t="e">
        <f>'Proyectos Base digitable'!#REF!</f>
        <v>#REF!</v>
      </c>
      <c r="W97" s="63" t="e">
        <f>'Proyectos Base digitable'!#REF!</f>
        <v>#REF!</v>
      </c>
      <c r="X97" s="63" t="e">
        <f>'Proyectos Base digitable'!#REF!</f>
        <v>#REF!</v>
      </c>
      <c r="Y97" s="63" t="e">
        <f>'Proyectos Base digitable'!#REF!</f>
        <v>#REF!</v>
      </c>
      <c r="Z97" s="58" t="e">
        <f>+'Proyectos Base digitable'!#REF!</f>
        <v>#REF!</v>
      </c>
      <c r="AA97" s="58" t="e">
        <f>+'Proyectos Base digitable'!#REF!</f>
        <v>#REF!</v>
      </c>
      <c r="AB97" s="63" t="e">
        <f>'Proyectos Base digitable'!#REF!</f>
        <v>#REF!</v>
      </c>
      <c r="AC97" s="56" t="e">
        <f>+'Proyectos Base digitable'!#REF!</f>
        <v>#REF!</v>
      </c>
      <c r="AD97" s="52" t="e">
        <f>+'Proyectos Base digitable'!#REF!</f>
        <v>#REF!</v>
      </c>
      <c r="AE97" s="52" t="e">
        <f>+'Proyectos Base digitable'!#REF!</f>
        <v>#REF!</v>
      </c>
      <c r="AF97" s="52" t="e">
        <f>+'Proyectos Base digitable'!#REF!</f>
        <v>#REF!</v>
      </c>
      <c r="AG97" s="56" t="e">
        <f>+'Proyectos Base digitable'!#REF!</f>
        <v>#REF!</v>
      </c>
      <c r="AH97" s="52" t="e">
        <f>+'Proyectos Base digitable'!#REF!</f>
        <v>#REF!</v>
      </c>
      <c r="AI97" s="52" t="e">
        <f>+'Proyectos Base digitable'!#REF!</f>
        <v>#REF!</v>
      </c>
      <c r="AJ97" s="59" t="e">
        <f>+'Proyectos Base digitable'!#REF!</f>
        <v>#REF!</v>
      </c>
      <c r="AK97" s="186" t="e">
        <f>+'Proyectos Base digitable'!#REF!</f>
        <v>#REF!</v>
      </c>
      <c r="AL97" s="186" t="e">
        <f>+'Proyectos Base digitable'!#REF!</f>
        <v>#REF!</v>
      </c>
      <c r="AM97" s="186" t="e">
        <f>+'Proyectos Base digitable'!#REF!</f>
        <v>#REF!</v>
      </c>
      <c r="AN97" s="186" t="e">
        <f>+'Proyectos Base digitable'!#REF!</f>
        <v>#REF!</v>
      </c>
      <c r="AO97" s="186" t="e">
        <f>+'Proyectos Base digitable'!#REF!</f>
        <v>#REF!</v>
      </c>
      <c r="AP97" s="186" t="e">
        <f>+'Proyectos Base digitable'!#REF!</f>
        <v>#REF!</v>
      </c>
      <c r="AQ97" s="186" t="e">
        <f>+'Proyectos Base digitable'!#REF!</f>
        <v>#REF!</v>
      </c>
      <c r="AR97" s="186" t="e">
        <f>+'Proyectos Base digitable'!#REF!</f>
        <v>#REF!</v>
      </c>
      <c r="AS97" s="186" t="e">
        <f>+'Proyectos Base digitable'!#REF!</f>
        <v>#REF!</v>
      </c>
      <c r="AT97" s="187" t="e">
        <f>+'Proyectos Base digitable'!#REF!</f>
        <v>#REF!</v>
      </c>
      <c r="AU97" s="56" t="e">
        <f>+'Proyectos Base digitable'!#REF!</f>
        <v>#REF!</v>
      </c>
      <c r="AV97" s="56" t="e">
        <f>+'Proyectos Base digitable'!#REF!</f>
        <v>#REF!</v>
      </c>
      <c r="AW97" s="56" t="e">
        <f>+'Proyectos Base digitable'!#REF!</f>
        <v>#REF!</v>
      </c>
      <c r="AX97" s="56" t="e">
        <f>+'Proyectos Base digitable'!#REF!</f>
        <v>#REF!</v>
      </c>
      <c r="AY97" s="56" t="e">
        <f>+'Proyectos Base digitable'!#REF!</f>
        <v>#REF!</v>
      </c>
      <c r="AZ97" s="188" t="e">
        <f>+'Proyectos Base digitable'!#REF!</f>
        <v>#REF!</v>
      </c>
      <c r="BA97" s="188" t="e">
        <f>+'Proyectos Base digitable'!#REF!</f>
        <v>#REF!</v>
      </c>
    </row>
    <row r="98" spans="1:53" ht="12.5">
      <c r="A98" s="60" t="e">
        <f>+'Proyectos Base digitable'!#REF!</f>
        <v>#REF!</v>
      </c>
      <c r="B98" s="56" t="e">
        <f>+'Proyectos Base digitable'!#REF!</f>
        <v>#REF!</v>
      </c>
      <c r="C98" s="56" t="e">
        <f>+'Proyectos Base digitable'!#REF!</f>
        <v>#REF!</v>
      </c>
      <c r="D98" s="56" t="e">
        <f>+'Proyectos Base digitable'!#REF!</f>
        <v>#REF!</v>
      </c>
      <c r="E98" s="56" t="e">
        <f>+'Proyectos Base digitable'!#REF!</f>
        <v>#REF!</v>
      </c>
      <c r="F98" s="56" t="e">
        <f>+'Proyectos Base digitable'!#REF!</f>
        <v>#REF!</v>
      </c>
      <c r="G98" s="57" t="e">
        <f>+'Proyectos Base digitable'!#REF!</f>
        <v>#REF!</v>
      </c>
      <c r="H98" s="56" t="e">
        <f>+'Proyectos Base digitable'!#REF!</f>
        <v>#REF!</v>
      </c>
      <c r="I98" s="56" t="e">
        <f>+'Proyectos Base digitable'!#REF!</f>
        <v>#REF!</v>
      </c>
      <c r="J98" s="56" t="e">
        <f>+'Proyectos Base digitable'!#REF!</f>
        <v>#REF!</v>
      </c>
      <c r="K98" s="56" t="e">
        <f>+'Proyectos Base digitable'!#REF!</f>
        <v>#REF!</v>
      </c>
      <c r="L98" s="56" t="e">
        <f>+'Proyectos Base digitable'!#REF!</f>
        <v>#REF!</v>
      </c>
      <c r="M98" s="56" t="e">
        <f>+'Proyectos Base digitable'!#REF!</f>
        <v>#REF!</v>
      </c>
      <c r="N98" s="52" t="e">
        <f>+'Proyectos Base digitable'!#REF!</f>
        <v>#REF!</v>
      </c>
      <c r="O98" s="52" t="e">
        <f>+'Proyectos Base digitable'!#REF!</f>
        <v>#REF!</v>
      </c>
      <c r="P98" s="185" t="e">
        <f>+'Proyectos Base digitable'!#REF!</f>
        <v>#REF!</v>
      </c>
      <c r="Q98" s="58" t="e">
        <f>+'Proyectos Base digitable'!#REF!</f>
        <v>#REF!</v>
      </c>
      <c r="R98" s="58" t="e">
        <f>+'Proyectos Base digitable'!#REF!</f>
        <v>#REF!</v>
      </c>
      <c r="S98" s="58" t="e">
        <f>+'Proyectos Base digitable'!#REF!</f>
        <v>#REF!</v>
      </c>
      <c r="T98" s="58" t="e">
        <f>+'Proyectos Base digitable'!#REF!</f>
        <v>#REF!</v>
      </c>
      <c r="U98" s="63" t="e">
        <f>'Proyectos Base digitable'!#REF!</f>
        <v>#REF!</v>
      </c>
      <c r="V98" s="63" t="e">
        <f>'Proyectos Base digitable'!#REF!</f>
        <v>#REF!</v>
      </c>
      <c r="W98" s="63" t="e">
        <f>'Proyectos Base digitable'!#REF!</f>
        <v>#REF!</v>
      </c>
      <c r="X98" s="63" t="e">
        <f>'Proyectos Base digitable'!#REF!</f>
        <v>#REF!</v>
      </c>
      <c r="Y98" s="63" t="e">
        <f>'Proyectos Base digitable'!#REF!</f>
        <v>#REF!</v>
      </c>
      <c r="Z98" s="58" t="e">
        <f>+'Proyectos Base digitable'!#REF!</f>
        <v>#REF!</v>
      </c>
      <c r="AA98" s="58" t="e">
        <f>+'Proyectos Base digitable'!#REF!</f>
        <v>#REF!</v>
      </c>
      <c r="AB98" s="63" t="e">
        <f>'Proyectos Base digitable'!#REF!</f>
        <v>#REF!</v>
      </c>
      <c r="AC98" s="56" t="e">
        <f>+'Proyectos Base digitable'!#REF!</f>
        <v>#REF!</v>
      </c>
      <c r="AD98" s="52" t="e">
        <f>+'Proyectos Base digitable'!#REF!</f>
        <v>#REF!</v>
      </c>
      <c r="AE98" s="52" t="e">
        <f>+'Proyectos Base digitable'!#REF!</f>
        <v>#REF!</v>
      </c>
      <c r="AF98" s="52" t="e">
        <f>+'Proyectos Base digitable'!#REF!</f>
        <v>#REF!</v>
      </c>
      <c r="AG98" s="56" t="e">
        <f>+'Proyectos Base digitable'!#REF!</f>
        <v>#REF!</v>
      </c>
      <c r="AH98" s="52" t="e">
        <f>+'Proyectos Base digitable'!#REF!</f>
        <v>#REF!</v>
      </c>
      <c r="AI98" s="52" t="e">
        <f>+'Proyectos Base digitable'!#REF!</f>
        <v>#REF!</v>
      </c>
      <c r="AJ98" s="59" t="e">
        <f>+'Proyectos Base digitable'!#REF!</f>
        <v>#REF!</v>
      </c>
      <c r="AK98" s="186" t="e">
        <f>+'Proyectos Base digitable'!#REF!</f>
        <v>#REF!</v>
      </c>
      <c r="AL98" s="186" t="e">
        <f>+'Proyectos Base digitable'!#REF!</f>
        <v>#REF!</v>
      </c>
      <c r="AM98" s="186" t="e">
        <f>+'Proyectos Base digitable'!#REF!</f>
        <v>#REF!</v>
      </c>
      <c r="AN98" s="186" t="e">
        <f>+'Proyectos Base digitable'!#REF!</f>
        <v>#REF!</v>
      </c>
      <c r="AO98" s="186" t="e">
        <f>+'Proyectos Base digitable'!#REF!</f>
        <v>#REF!</v>
      </c>
      <c r="AP98" s="186" t="e">
        <f>+'Proyectos Base digitable'!#REF!</f>
        <v>#REF!</v>
      </c>
      <c r="AQ98" s="186" t="e">
        <f>+'Proyectos Base digitable'!#REF!</f>
        <v>#REF!</v>
      </c>
      <c r="AR98" s="186" t="e">
        <f>+'Proyectos Base digitable'!#REF!</f>
        <v>#REF!</v>
      </c>
      <c r="AS98" s="186" t="e">
        <f>+'Proyectos Base digitable'!#REF!</f>
        <v>#REF!</v>
      </c>
      <c r="AT98" s="187" t="e">
        <f>+'Proyectos Base digitable'!#REF!</f>
        <v>#REF!</v>
      </c>
      <c r="AU98" s="56" t="e">
        <f>+'Proyectos Base digitable'!#REF!</f>
        <v>#REF!</v>
      </c>
      <c r="AV98" s="56" t="e">
        <f>+'Proyectos Base digitable'!#REF!</f>
        <v>#REF!</v>
      </c>
      <c r="AW98" s="56" t="e">
        <f>+'Proyectos Base digitable'!#REF!</f>
        <v>#REF!</v>
      </c>
      <c r="AX98" s="56" t="e">
        <f>+'Proyectos Base digitable'!#REF!</f>
        <v>#REF!</v>
      </c>
      <c r="AY98" s="56" t="e">
        <f>+'Proyectos Base digitable'!#REF!</f>
        <v>#REF!</v>
      </c>
      <c r="AZ98" s="188" t="e">
        <f>+'Proyectos Base digitable'!#REF!</f>
        <v>#REF!</v>
      </c>
      <c r="BA98" s="188" t="e">
        <f>+'Proyectos Base digitable'!#REF!</f>
        <v>#REF!</v>
      </c>
    </row>
    <row r="99" spans="1:53" ht="12.5">
      <c r="A99" s="60" t="e">
        <f>+'Proyectos Base digitable'!#REF!</f>
        <v>#REF!</v>
      </c>
      <c r="B99" s="56" t="e">
        <f>+'Proyectos Base digitable'!#REF!</f>
        <v>#REF!</v>
      </c>
      <c r="C99" s="56" t="e">
        <f>+'Proyectos Base digitable'!#REF!</f>
        <v>#REF!</v>
      </c>
      <c r="D99" s="56" t="e">
        <f>+'Proyectos Base digitable'!#REF!</f>
        <v>#REF!</v>
      </c>
      <c r="E99" s="56" t="e">
        <f>+'Proyectos Base digitable'!#REF!</f>
        <v>#REF!</v>
      </c>
      <c r="F99" s="56" t="e">
        <f>+'Proyectos Base digitable'!#REF!</f>
        <v>#REF!</v>
      </c>
      <c r="G99" s="57" t="e">
        <f>+'Proyectos Base digitable'!#REF!</f>
        <v>#REF!</v>
      </c>
      <c r="H99" s="56" t="e">
        <f>+'Proyectos Base digitable'!#REF!</f>
        <v>#REF!</v>
      </c>
      <c r="I99" s="56" t="e">
        <f>+'Proyectos Base digitable'!#REF!</f>
        <v>#REF!</v>
      </c>
      <c r="J99" s="56" t="e">
        <f>+'Proyectos Base digitable'!#REF!</f>
        <v>#REF!</v>
      </c>
      <c r="K99" s="56" t="e">
        <f>+'Proyectos Base digitable'!#REF!</f>
        <v>#REF!</v>
      </c>
      <c r="L99" s="56" t="e">
        <f>+'Proyectos Base digitable'!#REF!</f>
        <v>#REF!</v>
      </c>
      <c r="M99" s="56" t="e">
        <f>+'Proyectos Base digitable'!#REF!</f>
        <v>#REF!</v>
      </c>
      <c r="N99" s="52" t="e">
        <f>+'Proyectos Base digitable'!#REF!</f>
        <v>#REF!</v>
      </c>
      <c r="O99" s="52" t="e">
        <f>+'Proyectos Base digitable'!#REF!</f>
        <v>#REF!</v>
      </c>
      <c r="P99" s="185" t="e">
        <f>+'Proyectos Base digitable'!#REF!</f>
        <v>#REF!</v>
      </c>
      <c r="Q99" s="58" t="e">
        <f>+'Proyectos Base digitable'!#REF!</f>
        <v>#REF!</v>
      </c>
      <c r="R99" s="58" t="e">
        <f>+'Proyectos Base digitable'!#REF!</f>
        <v>#REF!</v>
      </c>
      <c r="S99" s="58" t="e">
        <f>+'Proyectos Base digitable'!#REF!</f>
        <v>#REF!</v>
      </c>
      <c r="T99" s="58" t="e">
        <f>+'Proyectos Base digitable'!#REF!</f>
        <v>#REF!</v>
      </c>
      <c r="U99" s="63" t="e">
        <f>'Proyectos Base digitable'!#REF!</f>
        <v>#REF!</v>
      </c>
      <c r="V99" s="63" t="e">
        <f>'Proyectos Base digitable'!#REF!</f>
        <v>#REF!</v>
      </c>
      <c r="W99" s="63" t="e">
        <f>'Proyectos Base digitable'!#REF!</f>
        <v>#REF!</v>
      </c>
      <c r="X99" s="63" t="e">
        <f>'Proyectos Base digitable'!#REF!</f>
        <v>#REF!</v>
      </c>
      <c r="Y99" s="63" t="e">
        <f>'Proyectos Base digitable'!#REF!</f>
        <v>#REF!</v>
      </c>
      <c r="Z99" s="58" t="e">
        <f>+'Proyectos Base digitable'!#REF!</f>
        <v>#REF!</v>
      </c>
      <c r="AA99" s="58" t="e">
        <f>+'Proyectos Base digitable'!#REF!</f>
        <v>#REF!</v>
      </c>
      <c r="AB99" s="63" t="e">
        <f>'Proyectos Base digitable'!#REF!</f>
        <v>#REF!</v>
      </c>
      <c r="AC99" s="56" t="e">
        <f>+'Proyectos Base digitable'!#REF!</f>
        <v>#REF!</v>
      </c>
      <c r="AD99" s="52" t="e">
        <f>+'Proyectos Base digitable'!#REF!</f>
        <v>#REF!</v>
      </c>
      <c r="AE99" s="52" t="e">
        <f>+'Proyectos Base digitable'!#REF!</f>
        <v>#REF!</v>
      </c>
      <c r="AF99" s="52" t="e">
        <f>+'Proyectos Base digitable'!#REF!</f>
        <v>#REF!</v>
      </c>
      <c r="AG99" s="56" t="e">
        <f>+'Proyectos Base digitable'!#REF!</f>
        <v>#REF!</v>
      </c>
      <c r="AH99" s="52" t="e">
        <f>+'Proyectos Base digitable'!#REF!</f>
        <v>#REF!</v>
      </c>
      <c r="AI99" s="52" t="e">
        <f>+'Proyectos Base digitable'!#REF!</f>
        <v>#REF!</v>
      </c>
      <c r="AJ99" s="59" t="e">
        <f>+'Proyectos Base digitable'!#REF!</f>
        <v>#REF!</v>
      </c>
      <c r="AK99" s="186" t="e">
        <f>+'Proyectos Base digitable'!#REF!</f>
        <v>#REF!</v>
      </c>
      <c r="AL99" s="186" t="e">
        <f>+'Proyectos Base digitable'!#REF!</f>
        <v>#REF!</v>
      </c>
      <c r="AM99" s="186" t="e">
        <f>+'Proyectos Base digitable'!#REF!</f>
        <v>#REF!</v>
      </c>
      <c r="AN99" s="186" t="e">
        <f>+'Proyectos Base digitable'!#REF!</f>
        <v>#REF!</v>
      </c>
      <c r="AO99" s="186" t="e">
        <f>+'Proyectos Base digitable'!#REF!</f>
        <v>#REF!</v>
      </c>
      <c r="AP99" s="186" t="e">
        <f>+'Proyectos Base digitable'!#REF!</f>
        <v>#REF!</v>
      </c>
      <c r="AQ99" s="186" t="e">
        <f>+'Proyectos Base digitable'!#REF!</f>
        <v>#REF!</v>
      </c>
      <c r="AR99" s="186" t="e">
        <f>+'Proyectos Base digitable'!#REF!</f>
        <v>#REF!</v>
      </c>
      <c r="AS99" s="186" t="e">
        <f>+'Proyectos Base digitable'!#REF!</f>
        <v>#REF!</v>
      </c>
      <c r="AT99" s="187" t="e">
        <f>+'Proyectos Base digitable'!#REF!</f>
        <v>#REF!</v>
      </c>
      <c r="AU99" s="56" t="e">
        <f>+'Proyectos Base digitable'!#REF!</f>
        <v>#REF!</v>
      </c>
      <c r="AV99" s="56" t="e">
        <f>+'Proyectos Base digitable'!#REF!</f>
        <v>#REF!</v>
      </c>
      <c r="AW99" s="56" t="e">
        <f>+'Proyectos Base digitable'!#REF!</f>
        <v>#REF!</v>
      </c>
      <c r="AX99" s="56" t="e">
        <f>+'Proyectos Base digitable'!#REF!</f>
        <v>#REF!</v>
      </c>
      <c r="AY99" s="56" t="e">
        <f>+'Proyectos Base digitable'!#REF!</f>
        <v>#REF!</v>
      </c>
      <c r="AZ99" s="188" t="e">
        <f>+'Proyectos Base digitable'!#REF!</f>
        <v>#REF!</v>
      </c>
      <c r="BA99" s="188" t="e">
        <f>+'Proyectos Base digitable'!#REF!</f>
        <v>#REF!</v>
      </c>
    </row>
    <row r="100" spans="1:53" ht="12.5">
      <c r="A100" s="60" t="e">
        <f>+'Proyectos Base digitable'!#REF!</f>
        <v>#REF!</v>
      </c>
      <c r="B100" s="56" t="e">
        <f>+'Proyectos Base digitable'!#REF!</f>
        <v>#REF!</v>
      </c>
      <c r="C100" s="56" t="e">
        <f>+'Proyectos Base digitable'!#REF!</f>
        <v>#REF!</v>
      </c>
      <c r="D100" s="56" t="e">
        <f>+'Proyectos Base digitable'!#REF!</f>
        <v>#REF!</v>
      </c>
      <c r="E100" s="56" t="e">
        <f>+'Proyectos Base digitable'!#REF!</f>
        <v>#REF!</v>
      </c>
      <c r="F100" s="56" t="e">
        <f>+'Proyectos Base digitable'!#REF!</f>
        <v>#REF!</v>
      </c>
      <c r="G100" s="57" t="e">
        <f>+'Proyectos Base digitable'!#REF!</f>
        <v>#REF!</v>
      </c>
      <c r="H100" s="56" t="e">
        <f>+'Proyectos Base digitable'!#REF!</f>
        <v>#REF!</v>
      </c>
      <c r="I100" s="56" t="e">
        <f>+'Proyectos Base digitable'!#REF!</f>
        <v>#REF!</v>
      </c>
      <c r="J100" s="56" t="e">
        <f>+'Proyectos Base digitable'!#REF!</f>
        <v>#REF!</v>
      </c>
      <c r="K100" s="56" t="e">
        <f>+'Proyectos Base digitable'!#REF!</f>
        <v>#REF!</v>
      </c>
      <c r="L100" s="56" t="e">
        <f>+'Proyectos Base digitable'!#REF!</f>
        <v>#REF!</v>
      </c>
      <c r="M100" s="56" t="e">
        <f>+'Proyectos Base digitable'!#REF!</f>
        <v>#REF!</v>
      </c>
      <c r="N100" s="52" t="e">
        <f>+'Proyectos Base digitable'!#REF!</f>
        <v>#REF!</v>
      </c>
      <c r="O100" s="52" t="e">
        <f>+'Proyectos Base digitable'!#REF!</f>
        <v>#REF!</v>
      </c>
      <c r="P100" s="185" t="e">
        <f>+'Proyectos Base digitable'!#REF!</f>
        <v>#REF!</v>
      </c>
      <c r="Q100" s="58" t="e">
        <f>+'Proyectos Base digitable'!#REF!</f>
        <v>#REF!</v>
      </c>
      <c r="R100" s="58" t="e">
        <f>+'Proyectos Base digitable'!#REF!</f>
        <v>#REF!</v>
      </c>
      <c r="S100" s="58" t="e">
        <f>+'Proyectos Base digitable'!#REF!</f>
        <v>#REF!</v>
      </c>
      <c r="T100" s="58" t="e">
        <f>+'Proyectos Base digitable'!#REF!</f>
        <v>#REF!</v>
      </c>
      <c r="U100" s="63" t="e">
        <f>'Proyectos Base digitable'!#REF!</f>
        <v>#REF!</v>
      </c>
      <c r="V100" s="63" t="e">
        <f>'Proyectos Base digitable'!#REF!</f>
        <v>#REF!</v>
      </c>
      <c r="W100" s="63" t="e">
        <f>'Proyectos Base digitable'!#REF!</f>
        <v>#REF!</v>
      </c>
      <c r="X100" s="63" t="e">
        <f>'Proyectos Base digitable'!#REF!</f>
        <v>#REF!</v>
      </c>
      <c r="Y100" s="63" t="e">
        <f>'Proyectos Base digitable'!#REF!</f>
        <v>#REF!</v>
      </c>
      <c r="Z100" s="58" t="e">
        <f>+'Proyectos Base digitable'!#REF!</f>
        <v>#REF!</v>
      </c>
      <c r="AA100" s="58" t="e">
        <f>+'Proyectos Base digitable'!#REF!</f>
        <v>#REF!</v>
      </c>
      <c r="AB100" s="63" t="e">
        <f>'Proyectos Base digitable'!#REF!</f>
        <v>#REF!</v>
      </c>
      <c r="AC100" s="56" t="e">
        <f>+'Proyectos Base digitable'!#REF!</f>
        <v>#REF!</v>
      </c>
      <c r="AD100" s="52" t="e">
        <f>+'Proyectos Base digitable'!#REF!</f>
        <v>#REF!</v>
      </c>
      <c r="AE100" s="52" t="e">
        <f>+'Proyectos Base digitable'!#REF!</f>
        <v>#REF!</v>
      </c>
      <c r="AF100" s="52" t="e">
        <f>+'Proyectos Base digitable'!#REF!</f>
        <v>#REF!</v>
      </c>
      <c r="AG100" s="56" t="e">
        <f>+'Proyectos Base digitable'!#REF!</f>
        <v>#REF!</v>
      </c>
      <c r="AH100" s="52" t="e">
        <f>+'Proyectos Base digitable'!#REF!</f>
        <v>#REF!</v>
      </c>
      <c r="AI100" s="52" t="e">
        <f>+'Proyectos Base digitable'!#REF!</f>
        <v>#REF!</v>
      </c>
      <c r="AJ100" s="59" t="e">
        <f>+'Proyectos Base digitable'!#REF!</f>
        <v>#REF!</v>
      </c>
      <c r="AK100" s="186" t="e">
        <f>+'Proyectos Base digitable'!#REF!</f>
        <v>#REF!</v>
      </c>
      <c r="AL100" s="186" t="e">
        <f>+'Proyectos Base digitable'!#REF!</f>
        <v>#REF!</v>
      </c>
      <c r="AM100" s="186" t="e">
        <f>+'Proyectos Base digitable'!#REF!</f>
        <v>#REF!</v>
      </c>
      <c r="AN100" s="186" t="e">
        <f>+'Proyectos Base digitable'!#REF!</f>
        <v>#REF!</v>
      </c>
      <c r="AO100" s="186" t="e">
        <f>+'Proyectos Base digitable'!#REF!</f>
        <v>#REF!</v>
      </c>
      <c r="AP100" s="186" t="e">
        <f>+'Proyectos Base digitable'!#REF!</f>
        <v>#REF!</v>
      </c>
      <c r="AQ100" s="186" t="e">
        <f>+'Proyectos Base digitable'!#REF!</f>
        <v>#REF!</v>
      </c>
      <c r="AR100" s="186" t="e">
        <f>+'Proyectos Base digitable'!#REF!</f>
        <v>#REF!</v>
      </c>
      <c r="AS100" s="186" t="e">
        <f>+'Proyectos Base digitable'!#REF!</f>
        <v>#REF!</v>
      </c>
      <c r="AT100" s="187" t="e">
        <f>+'Proyectos Base digitable'!#REF!</f>
        <v>#REF!</v>
      </c>
      <c r="AU100" s="56" t="e">
        <f>+'Proyectos Base digitable'!#REF!</f>
        <v>#REF!</v>
      </c>
      <c r="AV100" s="56" t="e">
        <f>+'Proyectos Base digitable'!#REF!</f>
        <v>#REF!</v>
      </c>
      <c r="AW100" s="56" t="e">
        <f>+'Proyectos Base digitable'!#REF!</f>
        <v>#REF!</v>
      </c>
      <c r="AX100" s="56" t="e">
        <f>+'Proyectos Base digitable'!#REF!</f>
        <v>#REF!</v>
      </c>
      <c r="AY100" s="56" t="e">
        <f>+'Proyectos Base digitable'!#REF!</f>
        <v>#REF!</v>
      </c>
      <c r="AZ100" s="188" t="e">
        <f>+'Proyectos Base digitable'!#REF!</f>
        <v>#REF!</v>
      </c>
      <c r="BA100" s="188" t="e">
        <f>+'Proyectos Base digitable'!#REF!</f>
        <v>#REF!</v>
      </c>
    </row>
    <row r="101" spans="1:53" ht="12.5">
      <c r="A101" s="60" t="e">
        <f>+'Proyectos Base digitable'!#REF!</f>
        <v>#REF!</v>
      </c>
      <c r="B101" s="56" t="e">
        <f>+'Proyectos Base digitable'!#REF!</f>
        <v>#REF!</v>
      </c>
      <c r="C101" s="56" t="e">
        <f>+'Proyectos Base digitable'!#REF!</f>
        <v>#REF!</v>
      </c>
      <c r="D101" s="56" t="e">
        <f>+'Proyectos Base digitable'!#REF!</f>
        <v>#REF!</v>
      </c>
      <c r="E101" s="56" t="e">
        <f>+'Proyectos Base digitable'!#REF!</f>
        <v>#REF!</v>
      </c>
      <c r="F101" s="56" t="e">
        <f>+'Proyectos Base digitable'!#REF!</f>
        <v>#REF!</v>
      </c>
      <c r="G101" s="57" t="e">
        <f>+'Proyectos Base digitable'!#REF!</f>
        <v>#REF!</v>
      </c>
      <c r="H101" s="56" t="e">
        <f>+'Proyectos Base digitable'!#REF!</f>
        <v>#REF!</v>
      </c>
      <c r="I101" s="56" t="e">
        <f>+'Proyectos Base digitable'!#REF!</f>
        <v>#REF!</v>
      </c>
      <c r="J101" s="56" t="e">
        <f>+'Proyectos Base digitable'!#REF!</f>
        <v>#REF!</v>
      </c>
      <c r="K101" s="56" t="e">
        <f>+'Proyectos Base digitable'!#REF!</f>
        <v>#REF!</v>
      </c>
      <c r="L101" s="56" t="e">
        <f>+'Proyectos Base digitable'!#REF!</f>
        <v>#REF!</v>
      </c>
      <c r="M101" s="56" t="e">
        <f>+'Proyectos Base digitable'!#REF!</f>
        <v>#REF!</v>
      </c>
      <c r="N101" s="52" t="e">
        <f>+'Proyectos Base digitable'!#REF!</f>
        <v>#REF!</v>
      </c>
      <c r="O101" s="52" t="e">
        <f>+'Proyectos Base digitable'!#REF!</f>
        <v>#REF!</v>
      </c>
      <c r="P101" s="185" t="e">
        <f>+'Proyectos Base digitable'!#REF!</f>
        <v>#REF!</v>
      </c>
      <c r="Q101" s="58" t="e">
        <f>+'Proyectos Base digitable'!#REF!</f>
        <v>#REF!</v>
      </c>
      <c r="R101" s="58" t="e">
        <f>+'Proyectos Base digitable'!#REF!</f>
        <v>#REF!</v>
      </c>
      <c r="S101" s="58" t="e">
        <f>+'Proyectos Base digitable'!#REF!</f>
        <v>#REF!</v>
      </c>
      <c r="T101" s="58" t="e">
        <f>+'Proyectos Base digitable'!#REF!</f>
        <v>#REF!</v>
      </c>
      <c r="U101" s="63" t="e">
        <f>'Proyectos Base digitable'!#REF!</f>
        <v>#REF!</v>
      </c>
      <c r="V101" s="63" t="e">
        <f>'Proyectos Base digitable'!#REF!</f>
        <v>#REF!</v>
      </c>
      <c r="W101" s="63" t="e">
        <f>'Proyectos Base digitable'!#REF!</f>
        <v>#REF!</v>
      </c>
      <c r="X101" s="63" t="e">
        <f>'Proyectos Base digitable'!#REF!</f>
        <v>#REF!</v>
      </c>
      <c r="Y101" s="63" t="e">
        <f>'Proyectos Base digitable'!#REF!</f>
        <v>#REF!</v>
      </c>
      <c r="Z101" s="58" t="e">
        <f>+'Proyectos Base digitable'!#REF!</f>
        <v>#REF!</v>
      </c>
      <c r="AA101" s="58" t="e">
        <f>+'Proyectos Base digitable'!#REF!</f>
        <v>#REF!</v>
      </c>
      <c r="AB101" s="63" t="e">
        <f>'Proyectos Base digitable'!#REF!</f>
        <v>#REF!</v>
      </c>
      <c r="AC101" s="56" t="e">
        <f>+'Proyectos Base digitable'!#REF!</f>
        <v>#REF!</v>
      </c>
      <c r="AD101" s="52" t="e">
        <f>+'Proyectos Base digitable'!#REF!</f>
        <v>#REF!</v>
      </c>
      <c r="AE101" s="52" t="e">
        <f>+'Proyectos Base digitable'!#REF!</f>
        <v>#REF!</v>
      </c>
      <c r="AF101" s="52" t="e">
        <f>+'Proyectos Base digitable'!#REF!</f>
        <v>#REF!</v>
      </c>
      <c r="AG101" s="56" t="e">
        <f>+'Proyectos Base digitable'!#REF!</f>
        <v>#REF!</v>
      </c>
      <c r="AH101" s="52" t="e">
        <f>+'Proyectos Base digitable'!#REF!</f>
        <v>#REF!</v>
      </c>
      <c r="AI101" s="52" t="e">
        <f>+'Proyectos Base digitable'!#REF!</f>
        <v>#REF!</v>
      </c>
      <c r="AJ101" s="59" t="e">
        <f>+'Proyectos Base digitable'!#REF!</f>
        <v>#REF!</v>
      </c>
      <c r="AK101" s="186" t="e">
        <f>+'Proyectos Base digitable'!#REF!</f>
        <v>#REF!</v>
      </c>
      <c r="AL101" s="186" t="e">
        <f>+'Proyectos Base digitable'!#REF!</f>
        <v>#REF!</v>
      </c>
      <c r="AM101" s="186" t="e">
        <f>+'Proyectos Base digitable'!#REF!</f>
        <v>#REF!</v>
      </c>
      <c r="AN101" s="186" t="e">
        <f>+'Proyectos Base digitable'!#REF!</f>
        <v>#REF!</v>
      </c>
      <c r="AO101" s="186" t="e">
        <f>+'Proyectos Base digitable'!#REF!</f>
        <v>#REF!</v>
      </c>
      <c r="AP101" s="186" t="e">
        <f>+'Proyectos Base digitable'!#REF!</f>
        <v>#REF!</v>
      </c>
      <c r="AQ101" s="186" t="e">
        <f>+'Proyectos Base digitable'!#REF!</f>
        <v>#REF!</v>
      </c>
      <c r="AR101" s="186" t="e">
        <f>+'Proyectos Base digitable'!#REF!</f>
        <v>#REF!</v>
      </c>
      <c r="AS101" s="186" t="e">
        <f>+'Proyectos Base digitable'!#REF!</f>
        <v>#REF!</v>
      </c>
      <c r="AT101" s="187" t="e">
        <f>+'Proyectos Base digitable'!#REF!</f>
        <v>#REF!</v>
      </c>
      <c r="AU101" s="56" t="e">
        <f>+'Proyectos Base digitable'!#REF!</f>
        <v>#REF!</v>
      </c>
      <c r="AV101" s="56" t="e">
        <f>+'Proyectos Base digitable'!#REF!</f>
        <v>#REF!</v>
      </c>
      <c r="AW101" s="56" t="e">
        <f>+'Proyectos Base digitable'!#REF!</f>
        <v>#REF!</v>
      </c>
      <c r="AX101" s="56" t="e">
        <f>+'Proyectos Base digitable'!#REF!</f>
        <v>#REF!</v>
      </c>
      <c r="AY101" s="56" t="e">
        <f>+'Proyectos Base digitable'!#REF!</f>
        <v>#REF!</v>
      </c>
      <c r="AZ101" s="188" t="e">
        <f>+'Proyectos Base digitable'!#REF!</f>
        <v>#REF!</v>
      </c>
      <c r="BA101" s="188" t="e">
        <f>+'Proyectos Base digitable'!#REF!</f>
        <v>#REF!</v>
      </c>
    </row>
    <row r="102" spans="1:53" ht="12.5">
      <c r="A102" s="60" t="e">
        <f>+'Proyectos Base digitable'!#REF!</f>
        <v>#REF!</v>
      </c>
      <c r="B102" s="56" t="e">
        <f>+'Proyectos Base digitable'!#REF!</f>
        <v>#REF!</v>
      </c>
      <c r="C102" s="56" t="e">
        <f>+'Proyectos Base digitable'!#REF!</f>
        <v>#REF!</v>
      </c>
      <c r="D102" s="56" t="e">
        <f>+'Proyectos Base digitable'!#REF!</f>
        <v>#REF!</v>
      </c>
      <c r="E102" s="56" t="e">
        <f>+'Proyectos Base digitable'!#REF!</f>
        <v>#REF!</v>
      </c>
      <c r="F102" s="56" t="e">
        <f>+'Proyectos Base digitable'!#REF!</f>
        <v>#REF!</v>
      </c>
      <c r="G102" s="57" t="e">
        <f>+'Proyectos Base digitable'!#REF!</f>
        <v>#REF!</v>
      </c>
      <c r="H102" s="56" t="e">
        <f>+'Proyectos Base digitable'!#REF!</f>
        <v>#REF!</v>
      </c>
      <c r="I102" s="56" t="e">
        <f>+'Proyectos Base digitable'!#REF!</f>
        <v>#REF!</v>
      </c>
      <c r="J102" s="56" t="e">
        <f>+'Proyectos Base digitable'!#REF!</f>
        <v>#REF!</v>
      </c>
      <c r="K102" s="56" t="e">
        <f>+'Proyectos Base digitable'!#REF!</f>
        <v>#REF!</v>
      </c>
      <c r="L102" s="56" t="e">
        <f>+'Proyectos Base digitable'!#REF!</f>
        <v>#REF!</v>
      </c>
      <c r="M102" s="56" t="e">
        <f>+'Proyectos Base digitable'!#REF!</f>
        <v>#REF!</v>
      </c>
      <c r="N102" s="52" t="e">
        <f>+'Proyectos Base digitable'!#REF!</f>
        <v>#REF!</v>
      </c>
      <c r="O102" s="52" t="e">
        <f>+'Proyectos Base digitable'!#REF!</f>
        <v>#REF!</v>
      </c>
      <c r="P102" s="185" t="e">
        <f>+'Proyectos Base digitable'!#REF!</f>
        <v>#REF!</v>
      </c>
      <c r="Q102" s="58" t="e">
        <f>+'Proyectos Base digitable'!#REF!</f>
        <v>#REF!</v>
      </c>
      <c r="R102" s="58" t="e">
        <f>+'Proyectos Base digitable'!#REF!</f>
        <v>#REF!</v>
      </c>
      <c r="S102" s="58" t="e">
        <f>+'Proyectos Base digitable'!#REF!</f>
        <v>#REF!</v>
      </c>
      <c r="T102" s="58" t="e">
        <f>+'Proyectos Base digitable'!#REF!</f>
        <v>#REF!</v>
      </c>
      <c r="U102" s="63" t="e">
        <f>'Proyectos Base digitable'!#REF!</f>
        <v>#REF!</v>
      </c>
      <c r="V102" s="63" t="e">
        <f>'Proyectos Base digitable'!#REF!</f>
        <v>#REF!</v>
      </c>
      <c r="W102" s="63" t="e">
        <f>'Proyectos Base digitable'!#REF!</f>
        <v>#REF!</v>
      </c>
      <c r="X102" s="63" t="e">
        <f>'Proyectos Base digitable'!#REF!</f>
        <v>#REF!</v>
      </c>
      <c r="Y102" s="63" t="e">
        <f>'Proyectos Base digitable'!#REF!</f>
        <v>#REF!</v>
      </c>
      <c r="Z102" s="58" t="e">
        <f>+'Proyectos Base digitable'!#REF!</f>
        <v>#REF!</v>
      </c>
      <c r="AA102" s="58" t="e">
        <f>+'Proyectos Base digitable'!#REF!</f>
        <v>#REF!</v>
      </c>
      <c r="AB102" s="63" t="e">
        <f>'Proyectos Base digitable'!#REF!</f>
        <v>#REF!</v>
      </c>
      <c r="AC102" s="56" t="e">
        <f>+'Proyectos Base digitable'!#REF!</f>
        <v>#REF!</v>
      </c>
      <c r="AD102" s="52" t="e">
        <f>+'Proyectos Base digitable'!#REF!</f>
        <v>#REF!</v>
      </c>
      <c r="AE102" s="52" t="e">
        <f>+'Proyectos Base digitable'!#REF!</f>
        <v>#REF!</v>
      </c>
      <c r="AF102" s="52" t="e">
        <f>+'Proyectos Base digitable'!#REF!</f>
        <v>#REF!</v>
      </c>
      <c r="AG102" s="56" t="e">
        <f>+'Proyectos Base digitable'!#REF!</f>
        <v>#REF!</v>
      </c>
      <c r="AH102" s="52" t="e">
        <f>+'Proyectos Base digitable'!#REF!</f>
        <v>#REF!</v>
      </c>
      <c r="AI102" s="52" t="e">
        <f>+'Proyectos Base digitable'!#REF!</f>
        <v>#REF!</v>
      </c>
      <c r="AJ102" s="59" t="e">
        <f>+'Proyectos Base digitable'!#REF!</f>
        <v>#REF!</v>
      </c>
      <c r="AK102" s="186" t="e">
        <f>+'Proyectos Base digitable'!#REF!</f>
        <v>#REF!</v>
      </c>
      <c r="AL102" s="186" t="e">
        <f>+'Proyectos Base digitable'!#REF!</f>
        <v>#REF!</v>
      </c>
      <c r="AM102" s="186" t="e">
        <f>+'Proyectos Base digitable'!#REF!</f>
        <v>#REF!</v>
      </c>
      <c r="AN102" s="186" t="e">
        <f>+'Proyectos Base digitable'!#REF!</f>
        <v>#REF!</v>
      </c>
      <c r="AO102" s="186" t="e">
        <f>+'Proyectos Base digitable'!#REF!</f>
        <v>#REF!</v>
      </c>
      <c r="AP102" s="186" t="e">
        <f>+'Proyectos Base digitable'!#REF!</f>
        <v>#REF!</v>
      </c>
      <c r="AQ102" s="186" t="e">
        <f>+'Proyectos Base digitable'!#REF!</f>
        <v>#REF!</v>
      </c>
      <c r="AR102" s="186" t="e">
        <f>+'Proyectos Base digitable'!#REF!</f>
        <v>#REF!</v>
      </c>
      <c r="AS102" s="186" t="e">
        <f>+'Proyectos Base digitable'!#REF!</f>
        <v>#REF!</v>
      </c>
      <c r="AT102" s="187" t="e">
        <f>+'Proyectos Base digitable'!#REF!</f>
        <v>#REF!</v>
      </c>
      <c r="AU102" s="56" t="e">
        <f>+'Proyectos Base digitable'!#REF!</f>
        <v>#REF!</v>
      </c>
      <c r="AV102" s="56" t="e">
        <f>+'Proyectos Base digitable'!#REF!</f>
        <v>#REF!</v>
      </c>
      <c r="AW102" s="56" t="e">
        <f>+'Proyectos Base digitable'!#REF!</f>
        <v>#REF!</v>
      </c>
      <c r="AX102" s="56" t="e">
        <f>+'Proyectos Base digitable'!#REF!</f>
        <v>#REF!</v>
      </c>
      <c r="AY102" s="56" t="e">
        <f>+'Proyectos Base digitable'!#REF!</f>
        <v>#REF!</v>
      </c>
      <c r="AZ102" s="188" t="e">
        <f>+'Proyectos Base digitable'!#REF!</f>
        <v>#REF!</v>
      </c>
      <c r="BA102" s="188" t="e">
        <f>+'Proyectos Base digitable'!#REF!</f>
        <v>#REF!</v>
      </c>
    </row>
    <row r="103" spans="1:53" ht="12.5">
      <c r="A103" s="60" t="e">
        <f>+'Proyectos Base digitable'!#REF!</f>
        <v>#REF!</v>
      </c>
      <c r="B103" s="56" t="e">
        <f>+'Proyectos Base digitable'!#REF!</f>
        <v>#REF!</v>
      </c>
      <c r="C103" s="56" t="e">
        <f>+'Proyectos Base digitable'!#REF!</f>
        <v>#REF!</v>
      </c>
      <c r="D103" s="56" t="e">
        <f>+'Proyectos Base digitable'!#REF!</f>
        <v>#REF!</v>
      </c>
      <c r="E103" s="56" t="e">
        <f>+'Proyectos Base digitable'!#REF!</f>
        <v>#REF!</v>
      </c>
      <c r="F103" s="56" t="e">
        <f>+'Proyectos Base digitable'!#REF!</f>
        <v>#REF!</v>
      </c>
      <c r="G103" s="57" t="e">
        <f>+'Proyectos Base digitable'!#REF!</f>
        <v>#REF!</v>
      </c>
      <c r="H103" s="56" t="e">
        <f>+'Proyectos Base digitable'!#REF!</f>
        <v>#REF!</v>
      </c>
      <c r="I103" s="56" t="e">
        <f>+'Proyectos Base digitable'!#REF!</f>
        <v>#REF!</v>
      </c>
      <c r="J103" s="56" t="e">
        <f>+'Proyectos Base digitable'!#REF!</f>
        <v>#REF!</v>
      </c>
      <c r="K103" s="56" t="e">
        <f>+'Proyectos Base digitable'!#REF!</f>
        <v>#REF!</v>
      </c>
      <c r="L103" s="56" t="e">
        <f>+'Proyectos Base digitable'!#REF!</f>
        <v>#REF!</v>
      </c>
      <c r="M103" s="56" t="e">
        <f>+'Proyectos Base digitable'!#REF!</f>
        <v>#REF!</v>
      </c>
      <c r="N103" s="52" t="e">
        <f>+'Proyectos Base digitable'!#REF!</f>
        <v>#REF!</v>
      </c>
      <c r="O103" s="52" t="e">
        <f>+'Proyectos Base digitable'!#REF!</f>
        <v>#REF!</v>
      </c>
      <c r="P103" s="185" t="e">
        <f>+'Proyectos Base digitable'!#REF!</f>
        <v>#REF!</v>
      </c>
      <c r="Q103" s="58" t="e">
        <f>+'Proyectos Base digitable'!#REF!</f>
        <v>#REF!</v>
      </c>
      <c r="R103" s="58" t="e">
        <f>+'Proyectos Base digitable'!#REF!</f>
        <v>#REF!</v>
      </c>
      <c r="S103" s="58" t="e">
        <f>+'Proyectos Base digitable'!#REF!</f>
        <v>#REF!</v>
      </c>
      <c r="T103" s="58" t="e">
        <f>+'Proyectos Base digitable'!#REF!</f>
        <v>#REF!</v>
      </c>
      <c r="U103" s="63" t="e">
        <f>'Proyectos Base digitable'!#REF!</f>
        <v>#REF!</v>
      </c>
      <c r="V103" s="63" t="e">
        <f>'Proyectos Base digitable'!#REF!</f>
        <v>#REF!</v>
      </c>
      <c r="W103" s="63" t="e">
        <f>'Proyectos Base digitable'!#REF!</f>
        <v>#REF!</v>
      </c>
      <c r="X103" s="63" t="e">
        <f>'Proyectos Base digitable'!#REF!</f>
        <v>#REF!</v>
      </c>
      <c r="Y103" s="63" t="e">
        <f>'Proyectos Base digitable'!#REF!</f>
        <v>#REF!</v>
      </c>
      <c r="Z103" s="58" t="e">
        <f>+'Proyectos Base digitable'!#REF!</f>
        <v>#REF!</v>
      </c>
      <c r="AA103" s="58" t="e">
        <f>+'Proyectos Base digitable'!#REF!</f>
        <v>#REF!</v>
      </c>
      <c r="AB103" s="63" t="e">
        <f>'Proyectos Base digitable'!#REF!</f>
        <v>#REF!</v>
      </c>
      <c r="AC103" s="56" t="e">
        <f>+'Proyectos Base digitable'!#REF!</f>
        <v>#REF!</v>
      </c>
      <c r="AD103" s="52" t="e">
        <f>+'Proyectos Base digitable'!#REF!</f>
        <v>#REF!</v>
      </c>
      <c r="AE103" s="52" t="e">
        <f>+'Proyectos Base digitable'!#REF!</f>
        <v>#REF!</v>
      </c>
      <c r="AF103" s="52" t="e">
        <f>+'Proyectos Base digitable'!#REF!</f>
        <v>#REF!</v>
      </c>
      <c r="AG103" s="56" t="e">
        <f>+'Proyectos Base digitable'!#REF!</f>
        <v>#REF!</v>
      </c>
      <c r="AH103" s="52" t="e">
        <f>+'Proyectos Base digitable'!#REF!</f>
        <v>#REF!</v>
      </c>
      <c r="AI103" s="52" t="e">
        <f>+'Proyectos Base digitable'!#REF!</f>
        <v>#REF!</v>
      </c>
      <c r="AJ103" s="59" t="e">
        <f>+'Proyectos Base digitable'!#REF!</f>
        <v>#REF!</v>
      </c>
      <c r="AK103" s="186" t="e">
        <f>+'Proyectos Base digitable'!#REF!</f>
        <v>#REF!</v>
      </c>
      <c r="AL103" s="186" t="e">
        <f>+'Proyectos Base digitable'!#REF!</f>
        <v>#REF!</v>
      </c>
      <c r="AM103" s="186" t="e">
        <f>+'Proyectos Base digitable'!#REF!</f>
        <v>#REF!</v>
      </c>
      <c r="AN103" s="186" t="e">
        <f>+'Proyectos Base digitable'!#REF!</f>
        <v>#REF!</v>
      </c>
      <c r="AO103" s="186" t="e">
        <f>+'Proyectos Base digitable'!#REF!</f>
        <v>#REF!</v>
      </c>
      <c r="AP103" s="186" t="e">
        <f>+'Proyectos Base digitable'!#REF!</f>
        <v>#REF!</v>
      </c>
      <c r="AQ103" s="186" t="e">
        <f>+'Proyectos Base digitable'!#REF!</f>
        <v>#REF!</v>
      </c>
      <c r="AR103" s="186" t="e">
        <f>+'Proyectos Base digitable'!#REF!</f>
        <v>#REF!</v>
      </c>
      <c r="AS103" s="186" t="e">
        <f>+'Proyectos Base digitable'!#REF!</f>
        <v>#REF!</v>
      </c>
      <c r="AT103" s="187" t="e">
        <f>+'Proyectos Base digitable'!#REF!</f>
        <v>#REF!</v>
      </c>
      <c r="AU103" s="56" t="e">
        <f>+'Proyectos Base digitable'!#REF!</f>
        <v>#REF!</v>
      </c>
      <c r="AV103" s="56" t="e">
        <f>+'Proyectos Base digitable'!#REF!</f>
        <v>#REF!</v>
      </c>
      <c r="AW103" s="56" t="e">
        <f>+'Proyectos Base digitable'!#REF!</f>
        <v>#REF!</v>
      </c>
      <c r="AX103" s="56" t="e">
        <f>+'Proyectos Base digitable'!#REF!</f>
        <v>#REF!</v>
      </c>
      <c r="AY103" s="56" t="e">
        <f>+'Proyectos Base digitable'!#REF!</f>
        <v>#REF!</v>
      </c>
      <c r="AZ103" s="188" t="e">
        <f>+'Proyectos Base digitable'!#REF!</f>
        <v>#REF!</v>
      </c>
      <c r="BA103" s="188" t="e">
        <f>+'Proyectos Base digitable'!#REF!</f>
        <v>#REF!</v>
      </c>
    </row>
    <row r="104" spans="1:53" ht="12.5">
      <c r="A104" s="60" t="e">
        <f>+'Proyectos Base digitable'!#REF!</f>
        <v>#REF!</v>
      </c>
      <c r="B104" s="56" t="e">
        <f>+'Proyectos Base digitable'!#REF!</f>
        <v>#REF!</v>
      </c>
      <c r="C104" s="56" t="e">
        <f>+'Proyectos Base digitable'!#REF!</f>
        <v>#REF!</v>
      </c>
      <c r="D104" s="56" t="e">
        <f>+'Proyectos Base digitable'!#REF!</f>
        <v>#REF!</v>
      </c>
      <c r="E104" s="56" t="e">
        <f>+'Proyectos Base digitable'!#REF!</f>
        <v>#REF!</v>
      </c>
      <c r="F104" s="56" t="e">
        <f>+'Proyectos Base digitable'!#REF!</f>
        <v>#REF!</v>
      </c>
      <c r="G104" s="57" t="e">
        <f>+'Proyectos Base digitable'!#REF!</f>
        <v>#REF!</v>
      </c>
      <c r="H104" s="56" t="e">
        <f>+'Proyectos Base digitable'!#REF!</f>
        <v>#REF!</v>
      </c>
      <c r="I104" s="56" t="e">
        <f>+'Proyectos Base digitable'!#REF!</f>
        <v>#REF!</v>
      </c>
      <c r="J104" s="56" t="e">
        <f>+'Proyectos Base digitable'!#REF!</f>
        <v>#REF!</v>
      </c>
      <c r="K104" s="56" t="e">
        <f>+'Proyectos Base digitable'!#REF!</f>
        <v>#REF!</v>
      </c>
      <c r="L104" s="56" t="e">
        <f>+'Proyectos Base digitable'!#REF!</f>
        <v>#REF!</v>
      </c>
      <c r="M104" s="56" t="e">
        <f>+'Proyectos Base digitable'!#REF!</f>
        <v>#REF!</v>
      </c>
      <c r="N104" s="52" t="e">
        <f>+'Proyectos Base digitable'!#REF!</f>
        <v>#REF!</v>
      </c>
      <c r="O104" s="52" t="e">
        <f>+'Proyectos Base digitable'!#REF!</f>
        <v>#REF!</v>
      </c>
      <c r="P104" s="185" t="e">
        <f>+'Proyectos Base digitable'!#REF!</f>
        <v>#REF!</v>
      </c>
      <c r="Q104" s="58" t="e">
        <f>+'Proyectos Base digitable'!#REF!</f>
        <v>#REF!</v>
      </c>
      <c r="R104" s="58" t="e">
        <f>+'Proyectos Base digitable'!#REF!</f>
        <v>#REF!</v>
      </c>
      <c r="S104" s="58" t="e">
        <f>+'Proyectos Base digitable'!#REF!</f>
        <v>#REF!</v>
      </c>
      <c r="T104" s="58" t="e">
        <f>+'Proyectos Base digitable'!#REF!</f>
        <v>#REF!</v>
      </c>
      <c r="U104" s="63" t="e">
        <f>'Proyectos Base digitable'!#REF!</f>
        <v>#REF!</v>
      </c>
      <c r="V104" s="63" t="e">
        <f>'Proyectos Base digitable'!#REF!</f>
        <v>#REF!</v>
      </c>
      <c r="W104" s="63" t="e">
        <f>'Proyectos Base digitable'!#REF!</f>
        <v>#REF!</v>
      </c>
      <c r="X104" s="63" t="e">
        <f>'Proyectos Base digitable'!#REF!</f>
        <v>#REF!</v>
      </c>
      <c r="Y104" s="63" t="e">
        <f>'Proyectos Base digitable'!#REF!</f>
        <v>#REF!</v>
      </c>
      <c r="Z104" s="58" t="e">
        <f>+'Proyectos Base digitable'!#REF!</f>
        <v>#REF!</v>
      </c>
      <c r="AA104" s="58" t="e">
        <f>+'Proyectos Base digitable'!#REF!</f>
        <v>#REF!</v>
      </c>
      <c r="AB104" s="63" t="e">
        <f>'Proyectos Base digitable'!#REF!</f>
        <v>#REF!</v>
      </c>
      <c r="AC104" s="56" t="e">
        <f>+'Proyectos Base digitable'!#REF!</f>
        <v>#REF!</v>
      </c>
      <c r="AD104" s="52" t="e">
        <f>+'Proyectos Base digitable'!#REF!</f>
        <v>#REF!</v>
      </c>
      <c r="AE104" s="52" t="e">
        <f>+'Proyectos Base digitable'!#REF!</f>
        <v>#REF!</v>
      </c>
      <c r="AF104" s="52" t="e">
        <f>+'Proyectos Base digitable'!#REF!</f>
        <v>#REF!</v>
      </c>
      <c r="AG104" s="56" t="e">
        <f>+'Proyectos Base digitable'!#REF!</f>
        <v>#REF!</v>
      </c>
      <c r="AH104" s="52" t="e">
        <f>+'Proyectos Base digitable'!#REF!</f>
        <v>#REF!</v>
      </c>
      <c r="AI104" s="52" t="e">
        <f>+'Proyectos Base digitable'!#REF!</f>
        <v>#REF!</v>
      </c>
      <c r="AJ104" s="59" t="e">
        <f>+'Proyectos Base digitable'!#REF!</f>
        <v>#REF!</v>
      </c>
      <c r="AK104" s="186" t="e">
        <f>+'Proyectos Base digitable'!#REF!</f>
        <v>#REF!</v>
      </c>
      <c r="AL104" s="186" t="e">
        <f>+'Proyectos Base digitable'!#REF!</f>
        <v>#REF!</v>
      </c>
      <c r="AM104" s="186" t="e">
        <f>+'Proyectos Base digitable'!#REF!</f>
        <v>#REF!</v>
      </c>
      <c r="AN104" s="186" t="e">
        <f>+'Proyectos Base digitable'!#REF!</f>
        <v>#REF!</v>
      </c>
      <c r="AO104" s="186" t="e">
        <f>+'Proyectos Base digitable'!#REF!</f>
        <v>#REF!</v>
      </c>
      <c r="AP104" s="186" t="e">
        <f>+'Proyectos Base digitable'!#REF!</f>
        <v>#REF!</v>
      </c>
      <c r="AQ104" s="186" t="e">
        <f>+'Proyectos Base digitable'!#REF!</f>
        <v>#REF!</v>
      </c>
      <c r="AR104" s="186" t="e">
        <f>+'Proyectos Base digitable'!#REF!</f>
        <v>#REF!</v>
      </c>
      <c r="AS104" s="186" t="e">
        <f>+'Proyectos Base digitable'!#REF!</f>
        <v>#REF!</v>
      </c>
      <c r="AT104" s="187" t="e">
        <f>+'Proyectos Base digitable'!#REF!</f>
        <v>#REF!</v>
      </c>
      <c r="AU104" s="56" t="e">
        <f>+'Proyectos Base digitable'!#REF!</f>
        <v>#REF!</v>
      </c>
      <c r="AV104" s="56" t="e">
        <f>+'Proyectos Base digitable'!#REF!</f>
        <v>#REF!</v>
      </c>
      <c r="AW104" s="56" t="e">
        <f>+'Proyectos Base digitable'!#REF!</f>
        <v>#REF!</v>
      </c>
      <c r="AX104" s="56" t="e">
        <f>+'Proyectos Base digitable'!#REF!</f>
        <v>#REF!</v>
      </c>
      <c r="AY104" s="56" t="e">
        <f>+'Proyectos Base digitable'!#REF!</f>
        <v>#REF!</v>
      </c>
      <c r="AZ104" s="188" t="e">
        <f>+'Proyectos Base digitable'!#REF!</f>
        <v>#REF!</v>
      </c>
      <c r="BA104" s="188" t="e">
        <f>+'Proyectos Base digitable'!#REF!</f>
        <v>#REF!</v>
      </c>
    </row>
    <row r="105" spans="1:53" ht="12.5">
      <c r="A105" s="60" t="e">
        <f>+'Proyectos Base digitable'!#REF!</f>
        <v>#REF!</v>
      </c>
      <c r="B105" s="56" t="e">
        <f>+'Proyectos Base digitable'!#REF!</f>
        <v>#REF!</v>
      </c>
      <c r="C105" s="56" t="e">
        <f>+'Proyectos Base digitable'!#REF!</f>
        <v>#REF!</v>
      </c>
      <c r="D105" s="56" t="e">
        <f>+'Proyectos Base digitable'!#REF!</f>
        <v>#REF!</v>
      </c>
      <c r="E105" s="56" t="e">
        <f>+'Proyectos Base digitable'!#REF!</f>
        <v>#REF!</v>
      </c>
      <c r="F105" s="56" t="e">
        <f>+'Proyectos Base digitable'!#REF!</f>
        <v>#REF!</v>
      </c>
      <c r="G105" s="57" t="e">
        <f>+'Proyectos Base digitable'!#REF!</f>
        <v>#REF!</v>
      </c>
      <c r="H105" s="56" t="e">
        <f>+'Proyectos Base digitable'!#REF!</f>
        <v>#REF!</v>
      </c>
      <c r="I105" s="56" t="e">
        <f>+'Proyectos Base digitable'!#REF!</f>
        <v>#REF!</v>
      </c>
      <c r="J105" s="56" t="e">
        <f>+'Proyectos Base digitable'!#REF!</f>
        <v>#REF!</v>
      </c>
      <c r="K105" s="56" t="e">
        <f>+'Proyectos Base digitable'!#REF!</f>
        <v>#REF!</v>
      </c>
      <c r="L105" s="56" t="e">
        <f>+'Proyectos Base digitable'!#REF!</f>
        <v>#REF!</v>
      </c>
      <c r="M105" s="56" t="e">
        <f>+'Proyectos Base digitable'!#REF!</f>
        <v>#REF!</v>
      </c>
      <c r="N105" s="52" t="e">
        <f>+'Proyectos Base digitable'!#REF!</f>
        <v>#REF!</v>
      </c>
      <c r="O105" s="52" t="e">
        <f>+'Proyectos Base digitable'!#REF!</f>
        <v>#REF!</v>
      </c>
      <c r="P105" s="185" t="e">
        <f>+'Proyectos Base digitable'!#REF!</f>
        <v>#REF!</v>
      </c>
      <c r="Q105" s="58" t="e">
        <f>+'Proyectos Base digitable'!#REF!</f>
        <v>#REF!</v>
      </c>
      <c r="R105" s="58" t="e">
        <f>+'Proyectos Base digitable'!#REF!</f>
        <v>#REF!</v>
      </c>
      <c r="S105" s="58" t="e">
        <f>+'Proyectos Base digitable'!#REF!</f>
        <v>#REF!</v>
      </c>
      <c r="T105" s="58" t="e">
        <f>+'Proyectos Base digitable'!#REF!</f>
        <v>#REF!</v>
      </c>
      <c r="U105" s="63" t="e">
        <f>'Proyectos Base digitable'!#REF!</f>
        <v>#REF!</v>
      </c>
      <c r="V105" s="63" t="e">
        <f>'Proyectos Base digitable'!#REF!</f>
        <v>#REF!</v>
      </c>
      <c r="W105" s="63" t="e">
        <f>'Proyectos Base digitable'!#REF!</f>
        <v>#REF!</v>
      </c>
      <c r="X105" s="63" t="e">
        <f>'Proyectos Base digitable'!#REF!</f>
        <v>#REF!</v>
      </c>
      <c r="Y105" s="63" t="e">
        <f>'Proyectos Base digitable'!#REF!</f>
        <v>#REF!</v>
      </c>
      <c r="Z105" s="58" t="e">
        <f>+'Proyectos Base digitable'!#REF!</f>
        <v>#REF!</v>
      </c>
      <c r="AA105" s="58" t="e">
        <f>+'Proyectos Base digitable'!#REF!</f>
        <v>#REF!</v>
      </c>
      <c r="AB105" s="63" t="e">
        <f>'Proyectos Base digitable'!#REF!</f>
        <v>#REF!</v>
      </c>
      <c r="AC105" s="56" t="e">
        <f>+'Proyectos Base digitable'!#REF!</f>
        <v>#REF!</v>
      </c>
      <c r="AD105" s="52" t="e">
        <f>+'Proyectos Base digitable'!#REF!</f>
        <v>#REF!</v>
      </c>
      <c r="AE105" s="52" t="e">
        <f>+'Proyectos Base digitable'!#REF!</f>
        <v>#REF!</v>
      </c>
      <c r="AF105" s="52" t="e">
        <f>+'Proyectos Base digitable'!#REF!</f>
        <v>#REF!</v>
      </c>
      <c r="AG105" s="56" t="e">
        <f>+'Proyectos Base digitable'!#REF!</f>
        <v>#REF!</v>
      </c>
      <c r="AH105" s="52" t="e">
        <f>+'Proyectos Base digitable'!#REF!</f>
        <v>#REF!</v>
      </c>
      <c r="AI105" s="52" t="e">
        <f>+'Proyectos Base digitable'!#REF!</f>
        <v>#REF!</v>
      </c>
      <c r="AJ105" s="59" t="e">
        <f>+'Proyectos Base digitable'!#REF!</f>
        <v>#REF!</v>
      </c>
      <c r="AK105" s="186" t="e">
        <f>+'Proyectos Base digitable'!#REF!</f>
        <v>#REF!</v>
      </c>
      <c r="AL105" s="186" t="e">
        <f>+'Proyectos Base digitable'!#REF!</f>
        <v>#REF!</v>
      </c>
      <c r="AM105" s="186" t="e">
        <f>+'Proyectos Base digitable'!#REF!</f>
        <v>#REF!</v>
      </c>
      <c r="AN105" s="186" t="e">
        <f>+'Proyectos Base digitable'!#REF!</f>
        <v>#REF!</v>
      </c>
      <c r="AO105" s="186" t="e">
        <f>+'Proyectos Base digitable'!#REF!</f>
        <v>#REF!</v>
      </c>
      <c r="AP105" s="186" t="e">
        <f>+'Proyectos Base digitable'!#REF!</f>
        <v>#REF!</v>
      </c>
      <c r="AQ105" s="186" t="e">
        <f>+'Proyectos Base digitable'!#REF!</f>
        <v>#REF!</v>
      </c>
      <c r="AR105" s="186" t="e">
        <f>+'Proyectos Base digitable'!#REF!</f>
        <v>#REF!</v>
      </c>
      <c r="AS105" s="186" t="e">
        <f>+'Proyectos Base digitable'!#REF!</f>
        <v>#REF!</v>
      </c>
      <c r="AT105" s="187" t="e">
        <f>+'Proyectos Base digitable'!#REF!</f>
        <v>#REF!</v>
      </c>
      <c r="AU105" s="56" t="e">
        <f>+'Proyectos Base digitable'!#REF!</f>
        <v>#REF!</v>
      </c>
      <c r="AV105" s="56" t="e">
        <f>+'Proyectos Base digitable'!#REF!</f>
        <v>#REF!</v>
      </c>
      <c r="AW105" s="56" t="e">
        <f>+'Proyectos Base digitable'!#REF!</f>
        <v>#REF!</v>
      </c>
      <c r="AX105" s="56" t="e">
        <f>+'Proyectos Base digitable'!#REF!</f>
        <v>#REF!</v>
      </c>
      <c r="AY105" s="56" t="e">
        <f>+'Proyectos Base digitable'!#REF!</f>
        <v>#REF!</v>
      </c>
      <c r="AZ105" s="188" t="e">
        <f>+'Proyectos Base digitable'!#REF!</f>
        <v>#REF!</v>
      </c>
      <c r="BA105" s="188" t="e">
        <f>+'Proyectos Base digitable'!#REF!</f>
        <v>#REF!</v>
      </c>
    </row>
    <row r="106" spans="1:53" ht="12.5">
      <c r="A106" s="60" t="e">
        <f>+'Proyectos Base digitable'!#REF!</f>
        <v>#REF!</v>
      </c>
      <c r="B106" s="56" t="e">
        <f>+'Proyectos Base digitable'!#REF!</f>
        <v>#REF!</v>
      </c>
      <c r="C106" s="56" t="e">
        <f>+'Proyectos Base digitable'!#REF!</f>
        <v>#REF!</v>
      </c>
      <c r="D106" s="56" t="e">
        <f>+'Proyectos Base digitable'!#REF!</f>
        <v>#REF!</v>
      </c>
      <c r="E106" s="56" t="e">
        <f>+'Proyectos Base digitable'!#REF!</f>
        <v>#REF!</v>
      </c>
      <c r="F106" s="56" t="e">
        <f>+'Proyectos Base digitable'!#REF!</f>
        <v>#REF!</v>
      </c>
      <c r="G106" s="57" t="e">
        <f>+'Proyectos Base digitable'!#REF!</f>
        <v>#REF!</v>
      </c>
      <c r="H106" s="56" t="e">
        <f>+'Proyectos Base digitable'!#REF!</f>
        <v>#REF!</v>
      </c>
      <c r="I106" s="56" t="e">
        <f>+'Proyectos Base digitable'!#REF!</f>
        <v>#REF!</v>
      </c>
      <c r="J106" s="56" t="e">
        <f>+'Proyectos Base digitable'!#REF!</f>
        <v>#REF!</v>
      </c>
      <c r="K106" s="56" t="e">
        <f>+'Proyectos Base digitable'!#REF!</f>
        <v>#REF!</v>
      </c>
      <c r="L106" s="56" t="e">
        <f>+'Proyectos Base digitable'!#REF!</f>
        <v>#REF!</v>
      </c>
      <c r="M106" s="56" t="e">
        <f>+'Proyectos Base digitable'!#REF!</f>
        <v>#REF!</v>
      </c>
      <c r="N106" s="52" t="e">
        <f>+'Proyectos Base digitable'!#REF!</f>
        <v>#REF!</v>
      </c>
      <c r="O106" s="52" t="e">
        <f>+'Proyectos Base digitable'!#REF!</f>
        <v>#REF!</v>
      </c>
      <c r="P106" s="185" t="e">
        <f>+'Proyectos Base digitable'!#REF!</f>
        <v>#REF!</v>
      </c>
      <c r="Q106" s="58" t="e">
        <f>+'Proyectos Base digitable'!#REF!</f>
        <v>#REF!</v>
      </c>
      <c r="R106" s="58" t="e">
        <f>+'Proyectos Base digitable'!#REF!</f>
        <v>#REF!</v>
      </c>
      <c r="S106" s="58" t="e">
        <f>+'Proyectos Base digitable'!#REF!</f>
        <v>#REF!</v>
      </c>
      <c r="T106" s="58" t="e">
        <f>+'Proyectos Base digitable'!#REF!</f>
        <v>#REF!</v>
      </c>
      <c r="U106" s="63" t="e">
        <f>'Proyectos Base digitable'!#REF!</f>
        <v>#REF!</v>
      </c>
      <c r="V106" s="63" t="e">
        <f>'Proyectos Base digitable'!#REF!</f>
        <v>#REF!</v>
      </c>
      <c r="W106" s="63" t="e">
        <f>'Proyectos Base digitable'!#REF!</f>
        <v>#REF!</v>
      </c>
      <c r="X106" s="63" t="e">
        <f>'Proyectos Base digitable'!#REF!</f>
        <v>#REF!</v>
      </c>
      <c r="Y106" s="63" t="e">
        <f>'Proyectos Base digitable'!#REF!</f>
        <v>#REF!</v>
      </c>
      <c r="Z106" s="58" t="e">
        <f>+'Proyectos Base digitable'!#REF!</f>
        <v>#REF!</v>
      </c>
      <c r="AA106" s="58" t="e">
        <f>+'Proyectos Base digitable'!#REF!</f>
        <v>#REF!</v>
      </c>
      <c r="AB106" s="63" t="e">
        <f>'Proyectos Base digitable'!#REF!</f>
        <v>#REF!</v>
      </c>
      <c r="AC106" s="56" t="e">
        <f>+'Proyectos Base digitable'!#REF!</f>
        <v>#REF!</v>
      </c>
      <c r="AD106" s="52" t="e">
        <f>+'Proyectos Base digitable'!#REF!</f>
        <v>#REF!</v>
      </c>
      <c r="AE106" s="52" t="e">
        <f>+'Proyectos Base digitable'!#REF!</f>
        <v>#REF!</v>
      </c>
      <c r="AF106" s="52" t="e">
        <f>+'Proyectos Base digitable'!#REF!</f>
        <v>#REF!</v>
      </c>
      <c r="AG106" s="56" t="e">
        <f>+'Proyectos Base digitable'!#REF!</f>
        <v>#REF!</v>
      </c>
      <c r="AH106" s="52" t="e">
        <f>+'Proyectos Base digitable'!#REF!</f>
        <v>#REF!</v>
      </c>
      <c r="AI106" s="52" t="e">
        <f>+'Proyectos Base digitable'!#REF!</f>
        <v>#REF!</v>
      </c>
      <c r="AJ106" s="59" t="e">
        <f>+'Proyectos Base digitable'!#REF!</f>
        <v>#REF!</v>
      </c>
      <c r="AK106" s="186" t="e">
        <f>+'Proyectos Base digitable'!#REF!</f>
        <v>#REF!</v>
      </c>
      <c r="AL106" s="186" t="e">
        <f>+'Proyectos Base digitable'!#REF!</f>
        <v>#REF!</v>
      </c>
      <c r="AM106" s="186" t="e">
        <f>+'Proyectos Base digitable'!#REF!</f>
        <v>#REF!</v>
      </c>
      <c r="AN106" s="186" t="e">
        <f>+'Proyectos Base digitable'!#REF!</f>
        <v>#REF!</v>
      </c>
      <c r="AO106" s="186" t="e">
        <f>+'Proyectos Base digitable'!#REF!</f>
        <v>#REF!</v>
      </c>
      <c r="AP106" s="186" t="e">
        <f>+'Proyectos Base digitable'!#REF!</f>
        <v>#REF!</v>
      </c>
      <c r="AQ106" s="186" t="e">
        <f>+'Proyectos Base digitable'!#REF!</f>
        <v>#REF!</v>
      </c>
      <c r="AR106" s="186" t="e">
        <f>+'Proyectos Base digitable'!#REF!</f>
        <v>#REF!</v>
      </c>
      <c r="AS106" s="186" t="e">
        <f>+'Proyectos Base digitable'!#REF!</f>
        <v>#REF!</v>
      </c>
      <c r="AT106" s="187" t="e">
        <f>+'Proyectos Base digitable'!#REF!</f>
        <v>#REF!</v>
      </c>
      <c r="AU106" s="56" t="e">
        <f>+'Proyectos Base digitable'!#REF!</f>
        <v>#REF!</v>
      </c>
      <c r="AV106" s="56" t="e">
        <f>+'Proyectos Base digitable'!#REF!</f>
        <v>#REF!</v>
      </c>
      <c r="AW106" s="56" t="e">
        <f>+'Proyectos Base digitable'!#REF!</f>
        <v>#REF!</v>
      </c>
      <c r="AX106" s="56" t="e">
        <f>+'Proyectos Base digitable'!#REF!</f>
        <v>#REF!</v>
      </c>
      <c r="AY106" s="56" t="e">
        <f>+'Proyectos Base digitable'!#REF!</f>
        <v>#REF!</v>
      </c>
      <c r="AZ106" s="188" t="e">
        <f>+'Proyectos Base digitable'!#REF!</f>
        <v>#REF!</v>
      </c>
      <c r="BA106" s="188" t="e">
        <f>+'Proyectos Base digitable'!#REF!</f>
        <v>#REF!</v>
      </c>
    </row>
    <row r="107" spans="1:53" ht="12.5">
      <c r="A107" s="60" t="e">
        <f>+'Proyectos Base digitable'!#REF!</f>
        <v>#REF!</v>
      </c>
      <c r="B107" s="56" t="e">
        <f>+'Proyectos Base digitable'!#REF!</f>
        <v>#REF!</v>
      </c>
      <c r="C107" s="56" t="e">
        <f>+'Proyectos Base digitable'!#REF!</f>
        <v>#REF!</v>
      </c>
      <c r="D107" s="56" t="e">
        <f>+'Proyectos Base digitable'!#REF!</f>
        <v>#REF!</v>
      </c>
      <c r="E107" s="56" t="e">
        <f>+'Proyectos Base digitable'!#REF!</f>
        <v>#REF!</v>
      </c>
      <c r="F107" s="56" t="e">
        <f>+'Proyectos Base digitable'!#REF!</f>
        <v>#REF!</v>
      </c>
      <c r="G107" s="57" t="e">
        <f>+'Proyectos Base digitable'!#REF!</f>
        <v>#REF!</v>
      </c>
      <c r="H107" s="56" t="e">
        <f>+'Proyectos Base digitable'!#REF!</f>
        <v>#REF!</v>
      </c>
      <c r="I107" s="56" t="e">
        <f>+'Proyectos Base digitable'!#REF!</f>
        <v>#REF!</v>
      </c>
      <c r="J107" s="56" t="e">
        <f>+'Proyectos Base digitable'!#REF!</f>
        <v>#REF!</v>
      </c>
      <c r="K107" s="56" t="e">
        <f>+'Proyectos Base digitable'!#REF!</f>
        <v>#REF!</v>
      </c>
      <c r="L107" s="56" t="e">
        <f>+'Proyectos Base digitable'!#REF!</f>
        <v>#REF!</v>
      </c>
      <c r="M107" s="56" t="e">
        <f>+'Proyectos Base digitable'!#REF!</f>
        <v>#REF!</v>
      </c>
      <c r="N107" s="52" t="e">
        <f>+'Proyectos Base digitable'!#REF!</f>
        <v>#REF!</v>
      </c>
      <c r="O107" s="52" t="e">
        <f>+'Proyectos Base digitable'!#REF!</f>
        <v>#REF!</v>
      </c>
      <c r="P107" s="185" t="e">
        <f>+'Proyectos Base digitable'!#REF!</f>
        <v>#REF!</v>
      </c>
      <c r="Q107" s="58" t="e">
        <f>+'Proyectos Base digitable'!#REF!</f>
        <v>#REF!</v>
      </c>
      <c r="R107" s="58" t="e">
        <f>+'Proyectos Base digitable'!#REF!</f>
        <v>#REF!</v>
      </c>
      <c r="S107" s="58" t="e">
        <f>+'Proyectos Base digitable'!#REF!</f>
        <v>#REF!</v>
      </c>
      <c r="T107" s="58" t="e">
        <f>+'Proyectos Base digitable'!#REF!</f>
        <v>#REF!</v>
      </c>
      <c r="U107" s="63" t="e">
        <f>'Proyectos Base digitable'!#REF!</f>
        <v>#REF!</v>
      </c>
      <c r="V107" s="63" t="e">
        <f>'Proyectos Base digitable'!#REF!</f>
        <v>#REF!</v>
      </c>
      <c r="W107" s="63" t="e">
        <f>'Proyectos Base digitable'!#REF!</f>
        <v>#REF!</v>
      </c>
      <c r="X107" s="63" t="e">
        <f>'Proyectos Base digitable'!#REF!</f>
        <v>#REF!</v>
      </c>
      <c r="Y107" s="63" t="e">
        <f>'Proyectos Base digitable'!#REF!</f>
        <v>#REF!</v>
      </c>
      <c r="Z107" s="58" t="e">
        <f>+'Proyectos Base digitable'!#REF!</f>
        <v>#REF!</v>
      </c>
      <c r="AA107" s="58" t="e">
        <f>+'Proyectos Base digitable'!#REF!</f>
        <v>#REF!</v>
      </c>
      <c r="AB107" s="63" t="e">
        <f>'Proyectos Base digitable'!#REF!</f>
        <v>#REF!</v>
      </c>
      <c r="AC107" s="56" t="e">
        <f>+'Proyectos Base digitable'!#REF!</f>
        <v>#REF!</v>
      </c>
      <c r="AD107" s="52" t="e">
        <f>+'Proyectos Base digitable'!#REF!</f>
        <v>#REF!</v>
      </c>
      <c r="AE107" s="52" t="e">
        <f>+'Proyectos Base digitable'!#REF!</f>
        <v>#REF!</v>
      </c>
      <c r="AF107" s="52" t="e">
        <f>+'Proyectos Base digitable'!#REF!</f>
        <v>#REF!</v>
      </c>
      <c r="AG107" s="56" t="e">
        <f>+'Proyectos Base digitable'!#REF!</f>
        <v>#REF!</v>
      </c>
      <c r="AH107" s="52" t="e">
        <f>+'Proyectos Base digitable'!#REF!</f>
        <v>#REF!</v>
      </c>
      <c r="AI107" s="52" t="e">
        <f>+'Proyectos Base digitable'!#REF!</f>
        <v>#REF!</v>
      </c>
      <c r="AJ107" s="59" t="e">
        <f>+'Proyectos Base digitable'!#REF!</f>
        <v>#REF!</v>
      </c>
      <c r="AK107" s="186" t="e">
        <f>+'Proyectos Base digitable'!#REF!</f>
        <v>#REF!</v>
      </c>
      <c r="AL107" s="186" t="e">
        <f>+'Proyectos Base digitable'!#REF!</f>
        <v>#REF!</v>
      </c>
      <c r="AM107" s="186" t="e">
        <f>+'Proyectos Base digitable'!#REF!</f>
        <v>#REF!</v>
      </c>
      <c r="AN107" s="186" t="e">
        <f>+'Proyectos Base digitable'!#REF!</f>
        <v>#REF!</v>
      </c>
      <c r="AO107" s="186" t="e">
        <f>+'Proyectos Base digitable'!#REF!</f>
        <v>#REF!</v>
      </c>
      <c r="AP107" s="186" t="e">
        <f>+'Proyectos Base digitable'!#REF!</f>
        <v>#REF!</v>
      </c>
      <c r="AQ107" s="186" t="e">
        <f>+'Proyectos Base digitable'!#REF!</f>
        <v>#REF!</v>
      </c>
      <c r="AR107" s="186" t="e">
        <f>+'Proyectos Base digitable'!#REF!</f>
        <v>#REF!</v>
      </c>
      <c r="AS107" s="186" t="e">
        <f>+'Proyectos Base digitable'!#REF!</f>
        <v>#REF!</v>
      </c>
      <c r="AT107" s="187" t="e">
        <f>+'Proyectos Base digitable'!#REF!</f>
        <v>#REF!</v>
      </c>
      <c r="AU107" s="56" t="e">
        <f>+'Proyectos Base digitable'!#REF!</f>
        <v>#REF!</v>
      </c>
      <c r="AV107" s="56" t="e">
        <f>+'Proyectos Base digitable'!#REF!</f>
        <v>#REF!</v>
      </c>
      <c r="AW107" s="56" t="e">
        <f>+'Proyectos Base digitable'!#REF!</f>
        <v>#REF!</v>
      </c>
      <c r="AX107" s="56" t="e">
        <f>+'Proyectos Base digitable'!#REF!</f>
        <v>#REF!</v>
      </c>
      <c r="AY107" s="56" t="e">
        <f>+'Proyectos Base digitable'!#REF!</f>
        <v>#REF!</v>
      </c>
      <c r="AZ107" s="188" t="e">
        <f>+'Proyectos Base digitable'!#REF!</f>
        <v>#REF!</v>
      </c>
      <c r="BA107" s="188" t="e">
        <f>+'Proyectos Base digitable'!#REF!</f>
        <v>#REF!</v>
      </c>
    </row>
    <row r="108" spans="1:53" ht="12.5">
      <c r="A108" s="60" t="e">
        <f>+'Proyectos Base digitable'!#REF!</f>
        <v>#REF!</v>
      </c>
      <c r="B108" s="56" t="e">
        <f>+'Proyectos Base digitable'!#REF!</f>
        <v>#REF!</v>
      </c>
      <c r="C108" s="56" t="e">
        <f>+'Proyectos Base digitable'!#REF!</f>
        <v>#REF!</v>
      </c>
      <c r="D108" s="56" t="e">
        <f>+'Proyectos Base digitable'!#REF!</f>
        <v>#REF!</v>
      </c>
      <c r="E108" s="56" t="e">
        <f>+'Proyectos Base digitable'!#REF!</f>
        <v>#REF!</v>
      </c>
      <c r="F108" s="56" t="e">
        <f>+'Proyectos Base digitable'!#REF!</f>
        <v>#REF!</v>
      </c>
      <c r="G108" s="57" t="e">
        <f>+'Proyectos Base digitable'!#REF!</f>
        <v>#REF!</v>
      </c>
      <c r="H108" s="56" t="e">
        <f>+'Proyectos Base digitable'!#REF!</f>
        <v>#REF!</v>
      </c>
      <c r="I108" s="56" t="e">
        <f>+'Proyectos Base digitable'!#REF!</f>
        <v>#REF!</v>
      </c>
      <c r="J108" s="56" t="e">
        <f>+'Proyectos Base digitable'!#REF!</f>
        <v>#REF!</v>
      </c>
      <c r="K108" s="56" t="e">
        <f>+'Proyectos Base digitable'!#REF!</f>
        <v>#REF!</v>
      </c>
      <c r="L108" s="56" t="e">
        <f>+'Proyectos Base digitable'!#REF!</f>
        <v>#REF!</v>
      </c>
      <c r="M108" s="56" t="e">
        <f>+'Proyectos Base digitable'!#REF!</f>
        <v>#REF!</v>
      </c>
      <c r="N108" s="52" t="e">
        <f>+'Proyectos Base digitable'!#REF!</f>
        <v>#REF!</v>
      </c>
      <c r="O108" s="52" t="e">
        <f>+'Proyectos Base digitable'!#REF!</f>
        <v>#REF!</v>
      </c>
      <c r="P108" s="185" t="e">
        <f>+'Proyectos Base digitable'!#REF!</f>
        <v>#REF!</v>
      </c>
      <c r="Q108" s="58" t="e">
        <f>+'Proyectos Base digitable'!#REF!</f>
        <v>#REF!</v>
      </c>
      <c r="R108" s="58" t="e">
        <f>+'Proyectos Base digitable'!#REF!</f>
        <v>#REF!</v>
      </c>
      <c r="S108" s="58" t="e">
        <f>+'Proyectos Base digitable'!#REF!</f>
        <v>#REF!</v>
      </c>
      <c r="T108" s="58" t="e">
        <f>+'Proyectos Base digitable'!#REF!</f>
        <v>#REF!</v>
      </c>
      <c r="U108" s="63" t="e">
        <f>'Proyectos Base digitable'!#REF!</f>
        <v>#REF!</v>
      </c>
      <c r="V108" s="63" t="e">
        <f>'Proyectos Base digitable'!#REF!</f>
        <v>#REF!</v>
      </c>
      <c r="W108" s="63" t="e">
        <f>'Proyectos Base digitable'!#REF!</f>
        <v>#REF!</v>
      </c>
      <c r="X108" s="63" t="e">
        <f>'Proyectos Base digitable'!#REF!</f>
        <v>#REF!</v>
      </c>
      <c r="Y108" s="63" t="e">
        <f>'Proyectos Base digitable'!#REF!</f>
        <v>#REF!</v>
      </c>
      <c r="Z108" s="58" t="e">
        <f>+'Proyectos Base digitable'!#REF!</f>
        <v>#REF!</v>
      </c>
      <c r="AA108" s="58" t="e">
        <f>+'Proyectos Base digitable'!#REF!</f>
        <v>#REF!</v>
      </c>
      <c r="AB108" s="63" t="e">
        <f>'Proyectos Base digitable'!#REF!</f>
        <v>#REF!</v>
      </c>
      <c r="AC108" s="56" t="e">
        <f>+'Proyectos Base digitable'!#REF!</f>
        <v>#REF!</v>
      </c>
      <c r="AD108" s="52" t="e">
        <f>+'Proyectos Base digitable'!#REF!</f>
        <v>#REF!</v>
      </c>
      <c r="AE108" s="52" t="e">
        <f>+'Proyectos Base digitable'!#REF!</f>
        <v>#REF!</v>
      </c>
      <c r="AF108" s="52" t="e">
        <f>+'Proyectos Base digitable'!#REF!</f>
        <v>#REF!</v>
      </c>
      <c r="AG108" s="56" t="e">
        <f>+'Proyectos Base digitable'!#REF!</f>
        <v>#REF!</v>
      </c>
      <c r="AH108" s="52" t="e">
        <f>+'Proyectos Base digitable'!#REF!</f>
        <v>#REF!</v>
      </c>
      <c r="AI108" s="52" t="e">
        <f>+'Proyectos Base digitable'!#REF!</f>
        <v>#REF!</v>
      </c>
      <c r="AJ108" s="59" t="e">
        <f>+'Proyectos Base digitable'!#REF!</f>
        <v>#REF!</v>
      </c>
      <c r="AK108" s="186" t="e">
        <f>+'Proyectos Base digitable'!#REF!</f>
        <v>#REF!</v>
      </c>
      <c r="AL108" s="186" t="e">
        <f>+'Proyectos Base digitable'!#REF!</f>
        <v>#REF!</v>
      </c>
      <c r="AM108" s="186" t="e">
        <f>+'Proyectos Base digitable'!#REF!</f>
        <v>#REF!</v>
      </c>
      <c r="AN108" s="186" t="e">
        <f>+'Proyectos Base digitable'!#REF!</f>
        <v>#REF!</v>
      </c>
      <c r="AO108" s="186" t="e">
        <f>+'Proyectos Base digitable'!#REF!</f>
        <v>#REF!</v>
      </c>
      <c r="AP108" s="186" t="e">
        <f>+'Proyectos Base digitable'!#REF!</f>
        <v>#REF!</v>
      </c>
      <c r="AQ108" s="186" t="e">
        <f>+'Proyectos Base digitable'!#REF!</f>
        <v>#REF!</v>
      </c>
      <c r="AR108" s="186" t="e">
        <f>+'Proyectos Base digitable'!#REF!</f>
        <v>#REF!</v>
      </c>
      <c r="AS108" s="186" t="e">
        <f>+'Proyectos Base digitable'!#REF!</f>
        <v>#REF!</v>
      </c>
      <c r="AT108" s="187" t="e">
        <f>+'Proyectos Base digitable'!#REF!</f>
        <v>#REF!</v>
      </c>
      <c r="AU108" s="56" t="e">
        <f>+'Proyectos Base digitable'!#REF!</f>
        <v>#REF!</v>
      </c>
      <c r="AV108" s="56" t="e">
        <f>+'Proyectos Base digitable'!#REF!</f>
        <v>#REF!</v>
      </c>
      <c r="AW108" s="56" t="e">
        <f>+'Proyectos Base digitable'!#REF!</f>
        <v>#REF!</v>
      </c>
      <c r="AX108" s="56" t="e">
        <f>+'Proyectos Base digitable'!#REF!</f>
        <v>#REF!</v>
      </c>
      <c r="AY108" s="56" t="e">
        <f>+'Proyectos Base digitable'!#REF!</f>
        <v>#REF!</v>
      </c>
      <c r="AZ108" s="188" t="e">
        <f>+'Proyectos Base digitable'!#REF!</f>
        <v>#REF!</v>
      </c>
      <c r="BA108" s="188" t="e">
        <f>+'Proyectos Base digitable'!#REF!</f>
        <v>#REF!</v>
      </c>
    </row>
    <row r="109" spans="1:53" ht="12.5">
      <c r="A109" s="60" t="e">
        <f>+'Proyectos Base digitable'!#REF!</f>
        <v>#REF!</v>
      </c>
      <c r="B109" s="56" t="e">
        <f>+'Proyectos Base digitable'!#REF!</f>
        <v>#REF!</v>
      </c>
      <c r="C109" s="56" t="e">
        <f>+'Proyectos Base digitable'!#REF!</f>
        <v>#REF!</v>
      </c>
      <c r="D109" s="56" t="e">
        <f>+'Proyectos Base digitable'!#REF!</f>
        <v>#REF!</v>
      </c>
      <c r="E109" s="56" t="e">
        <f>+'Proyectos Base digitable'!#REF!</f>
        <v>#REF!</v>
      </c>
      <c r="F109" s="56" t="e">
        <f>+'Proyectos Base digitable'!#REF!</f>
        <v>#REF!</v>
      </c>
      <c r="G109" s="57" t="e">
        <f>+'Proyectos Base digitable'!#REF!</f>
        <v>#REF!</v>
      </c>
      <c r="H109" s="56" t="e">
        <f>+'Proyectos Base digitable'!#REF!</f>
        <v>#REF!</v>
      </c>
      <c r="I109" s="56" t="e">
        <f>+'Proyectos Base digitable'!#REF!</f>
        <v>#REF!</v>
      </c>
      <c r="J109" s="56" t="e">
        <f>+'Proyectos Base digitable'!#REF!</f>
        <v>#REF!</v>
      </c>
      <c r="K109" s="56" t="e">
        <f>+'Proyectos Base digitable'!#REF!</f>
        <v>#REF!</v>
      </c>
      <c r="L109" s="56" t="e">
        <f>+'Proyectos Base digitable'!#REF!</f>
        <v>#REF!</v>
      </c>
      <c r="M109" s="56" t="e">
        <f>+'Proyectos Base digitable'!#REF!</f>
        <v>#REF!</v>
      </c>
      <c r="N109" s="52" t="e">
        <f>+'Proyectos Base digitable'!#REF!</f>
        <v>#REF!</v>
      </c>
      <c r="O109" s="52" t="e">
        <f>+'Proyectos Base digitable'!#REF!</f>
        <v>#REF!</v>
      </c>
      <c r="P109" s="185" t="e">
        <f>+'Proyectos Base digitable'!#REF!</f>
        <v>#REF!</v>
      </c>
      <c r="Q109" s="58" t="e">
        <f>+'Proyectos Base digitable'!#REF!</f>
        <v>#REF!</v>
      </c>
      <c r="R109" s="58" t="e">
        <f>+'Proyectos Base digitable'!#REF!</f>
        <v>#REF!</v>
      </c>
      <c r="S109" s="58" t="e">
        <f>+'Proyectos Base digitable'!#REF!</f>
        <v>#REF!</v>
      </c>
      <c r="T109" s="58" t="e">
        <f>+'Proyectos Base digitable'!#REF!</f>
        <v>#REF!</v>
      </c>
      <c r="U109" s="63" t="e">
        <f>'Proyectos Base digitable'!#REF!</f>
        <v>#REF!</v>
      </c>
      <c r="V109" s="63" t="e">
        <f>'Proyectos Base digitable'!#REF!</f>
        <v>#REF!</v>
      </c>
      <c r="W109" s="63" t="e">
        <f>'Proyectos Base digitable'!#REF!</f>
        <v>#REF!</v>
      </c>
      <c r="X109" s="63" t="e">
        <f>'Proyectos Base digitable'!#REF!</f>
        <v>#REF!</v>
      </c>
      <c r="Y109" s="63" t="e">
        <f>'Proyectos Base digitable'!#REF!</f>
        <v>#REF!</v>
      </c>
      <c r="Z109" s="58" t="e">
        <f>+'Proyectos Base digitable'!#REF!</f>
        <v>#REF!</v>
      </c>
      <c r="AA109" s="58" t="e">
        <f>+'Proyectos Base digitable'!#REF!</f>
        <v>#REF!</v>
      </c>
      <c r="AB109" s="63" t="e">
        <f>'Proyectos Base digitable'!#REF!</f>
        <v>#REF!</v>
      </c>
      <c r="AC109" s="56" t="e">
        <f>+'Proyectos Base digitable'!#REF!</f>
        <v>#REF!</v>
      </c>
      <c r="AD109" s="52" t="e">
        <f>+'Proyectos Base digitable'!#REF!</f>
        <v>#REF!</v>
      </c>
      <c r="AE109" s="52" t="e">
        <f>+'Proyectos Base digitable'!#REF!</f>
        <v>#REF!</v>
      </c>
      <c r="AF109" s="52" t="e">
        <f>+'Proyectos Base digitable'!#REF!</f>
        <v>#REF!</v>
      </c>
      <c r="AG109" s="56" t="e">
        <f>+'Proyectos Base digitable'!#REF!</f>
        <v>#REF!</v>
      </c>
      <c r="AH109" s="52" t="e">
        <f>+'Proyectos Base digitable'!#REF!</f>
        <v>#REF!</v>
      </c>
      <c r="AI109" s="52" t="e">
        <f>+'Proyectos Base digitable'!#REF!</f>
        <v>#REF!</v>
      </c>
      <c r="AJ109" s="59" t="e">
        <f>+'Proyectos Base digitable'!#REF!</f>
        <v>#REF!</v>
      </c>
      <c r="AK109" s="186" t="e">
        <f>+'Proyectos Base digitable'!#REF!</f>
        <v>#REF!</v>
      </c>
      <c r="AL109" s="186" t="e">
        <f>+'Proyectos Base digitable'!#REF!</f>
        <v>#REF!</v>
      </c>
      <c r="AM109" s="186" t="e">
        <f>+'Proyectos Base digitable'!#REF!</f>
        <v>#REF!</v>
      </c>
      <c r="AN109" s="186" t="e">
        <f>+'Proyectos Base digitable'!#REF!</f>
        <v>#REF!</v>
      </c>
      <c r="AO109" s="186" t="e">
        <f>+'Proyectos Base digitable'!#REF!</f>
        <v>#REF!</v>
      </c>
      <c r="AP109" s="186" t="e">
        <f>+'Proyectos Base digitable'!#REF!</f>
        <v>#REF!</v>
      </c>
      <c r="AQ109" s="186" t="e">
        <f>+'Proyectos Base digitable'!#REF!</f>
        <v>#REF!</v>
      </c>
      <c r="AR109" s="186" t="e">
        <f>+'Proyectos Base digitable'!#REF!</f>
        <v>#REF!</v>
      </c>
      <c r="AS109" s="186" t="e">
        <f>+'Proyectos Base digitable'!#REF!</f>
        <v>#REF!</v>
      </c>
      <c r="AT109" s="187" t="e">
        <f>+'Proyectos Base digitable'!#REF!</f>
        <v>#REF!</v>
      </c>
      <c r="AU109" s="56" t="e">
        <f>+'Proyectos Base digitable'!#REF!</f>
        <v>#REF!</v>
      </c>
      <c r="AV109" s="56" t="e">
        <f>+'Proyectos Base digitable'!#REF!</f>
        <v>#REF!</v>
      </c>
      <c r="AW109" s="56" t="e">
        <f>+'Proyectos Base digitable'!#REF!</f>
        <v>#REF!</v>
      </c>
      <c r="AX109" s="56" t="e">
        <f>+'Proyectos Base digitable'!#REF!</f>
        <v>#REF!</v>
      </c>
      <c r="AY109" s="56" t="e">
        <f>+'Proyectos Base digitable'!#REF!</f>
        <v>#REF!</v>
      </c>
      <c r="AZ109" s="188" t="e">
        <f>+'Proyectos Base digitable'!#REF!</f>
        <v>#REF!</v>
      </c>
      <c r="BA109" s="188" t="e">
        <f>+'Proyectos Base digitable'!#REF!</f>
        <v>#REF!</v>
      </c>
    </row>
    <row r="110" spans="1:53" ht="12.5">
      <c r="A110" s="60" t="e">
        <f>+'Proyectos Base digitable'!#REF!</f>
        <v>#REF!</v>
      </c>
      <c r="B110" s="56" t="e">
        <f>+'Proyectos Base digitable'!#REF!</f>
        <v>#REF!</v>
      </c>
      <c r="C110" s="56" t="e">
        <f>+'Proyectos Base digitable'!#REF!</f>
        <v>#REF!</v>
      </c>
      <c r="D110" s="56" t="e">
        <f>+'Proyectos Base digitable'!#REF!</f>
        <v>#REF!</v>
      </c>
      <c r="E110" s="56" t="e">
        <f>+'Proyectos Base digitable'!#REF!</f>
        <v>#REF!</v>
      </c>
      <c r="F110" s="56" t="e">
        <f>+'Proyectos Base digitable'!#REF!</f>
        <v>#REF!</v>
      </c>
      <c r="G110" s="57" t="e">
        <f>+'Proyectos Base digitable'!#REF!</f>
        <v>#REF!</v>
      </c>
      <c r="H110" s="56" t="e">
        <f>+'Proyectos Base digitable'!#REF!</f>
        <v>#REF!</v>
      </c>
      <c r="I110" s="56" t="e">
        <f>+'Proyectos Base digitable'!#REF!</f>
        <v>#REF!</v>
      </c>
      <c r="J110" s="56" t="e">
        <f>+'Proyectos Base digitable'!#REF!</f>
        <v>#REF!</v>
      </c>
      <c r="K110" s="56" t="e">
        <f>+'Proyectos Base digitable'!#REF!</f>
        <v>#REF!</v>
      </c>
      <c r="L110" s="56" t="e">
        <f>+'Proyectos Base digitable'!#REF!</f>
        <v>#REF!</v>
      </c>
      <c r="M110" s="56" t="e">
        <f>+'Proyectos Base digitable'!#REF!</f>
        <v>#REF!</v>
      </c>
      <c r="N110" s="52" t="e">
        <f>+'Proyectos Base digitable'!#REF!</f>
        <v>#REF!</v>
      </c>
      <c r="O110" s="52" t="e">
        <f>+'Proyectos Base digitable'!#REF!</f>
        <v>#REF!</v>
      </c>
      <c r="P110" s="185" t="e">
        <f>+'Proyectos Base digitable'!#REF!</f>
        <v>#REF!</v>
      </c>
      <c r="Q110" s="58" t="e">
        <f>+'Proyectos Base digitable'!#REF!</f>
        <v>#REF!</v>
      </c>
      <c r="R110" s="58" t="e">
        <f>+'Proyectos Base digitable'!#REF!</f>
        <v>#REF!</v>
      </c>
      <c r="S110" s="58" t="e">
        <f>+'Proyectos Base digitable'!#REF!</f>
        <v>#REF!</v>
      </c>
      <c r="T110" s="58" t="e">
        <f>+'Proyectos Base digitable'!#REF!</f>
        <v>#REF!</v>
      </c>
      <c r="U110" s="63" t="e">
        <f>'Proyectos Base digitable'!#REF!</f>
        <v>#REF!</v>
      </c>
      <c r="V110" s="63" t="e">
        <f>'Proyectos Base digitable'!#REF!</f>
        <v>#REF!</v>
      </c>
      <c r="W110" s="63" t="e">
        <f>'Proyectos Base digitable'!#REF!</f>
        <v>#REF!</v>
      </c>
      <c r="X110" s="63" t="e">
        <f>'Proyectos Base digitable'!#REF!</f>
        <v>#REF!</v>
      </c>
      <c r="Y110" s="63" t="e">
        <f>'Proyectos Base digitable'!#REF!</f>
        <v>#REF!</v>
      </c>
      <c r="Z110" s="58" t="e">
        <f>+'Proyectos Base digitable'!#REF!</f>
        <v>#REF!</v>
      </c>
      <c r="AA110" s="58" t="e">
        <f>+'Proyectos Base digitable'!#REF!</f>
        <v>#REF!</v>
      </c>
      <c r="AB110" s="63" t="e">
        <f>'Proyectos Base digitable'!#REF!</f>
        <v>#REF!</v>
      </c>
      <c r="AC110" s="56" t="e">
        <f>+'Proyectos Base digitable'!#REF!</f>
        <v>#REF!</v>
      </c>
      <c r="AD110" s="52" t="e">
        <f>+'Proyectos Base digitable'!#REF!</f>
        <v>#REF!</v>
      </c>
      <c r="AE110" s="52" t="e">
        <f>+'Proyectos Base digitable'!#REF!</f>
        <v>#REF!</v>
      </c>
      <c r="AF110" s="52" t="e">
        <f>+'Proyectos Base digitable'!#REF!</f>
        <v>#REF!</v>
      </c>
      <c r="AG110" s="56" t="e">
        <f>+'Proyectos Base digitable'!#REF!</f>
        <v>#REF!</v>
      </c>
      <c r="AH110" s="52" t="e">
        <f>+'Proyectos Base digitable'!#REF!</f>
        <v>#REF!</v>
      </c>
      <c r="AI110" s="52" t="e">
        <f>+'Proyectos Base digitable'!#REF!</f>
        <v>#REF!</v>
      </c>
      <c r="AJ110" s="59" t="e">
        <f>+'Proyectos Base digitable'!#REF!</f>
        <v>#REF!</v>
      </c>
      <c r="AK110" s="186" t="e">
        <f>+'Proyectos Base digitable'!#REF!</f>
        <v>#REF!</v>
      </c>
      <c r="AL110" s="186" t="e">
        <f>+'Proyectos Base digitable'!#REF!</f>
        <v>#REF!</v>
      </c>
      <c r="AM110" s="186" t="e">
        <f>+'Proyectos Base digitable'!#REF!</f>
        <v>#REF!</v>
      </c>
      <c r="AN110" s="186" t="e">
        <f>+'Proyectos Base digitable'!#REF!</f>
        <v>#REF!</v>
      </c>
      <c r="AO110" s="186" t="e">
        <f>+'Proyectos Base digitable'!#REF!</f>
        <v>#REF!</v>
      </c>
      <c r="AP110" s="186" t="e">
        <f>+'Proyectos Base digitable'!#REF!</f>
        <v>#REF!</v>
      </c>
      <c r="AQ110" s="186" t="e">
        <f>+'Proyectos Base digitable'!#REF!</f>
        <v>#REF!</v>
      </c>
      <c r="AR110" s="186" t="e">
        <f>+'Proyectos Base digitable'!#REF!</f>
        <v>#REF!</v>
      </c>
      <c r="AS110" s="186" t="e">
        <f>+'Proyectos Base digitable'!#REF!</f>
        <v>#REF!</v>
      </c>
      <c r="AT110" s="187" t="e">
        <f>+'Proyectos Base digitable'!#REF!</f>
        <v>#REF!</v>
      </c>
      <c r="AU110" s="56" t="e">
        <f>+'Proyectos Base digitable'!#REF!</f>
        <v>#REF!</v>
      </c>
      <c r="AV110" s="56" t="e">
        <f>+'Proyectos Base digitable'!#REF!</f>
        <v>#REF!</v>
      </c>
      <c r="AW110" s="56" t="e">
        <f>+'Proyectos Base digitable'!#REF!</f>
        <v>#REF!</v>
      </c>
      <c r="AX110" s="56" t="e">
        <f>+'Proyectos Base digitable'!#REF!</f>
        <v>#REF!</v>
      </c>
      <c r="AY110" s="56" t="e">
        <f>+'Proyectos Base digitable'!#REF!</f>
        <v>#REF!</v>
      </c>
      <c r="AZ110" s="188" t="e">
        <f>+'Proyectos Base digitable'!#REF!</f>
        <v>#REF!</v>
      </c>
      <c r="BA110" s="188" t="e">
        <f>+'Proyectos Base digitable'!#REF!</f>
        <v>#REF!</v>
      </c>
    </row>
    <row r="111" spans="1:53" ht="12.5">
      <c r="A111" s="60" t="e">
        <f>+'Proyectos Base digitable'!#REF!</f>
        <v>#REF!</v>
      </c>
      <c r="B111" s="56" t="e">
        <f>+'Proyectos Base digitable'!#REF!</f>
        <v>#REF!</v>
      </c>
      <c r="C111" s="56" t="e">
        <f>+'Proyectos Base digitable'!#REF!</f>
        <v>#REF!</v>
      </c>
      <c r="D111" s="56" t="e">
        <f>+'Proyectos Base digitable'!#REF!</f>
        <v>#REF!</v>
      </c>
      <c r="E111" s="56" t="e">
        <f>+'Proyectos Base digitable'!#REF!</f>
        <v>#REF!</v>
      </c>
      <c r="F111" s="56" t="e">
        <f>+'Proyectos Base digitable'!#REF!</f>
        <v>#REF!</v>
      </c>
      <c r="G111" s="57" t="e">
        <f>+'Proyectos Base digitable'!#REF!</f>
        <v>#REF!</v>
      </c>
      <c r="H111" s="56" t="e">
        <f>+'Proyectos Base digitable'!#REF!</f>
        <v>#REF!</v>
      </c>
      <c r="I111" s="56" t="e">
        <f>+'Proyectos Base digitable'!#REF!</f>
        <v>#REF!</v>
      </c>
      <c r="J111" s="56" t="e">
        <f>+'Proyectos Base digitable'!#REF!</f>
        <v>#REF!</v>
      </c>
      <c r="K111" s="56" t="e">
        <f>+'Proyectos Base digitable'!#REF!</f>
        <v>#REF!</v>
      </c>
      <c r="L111" s="56" t="e">
        <f>+'Proyectos Base digitable'!#REF!</f>
        <v>#REF!</v>
      </c>
      <c r="M111" s="56" t="e">
        <f>+'Proyectos Base digitable'!#REF!</f>
        <v>#REF!</v>
      </c>
      <c r="N111" s="52" t="e">
        <f>+'Proyectos Base digitable'!#REF!</f>
        <v>#REF!</v>
      </c>
      <c r="O111" s="52" t="e">
        <f>+'Proyectos Base digitable'!#REF!</f>
        <v>#REF!</v>
      </c>
      <c r="P111" s="185" t="e">
        <f>+'Proyectos Base digitable'!#REF!</f>
        <v>#REF!</v>
      </c>
      <c r="Q111" s="58" t="e">
        <f>+'Proyectos Base digitable'!#REF!</f>
        <v>#REF!</v>
      </c>
      <c r="R111" s="58" t="e">
        <f>+'Proyectos Base digitable'!#REF!</f>
        <v>#REF!</v>
      </c>
      <c r="S111" s="58" t="e">
        <f>+'Proyectos Base digitable'!#REF!</f>
        <v>#REF!</v>
      </c>
      <c r="T111" s="58" t="e">
        <f>+'Proyectos Base digitable'!#REF!</f>
        <v>#REF!</v>
      </c>
      <c r="U111" s="63" t="e">
        <f>'Proyectos Base digitable'!#REF!</f>
        <v>#REF!</v>
      </c>
      <c r="V111" s="63" t="e">
        <f>'Proyectos Base digitable'!#REF!</f>
        <v>#REF!</v>
      </c>
      <c r="W111" s="63" t="e">
        <f>'Proyectos Base digitable'!#REF!</f>
        <v>#REF!</v>
      </c>
      <c r="X111" s="63" t="e">
        <f>'Proyectos Base digitable'!#REF!</f>
        <v>#REF!</v>
      </c>
      <c r="Y111" s="63" t="e">
        <f>'Proyectos Base digitable'!#REF!</f>
        <v>#REF!</v>
      </c>
      <c r="Z111" s="58" t="e">
        <f>+'Proyectos Base digitable'!#REF!</f>
        <v>#REF!</v>
      </c>
      <c r="AA111" s="58" t="e">
        <f>+'Proyectos Base digitable'!#REF!</f>
        <v>#REF!</v>
      </c>
      <c r="AB111" s="63" t="e">
        <f>'Proyectos Base digitable'!#REF!</f>
        <v>#REF!</v>
      </c>
      <c r="AC111" s="56" t="e">
        <f>+'Proyectos Base digitable'!#REF!</f>
        <v>#REF!</v>
      </c>
      <c r="AD111" s="52" t="e">
        <f>+'Proyectos Base digitable'!#REF!</f>
        <v>#REF!</v>
      </c>
      <c r="AE111" s="52" t="e">
        <f>+'Proyectos Base digitable'!#REF!</f>
        <v>#REF!</v>
      </c>
      <c r="AF111" s="52" t="e">
        <f>+'Proyectos Base digitable'!#REF!</f>
        <v>#REF!</v>
      </c>
      <c r="AG111" s="56" t="e">
        <f>+'Proyectos Base digitable'!#REF!</f>
        <v>#REF!</v>
      </c>
      <c r="AH111" s="52" t="e">
        <f>+'Proyectos Base digitable'!#REF!</f>
        <v>#REF!</v>
      </c>
      <c r="AI111" s="52" t="e">
        <f>+'Proyectos Base digitable'!#REF!</f>
        <v>#REF!</v>
      </c>
      <c r="AJ111" s="59" t="e">
        <f>+'Proyectos Base digitable'!#REF!</f>
        <v>#REF!</v>
      </c>
      <c r="AK111" s="186" t="e">
        <f>+'Proyectos Base digitable'!#REF!</f>
        <v>#REF!</v>
      </c>
      <c r="AL111" s="186" t="e">
        <f>+'Proyectos Base digitable'!#REF!</f>
        <v>#REF!</v>
      </c>
      <c r="AM111" s="186" t="e">
        <f>+'Proyectos Base digitable'!#REF!</f>
        <v>#REF!</v>
      </c>
      <c r="AN111" s="186" t="e">
        <f>+'Proyectos Base digitable'!#REF!</f>
        <v>#REF!</v>
      </c>
      <c r="AO111" s="186" t="e">
        <f>+'Proyectos Base digitable'!#REF!</f>
        <v>#REF!</v>
      </c>
      <c r="AP111" s="186" t="e">
        <f>+'Proyectos Base digitable'!#REF!</f>
        <v>#REF!</v>
      </c>
      <c r="AQ111" s="186" t="e">
        <f>+'Proyectos Base digitable'!#REF!</f>
        <v>#REF!</v>
      </c>
      <c r="AR111" s="186" t="e">
        <f>+'Proyectos Base digitable'!#REF!</f>
        <v>#REF!</v>
      </c>
      <c r="AS111" s="186" t="e">
        <f>+'Proyectos Base digitable'!#REF!</f>
        <v>#REF!</v>
      </c>
      <c r="AT111" s="187" t="e">
        <f>+'Proyectos Base digitable'!#REF!</f>
        <v>#REF!</v>
      </c>
      <c r="AU111" s="56" t="e">
        <f>+'Proyectos Base digitable'!#REF!</f>
        <v>#REF!</v>
      </c>
      <c r="AV111" s="56" t="e">
        <f>+'Proyectos Base digitable'!#REF!</f>
        <v>#REF!</v>
      </c>
      <c r="AW111" s="56" t="e">
        <f>+'Proyectos Base digitable'!#REF!</f>
        <v>#REF!</v>
      </c>
      <c r="AX111" s="56" t="e">
        <f>+'Proyectos Base digitable'!#REF!</f>
        <v>#REF!</v>
      </c>
      <c r="AY111" s="56" t="e">
        <f>+'Proyectos Base digitable'!#REF!</f>
        <v>#REF!</v>
      </c>
      <c r="AZ111" s="188" t="e">
        <f>+'Proyectos Base digitable'!#REF!</f>
        <v>#REF!</v>
      </c>
      <c r="BA111" s="188" t="e">
        <f>+'Proyectos Base digitable'!#REF!</f>
        <v>#REF!</v>
      </c>
    </row>
    <row r="112" spans="1:53" ht="12.5">
      <c r="A112" s="60" t="e">
        <f>+'Proyectos Base digitable'!#REF!</f>
        <v>#REF!</v>
      </c>
      <c r="B112" s="56" t="e">
        <f>+'Proyectos Base digitable'!#REF!</f>
        <v>#REF!</v>
      </c>
      <c r="C112" s="56" t="e">
        <f>+'Proyectos Base digitable'!#REF!</f>
        <v>#REF!</v>
      </c>
      <c r="D112" s="56" t="e">
        <f>+'Proyectos Base digitable'!#REF!</f>
        <v>#REF!</v>
      </c>
      <c r="E112" s="56" t="e">
        <f>+'Proyectos Base digitable'!#REF!</f>
        <v>#REF!</v>
      </c>
      <c r="F112" s="56" t="e">
        <f>+'Proyectos Base digitable'!#REF!</f>
        <v>#REF!</v>
      </c>
      <c r="G112" s="57" t="e">
        <f>+'Proyectos Base digitable'!#REF!</f>
        <v>#REF!</v>
      </c>
      <c r="H112" s="56" t="e">
        <f>+'Proyectos Base digitable'!#REF!</f>
        <v>#REF!</v>
      </c>
      <c r="I112" s="56" t="e">
        <f>+'Proyectos Base digitable'!#REF!</f>
        <v>#REF!</v>
      </c>
      <c r="J112" s="56" t="e">
        <f>+'Proyectos Base digitable'!#REF!</f>
        <v>#REF!</v>
      </c>
      <c r="K112" s="56" t="e">
        <f>+'Proyectos Base digitable'!#REF!</f>
        <v>#REF!</v>
      </c>
      <c r="L112" s="56" t="e">
        <f>+'Proyectos Base digitable'!#REF!</f>
        <v>#REF!</v>
      </c>
      <c r="M112" s="56" t="e">
        <f>+'Proyectos Base digitable'!#REF!</f>
        <v>#REF!</v>
      </c>
      <c r="N112" s="52" t="e">
        <f>+'Proyectos Base digitable'!#REF!</f>
        <v>#REF!</v>
      </c>
      <c r="O112" s="52" t="e">
        <f>+'Proyectos Base digitable'!#REF!</f>
        <v>#REF!</v>
      </c>
      <c r="P112" s="185" t="e">
        <f>+'Proyectos Base digitable'!#REF!</f>
        <v>#REF!</v>
      </c>
      <c r="Q112" s="58" t="e">
        <f>+'Proyectos Base digitable'!#REF!</f>
        <v>#REF!</v>
      </c>
      <c r="R112" s="58" t="e">
        <f>+'Proyectos Base digitable'!#REF!</f>
        <v>#REF!</v>
      </c>
      <c r="S112" s="58" t="e">
        <f>+'Proyectos Base digitable'!#REF!</f>
        <v>#REF!</v>
      </c>
      <c r="T112" s="58" t="e">
        <f>+'Proyectos Base digitable'!#REF!</f>
        <v>#REF!</v>
      </c>
      <c r="U112" s="63" t="e">
        <f>'Proyectos Base digitable'!#REF!</f>
        <v>#REF!</v>
      </c>
      <c r="V112" s="63" t="e">
        <f>'Proyectos Base digitable'!#REF!</f>
        <v>#REF!</v>
      </c>
      <c r="W112" s="63" t="e">
        <f>'Proyectos Base digitable'!#REF!</f>
        <v>#REF!</v>
      </c>
      <c r="X112" s="63" t="e">
        <f>'Proyectos Base digitable'!#REF!</f>
        <v>#REF!</v>
      </c>
      <c r="Y112" s="63" t="e">
        <f>'Proyectos Base digitable'!#REF!</f>
        <v>#REF!</v>
      </c>
      <c r="Z112" s="58" t="e">
        <f>+'Proyectos Base digitable'!#REF!</f>
        <v>#REF!</v>
      </c>
      <c r="AA112" s="58" t="e">
        <f>+'Proyectos Base digitable'!#REF!</f>
        <v>#REF!</v>
      </c>
      <c r="AB112" s="63" t="e">
        <f>'Proyectos Base digitable'!#REF!</f>
        <v>#REF!</v>
      </c>
      <c r="AC112" s="56" t="e">
        <f>+'Proyectos Base digitable'!#REF!</f>
        <v>#REF!</v>
      </c>
      <c r="AD112" s="52" t="e">
        <f>+'Proyectos Base digitable'!#REF!</f>
        <v>#REF!</v>
      </c>
      <c r="AE112" s="52" t="e">
        <f>+'Proyectos Base digitable'!#REF!</f>
        <v>#REF!</v>
      </c>
      <c r="AF112" s="52" t="e">
        <f>+'Proyectos Base digitable'!#REF!</f>
        <v>#REF!</v>
      </c>
      <c r="AG112" s="56" t="e">
        <f>+'Proyectos Base digitable'!#REF!</f>
        <v>#REF!</v>
      </c>
      <c r="AH112" s="52" t="e">
        <f>+'Proyectos Base digitable'!#REF!</f>
        <v>#REF!</v>
      </c>
      <c r="AI112" s="52" t="e">
        <f>+'Proyectos Base digitable'!#REF!</f>
        <v>#REF!</v>
      </c>
      <c r="AJ112" s="59" t="e">
        <f>+'Proyectos Base digitable'!#REF!</f>
        <v>#REF!</v>
      </c>
      <c r="AK112" s="186" t="e">
        <f>+'Proyectos Base digitable'!#REF!</f>
        <v>#REF!</v>
      </c>
      <c r="AL112" s="186" t="e">
        <f>+'Proyectos Base digitable'!#REF!</f>
        <v>#REF!</v>
      </c>
      <c r="AM112" s="186" t="e">
        <f>+'Proyectos Base digitable'!#REF!</f>
        <v>#REF!</v>
      </c>
      <c r="AN112" s="186" t="e">
        <f>+'Proyectos Base digitable'!#REF!</f>
        <v>#REF!</v>
      </c>
      <c r="AO112" s="186" t="e">
        <f>+'Proyectos Base digitable'!#REF!</f>
        <v>#REF!</v>
      </c>
      <c r="AP112" s="186" t="e">
        <f>+'Proyectos Base digitable'!#REF!</f>
        <v>#REF!</v>
      </c>
      <c r="AQ112" s="186" t="e">
        <f>+'Proyectos Base digitable'!#REF!</f>
        <v>#REF!</v>
      </c>
      <c r="AR112" s="186" t="e">
        <f>+'Proyectos Base digitable'!#REF!</f>
        <v>#REF!</v>
      </c>
      <c r="AS112" s="186" t="e">
        <f>+'Proyectos Base digitable'!#REF!</f>
        <v>#REF!</v>
      </c>
      <c r="AT112" s="187" t="e">
        <f>+'Proyectos Base digitable'!#REF!</f>
        <v>#REF!</v>
      </c>
      <c r="AU112" s="56" t="e">
        <f>+'Proyectos Base digitable'!#REF!</f>
        <v>#REF!</v>
      </c>
      <c r="AV112" s="56" t="e">
        <f>+'Proyectos Base digitable'!#REF!</f>
        <v>#REF!</v>
      </c>
      <c r="AW112" s="56" t="e">
        <f>+'Proyectos Base digitable'!#REF!</f>
        <v>#REF!</v>
      </c>
      <c r="AX112" s="56" t="e">
        <f>+'Proyectos Base digitable'!#REF!</f>
        <v>#REF!</v>
      </c>
      <c r="AY112" s="56" t="e">
        <f>+'Proyectos Base digitable'!#REF!</f>
        <v>#REF!</v>
      </c>
      <c r="AZ112" s="188" t="e">
        <f>+'Proyectos Base digitable'!#REF!</f>
        <v>#REF!</v>
      </c>
      <c r="BA112" s="188" t="e">
        <f>+'Proyectos Base digitable'!#REF!</f>
        <v>#REF!</v>
      </c>
    </row>
    <row r="113" spans="1:53" ht="12.5">
      <c r="A113" s="60" t="e">
        <f>+'Proyectos Base digitable'!#REF!</f>
        <v>#REF!</v>
      </c>
      <c r="B113" s="56" t="e">
        <f>+'Proyectos Base digitable'!#REF!</f>
        <v>#REF!</v>
      </c>
      <c r="C113" s="56" t="e">
        <f>+'Proyectos Base digitable'!#REF!</f>
        <v>#REF!</v>
      </c>
      <c r="D113" s="56" t="e">
        <f>+'Proyectos Base digitable'!#REF!</f>
        <v>#REF!</v>
      </c>
      <c r="E113" s="56" t="e">
        <f>+'Proyectos Base digitable'!#REF!</f>
        <v>#REF!</v>
      </c>
      <c r="F113" s="56" t="e">
        <f>+'Proyectos Base digitable'!#REF!</f>
        <v>#REF!</v>
      </c>
      <c r="G113" s="57" t="e">
        <f>+'Proyectos Base digitable'!#REF!</f>
        <v>#REF!</v>
      </c>
      <c r="H113" s="56" t="e">
        <f>+'Proyectos Base digitable'!#REF!</f>
        <v>#REF!</v>
      </c>
      <c r="I113" s="56" t="e">
        <f>+'Proyectos Base digitable'!#REF!</f>
        <v>#REF!</v>
      </c>
      <c r="J113" s="56" t="e">
        <f>+'Proyectos Base digitable'!#REF!</f>
        <v>#REF!</v>
      </c>
      <c r="K113" s="56" t="e">
        <f>+'Proyectos Base digitable'!#REF!</f>
        <v>#REF!</v>
      </c>
      <c r="L113" s="56" t="e">
        <f>+'Proyectos Base digitable'!#REF!</f>
        <v>#REF!</v>
      </c>
      <c r="M113" s="56" t="e">
        <f>+'Proyectos Base digitable'!#REF!</f>
        <v>#REF!</v>
      </c>
      <c r="N113" s="52" t="e">
        <f>+'Proyectos Base digitable'!#REF!</f>
        <v>#REF!</v>
      </c>
      <c r="O113" s="52" t="e">
        <f>+'Proyectos Base digitable'!#REF!</f>
        <v>#REF!</v>
      </c>
      <c r="P113" s="185" t="e">
        <f>+'Proyectos Base digitable'!#REF!</f>
        <v>#REF!</v>
      </c>
      <c r="Q113" s="58" t="e">
        <f>+'Proyectos Base digitable'!#REF!</f>
        <v>#REF!</v>
      </c>
      <c r="R113" s="58" t="e">
        <f>+'Proyectos Base digitable'!#REF!</f>
        <v>#REF!</v>
      </c>
      <c r="S113" s="58" t="e">
        <f>+'Proyectos Base digitable'!#REF!</f>
        <v>#REF!</v>
      </c>
      <c r="T113" s="58" t="e">
        <f>+'Proyectos Base digitable'!#REF!</f>
        <v>#REF!</v>
      </c>
      <c r="U113" s="63" t="e">
        <f>'Proyectos Base digitable'!#REF!</f>
        <v>#REF!</v>
      </c>
      <c r="V113" s="63" t="e">
        <f>'Proyectos Base digitable'!#REF!</f>
        <v>#REF!</v>
      </c>
      <c r="W113" s="63" t="e">
        <f>'Proyectos Base digitable'!#REF!</f>
        <v>#REF!</v>
      </c>
      <c r="X113" s="63" t="e">
        <f>'Proyectos Base digitable'!#REF!</f>
        <v>#REF!</v>
      </c>
      <c r="Y113" s="63" t="e">
        <f>'Proyectos Base digitable'!#REF!</f>
        <v>#REF!</v>
      </c>
      <c r="Z113" s="58" t="e">
        <f>+'Proyectos Base digitable'!#REF!</f>
        <v>#REF!</v>
      </c>
      <c r="AA113" s="58" t="e">
        <f>+'Proyectos Base digitable'!#REF!</f>
        <v>#REF!</v>
      </c>
      <c r="AB113" s="63" t="e">
        <f>'Proyectos Base digitable'!#REF!</f>
        <v>#REF!</v>
      </c>
      <c r="AC113" s="56" t="e">
        <f>+'Proyectos Base digitable'!#REF!</f>
        <v>#REF!</v>
      </c>
      <c r="AD113" s="52" t="e">
        <f>+'Proyectos Base digitable'!#REF!</f>
        <v>#REF!</v>
      </c>
      <c r="AE113" s="52" t="e">
        <f>+'Proyectos Base digitable'!#REF!</f>
        <v>#REF!</v>
      </c>
      <c r="AF113" s="52" t="e">
        <f>+'Proyectos Base digitable'!#REF!</f>
        <v>#REF!</v>
      </c>
      <c r="AG113" s="56" t="e">
        <f>+'Proyectos Base digitable'!#REF!</f>
        <v>#REF!</v>
      </c>
      <c r="AH113" s="52" t="e">
        <f>+'Proyectos Base digitable'!#REF!</f>
        <v>#REF!</v>
      </c>
      <c r="AI113" s="52" t="e">
        <f>+'Proyectos Base digitable'!#REF!</f>
        <v>#REF!</v>
      </c>
      <c r="AJ113" s="59" t="e">
        <f>+'Proyectos Base digitable'!#REF!</f>
        <v>#REF!</v>
      </c>
      <c r="AK113" s="186" t="e">
        <f>+'Proyectos Base digitable'!#REF!</f>
        <v>#REF!</v>
      </c>
      <c r="AL113" s="186" t="e">
        <f>+'Proyectos Base digitable'!#REF!</f>
        <v>#REF!</v>
      </c>
      <c r="AM113" s="186" t="e">
        <f>+'Proyectos Base digitable'!#REF!</f>
        <v>#REF!</v>
      </c>
      <c r="AN113" s="186" t="e">
        <f>+'Proyectos Base digitable'!#REF!</f>
        <v>#REF!</v>
      </c>
      <c r="AO113" s="186" t="e">
        <f>+'Proyectos Base digitable'!#REF!</f>
        <v>#REF!</v>
      </c>
      <c r="AP113" s="186" t="e">
        <f>+'Proyectos Base digitable'!#REF!</f>
        <v>#REF!</v>
      </c>
      <c r="AQ113" s="186" t="e">
        <f>+'Proyectos Base digitable'!#REF!</f>
        <v>#REF!</v>
      </c>
      <c r="AR113" s="186" t="e">
        <f>+'Proyectos Base digitable'!#REF!</f>
        <v>#REF!</v>
      </c>
      <c r="AS113" s="186" t="e">
        <f>+'Proyectos Base digitable'!#REF!</f>
        <v>#REF!</v>
      </c>
      <c r="AT113" s="187" t="e">
        <f>+'Proyectos Base digitable'!#REF!</f>
        <v>#REF!</v>
      </c>
      <c r="AU113" s="56" t="e">
        <f>+'Proyectos Base digitable'!#REF!</f>
        <v>#REF!</v>
      </c>
      <c r="AV113" s="56" t="e">
        <f>+'Proyectos Base digitable'!#REF!</f>
        <v>#REF!</v>
      </c>
      <c r="AW113" s="56" t="e">
        <f>+'Proyectos Base digitable'!#REF!</f>
        <v>#REF!</v>
      </c>
      <c r="AX113" s="56" t="e">
        <f>+'Proyectos Base digitable'!#REF!</f>
        <v>#REF!</v>
      </c>
      <c r="AY113" s="56" t="e">
        <f>+'Proyectos Base digitable'!#REF!</f>
        <v>#REF!</v>
      </c>
      <c r="AZ113" s="188" t="e">
        <f>+'Proyectos Base digitable'!#REF!</f>
        <v>#REF!</v>
      </c>
      <c r="BA113" s="188" t="e">
        <f>+'Proyectos Base digitable'!#REF!</f>
        <v>#REF!</v>
      </c>
    </row>
    <row r="114" spans="1:53" ht="12.5">
      <c r="A114" s="60" t="e">
        <f>+'Proyectos Base digitable'!#REF!</f>
        <v>#REF!</v>
      </c>
      <c r="B114" s="56" t="e">
        <f>+'Proyectos Base digitable'!#REF!</f>
        <v>#REF!</v>
      </c>
      <c r="C114" s="56" t="e">
        <f>+'Proyectos Base digitable'!#REF!</f>
        <v>#REF!</v>
      </c>
      <c r="D114" s="56" t="e">
        <f>+'Proyectos Base digitable'!#REF!</f>
        <v>#REF!</v>
      </c>
      <c r="E114" s="56" t="e">
        <f>+'Proyectos Base digitable'!#REF!</f>
        <v>#REF!</v>
      </c>
      <c r="F114" s="56" t="e">
        <f>+'Proyectos Base digitable'!#REF!</f>
        <v>#REF!</v>
      </c>
      <c r="G114" s="57" t="e">
        <f>+'Proyectos Base digitable'!#REF!</f>
        <v>#REF!</v>
      </c>
      <c r="H114" s="56" t="e">
        <f>+'Proyectos Base digitable'!#REF!</f>
        <v>#REF!</v>
      </c>
      <c r="I114" s="56" t="e">
        <f>+'Proyectos Base digitable'!#REF!</f>
        <v>#REF!</v>
      </c>
      <c r="J114" s="56" t="e">
        <f>+'Proyectos Base digitable'!#REF!</f>
        <v>#REF!</v>
      </c>
      <c r="K114" s="56" t="e">
        <f>+'Proyectos Base digitable'!#REF!</f>
        <v>#REF!</v>
      </c>
      <c r="L114" s="56" t="e">
        <f>+'Proyectos Base digitable'!#REF!</f>
        <v>#REF!</v>
      </c>
      <c r="M114" s="56" t="e">
        <f>+'Proyectos Base digitable'!#REF!</f>
        <v>#REF!</v>
      </c>
      <c r="N114" s="52" t="e">
        <f>+'Proyectos Base digitable'!#REF!</f>
        <v>#REF!</v>
      </c>
      <c r="O114" s="52" t="e">
        <f>+'Proyectos Base digitable'!#REF!</f>
        <v>#REF!</v>
      </c>
      <c r="P114" s="185" t="e">
        <f>+'Proyectos Base digitable'!#REF!</f>
        <v>#REF!</v>
      </c>
      <c r="Q114" s="58" t="e">
        <f>+'Proyectos Base digitable'!#REF!</f>
        <v>#REF!</v>
      </c>
      <c r="R114" s="58" t="e">
        <f>+'Proyectos Base digitable'!#REF!</f>
        <v>#REF!</v>
      </c>
      <c r="S114" s="58" t="e">
        <f>+'Proyectos Base digitable'!#REF!</f>
        <v>#REF!</v>
      </c>
      <c r="T114" s="58" t="e">
        <f>+'Proyectos Base digitable'!#REF!</f>
        <v>#REF!</v>
      </c>
      <c r="U114" s="63" t="e">
        <f>'Proyectos Base digitable'!#REF!</f>
        <v>#REF!</v>
      </c>
      <c r="V114" s="63" t="e">
        <f>'Proyectos Base digitable'!#REF!</f>
        <v>#REF!</v>
      </c>
      <c r="W114" s="63" t="e">
        <f>'Proyectos Base digitable'!#REF!</f>
        <v>#REF!</v>
      </c>
      <c r="X114" s="63" t="e">
        <f>'Proyectos Base digitable'!#REF!</f>
        <v>#REF!</v>
      </c>
      <c r="Y114" s="63" t="e">
        <f>'Proyectos Base digitable'!#REF!</f>
        <v>#REF!</v>
      </c>
      <c r="Z114" s="58" t="e">
        <f>+'Proyectos Base digitable'!#REF!</f>
        <v>#REF!</v>
      </c>
      <c r="AA114" s="58" t="e">
        <f>+'Proyectos Base digitable'!#REF!</f>
        <v>#REF!</v>
      </c>
      <c r="AB114" s="63" t="e">
        <f>'Proyectos Base digitable'!#REF!</f>
        <v>#REF!</v>
      </c>
      <c r="AC114" s="56" t="e">
        <f>+'Proyectos Base digitable'!#REF!</f>
        <v>#REF!</v>
      </c>
      <c r="AD114" s="52" t="e">
        <f>+'Proyectos Base digitable'!#REF!</f>
        <v>#REF!</v>
      </c>
      <c r="AE114" s="52" t="e">
        <f>+'Proyectos Base digitable'!#REF!</f>
        <v>#REF!</v>
      </c>
      <c r="AF114" s="52" t="e">
        <f>+'Proyectos Base digitable'!#REF!</f>
        <v>#REF!</v>
      </c>
      <c r="AG114" s="56" t="e">
        <f>+'Proyectos Base digitable'!#REF!</f>
        <v>#REF!</v>
      </c>
      <c r="AH114" s="52" t="e">
        <f>+'Proyectos Base digitable'!#REF!</f>
        <v>#REF!</v>
      </c>
      <c r="AI114" s="52" t="e">
        <f>+'Proyectos Base digitable'!#REF!</f>
        <v>#REF!</v>
      </c>
      <c r="AJ114" s="59" t="e">
        <f>+'Proyectos Base digitable'!#REF!</f>
        <v>#REF!</v>
      </c>
      <c r="AK114" s="186" t="e">
        <f>+'Proyectos Base digitable'!#REF!</f>
        <v>#REF!</v>
      </c>
      <c r="AL114" s="186" t="e">
        <f>+'Proyectos Base digitable'!#REF!</f>
        <v>#REF!</v>
      </c>
      <c r="AM114" s="186" t="e">
        <f>+'Proyectos Base digitable'!#REF!</f>
        <v>#REF!</v>
      </c>
      <c r="AN114" s="186" t="e">
        <f>+'Proyectos Base digitable'!#REF!</f>
        <v>#REF!</v>
      </c>
      <c r="AO114" s="186" t="e">
        <f>+'Proyectos Base digitable'!#REF!</f>
        <v>#REF!</v>
      </c>
      <c r="AP114" s="186" t="e">
        <f>+'Proyectos Base digitable'!#REF!</f>
        <v>#REF!</v>
      </c>
      <c r="AQ114" s="186" t="e">
        <f>+'Proyectos Base digitable'!#REF!</f>
        <v>#REF!</v>
      </c>
      <c r="AR114" s="186" t="e">
        <f>+'Proyectos Base digitable'!#REF!</f>
        <v>#REF!</v>
      </c>
      <c r="AS114" s="186" t="e">
        <f>+'Proyectos Base digitable'!#REF!</f>
        <v>#REF!</v>
      </c>
      <c r="AT114" s="187" t="e">
        <f>+'Proyectos Base digitable'!#REF!</f>
        <v>#REF!</v>
      </c>
      <c r="AU114" s="56" t="e">
        <f>+'Proyectos Base digitable'!#REF!</f>
        <v>#REF!</v>
      </c>
      <c r="AV114" s="56" t="e">
        <f>+'Proyectos Base digitable'!#REF!</f>
        <v>#REF!</v>
      </c>
      <c r="AW114" s="56" t="e">
        <f>+'Proyectos Base digitable'!#REF!</f>
        <v>#REF!</v>
      </c>
      <c r="AX114" s="56" t="e">
        <f>+'Proyectos Base digitable'!#REF!</f>
        <v>#REF!</v>
      </c>
      <c r="AY114" s="56" t="e">
        <f>+'Proyectos Base digitable'!#REF!</f>
        <v>#REF!</v>
      </c>
      <c r="AZ114" s="188" t="e">
        <f>+'Proyectos Base digitable'!#REF!</f>
        <v>#REF!</v>
      </c>
      <c r="BA114" s="188" t="e">
        <f>+'Proyectos Base digitable'!#REF!</f>
        <v>#REF!</v>
      </c>
    </row>
    <row r="115" spans="1:53" ht="12.5">
      <c r="A115" s="60" t="e">
        <f>+'Proyectos Base digitable'!#REF!</f>
        <v>#REF!</v>
      </c>
      <c r="B115" s="56" t="e">
        <f>+'Proyectos Base digitable'!#REF!</f>
        <v>#REF!</v>
      </c>
      <c r="C115" s="56" t="e">
        <f>+'Proyectos Base digitable'!#REF!</f>
        <v>#REF!</v>
      </c>
      <c r="D115" s="56" t="e">
        <f>+'Proyectos Base digitable'!#REF!</f>
        <v>#REF!</v>
      </c>
      <c r="E115" s="56" t="e">
        <f>+'Proyectos Base digitable'!#REF!</f>
        <v>#REF!</v>
      </c>
      <c r="F115" s="56" t="e">
        <f>+'Proyectos Base digitable'!#REF!</f>
        <v>#REF!</v>
      </c>
      <c r="G115" s="57" t="e">
        <f>+'Proyectos Base digitable'!#REF!</f>
        <v>#REF!</v>
      </c>
      <c r="H115" s="56" t="e">
        <f>+'Proyectos Base digitable'!#REF!</f>
        <v>#REF!</v>
      </c>
      <c r="I115" s="56" t="e">
        <f>+'Proyectos Base digitable'!#REF!</f>
        <v>#REF!</v>
      </c>
      <c r="J115" s="56" t="e">
        <f>+'Proyectos Base digitable'!#REF!</f>
        <v>#REF!</v>
      </c>
      <c r="K115" s="56" t="e">
        <f>+'Proyectos Base digitable'!#REF!</f>
        <v>#REF!</v>
      </c>
      <c r="L115" s="56" t="e">
        <f>+'Proyectos Base digitable'!#REF!</f>
        <v>#REF!</v>
      </c>
      <c r="M115" s="56" t="e">
        <f>+'Proyectos Base digitable'!#REF!</f>
        <v>#REF!</v>
      </c>
      <c r="N115" s="52" t="e">
        <f>+'Proyectos Base digitable'!#REF!</f>
        <v>#REF!</v>
      </c>
      <c r="O115" s="52" t="e">
        <f>+'Proyectos Base digitable'!#REF!</f>
        <v>#REF!</v>
      </c>
      <c r="P115" s="185" t="e">
        <f>+'Proyectos Base digitable'!#REF!</f>
        <v>#REF!</v>
      </c>
      <c r="Q115" s="58" t="e">
        <f>+'Proyectos Base digitable'!#REF!</f>
        <v>#REF!</v>
      </c>
      <c r="R115" s="58" t="e">
        <f>+'Proyectos Base digitable'!#REF!</f>
        <v>#REF!</v>
      </c>
      <c r="S115" s="58" t="e">
        <f>+'Proyectos Base digitable'!#REF!</f>
        <v>#REF!</v>
      </c>
      <c r="T115" s="58" t="e">
        <f>+'Proyectos Base digitable'!#REF!</f>
        <v>#REF!</v>
      </c>
      <c r="U115" s="63" t="e">
        <f>'Proyectos Base digitable'!#REF!</f>
        <v>#REF!</v>
      </c>
      <c r="V115" s="63" t="e">
        <f>'Proyectos Base digitable'!#REF!</f>
        <v>#REF!</v>
      </c>
      <c r="W115" s="63" t="e">
        <f>'Proyectos Base digitable'!#REF!</f>
        <v>#REF!</v>
      </c>
      <c r="X115" s="63" t="e">
        <f>'Proyectos Base digitable'!#REF!</f>
        <v>#REF!</v>
      </c>
      <c r="Y115" s="63" t="e">
        <f>'Proyectos Base digitable'!#REF!</f>
        <v>#REF!</v>
      </c>
      <c r="Z115" s="58" t="e">
        <f>+'Proyectos Base digitable'!#REF!</f>
        <v>#REF!</v>
      </c>
      <c r="AA115" s="58" t="e">
        <f>+'Proyectos Base digitable'!#REF!</f>
        <v>#REF!</v>
      </c>
      <c r="AB115" s="63" t="e">
        <f>'Proyectos Base digitable'!#REF!</f>
        <v>#REF!</v>
      </c>
      <c r="AC115" s="56" t="e">
        <f>+'Proyectos Base digitable'!#REF!</f>
        <v>#REF!</v>
      </c>
      <c r="AD115" s="52" t="e">
        <f>+'Proyectos Base digitable'!#REF!</f>
        <v>#REF!</v>
      </c>
      <c r="AE115" s="52" t="e">
        <f>+'Proyectos Base digitable'!#REF!</f>
        <v>#REF!</v>
      </c>
      <c r="AF115" s="52" t="e">
        <f>+'Proyectos Base digitable'!#REF!</f>
        <v>#REF!</v>
      </c>
      <c r="AG115" s="56" t="e">
        <f>+'Proyectos Base digitable'!#REF!</f>
        <v>#REF!</v>
      </c>
      <c r="AH115" s="52" t="e">
        <f>+'Proyectos Base digitable'!#REF!</f>
        <v>#REF!</v>
      </c>
      <c r="AI115" s="52" t="e">
        <f>+'Proyectos Base digitable'!#REF!</f>
        <v>#REF!</v>
      </c>
      <c r="AJ115" s="59" t="e">
        <f>+'Proyectos Base digitable'!#REF!</f>
        <v>#REF!</v>
      </c>
      <c r="AK115" s="186" t="e">
        <f>+'Proyectos Base digitable'!#REF!</f>
        <v>#REF!</v>
      </c>
      <c r="AL115" s="186" t="e">
        <f>+'Proyectos Base digitable'!#REF!</f>
        <v>#REF!</v>
      </c>
      <c r="AM115" s="186" t="e">
        <f>+'Proyectos Base digitable'!#REF!</f>
        <v>#REF!</v>
      </c>
      <c r="AN115" s="186" t="e">
        <f>+'Proyectos Base digitable'!#REF!</f>
        <v>#REF!</v>
      </c>
      <c r="AO115" s="186" t="e">
        <f>+'Proyectos Base digitable'!#REF!</f>
        <v>#REF!</v>
      </c>
      <c r="AP115" s="186" t="e">
        <f>+'Proyectos Base digitable'!#REF!</f>
        <v>#REF!</v>
      </c>
      <c r="AQ115" s="186" t="e">
        <f>+'Proyectos Base digitable'!#REF!</f>
        <v>#REF!</v>
      </c>
      <c r="AR115" s="186" t="e">
        <f>+'Proyectos Base digitable'!#REF!</f>
        <v>#REF!</v>
      </c>
      <c r="AS115" s="186" t="e">
        <f>+'Proyectos Base digitable'!#REF!</f>
        <v>#REF!</v>
      </c>
      <c r="AT115" s="187" t="e">
        <f>+'Proyectos Base digitable'!#REF!</f>
        <v>#REF!</v>
      </c>
      <c r="AU115" s="56" t="e">
        <f>+'Proyectos Base digitable'!#REF!</f>
        <v>#REF!</v>
      </c>
      <c r="AV115" s="56" t="e">
        <f>+'Proyectos Base digitable'!#REF!</f>
        <v>#REF!</v>
      </c>
      <c r="AW115" s="56" t="e">
        <f>+'Proyectos Base digitable'!#REF!</f>
        <v>#REF!</v>
      </c>
      <c r="AX115" s="56" t="e">
        <f>+'Proyectos Base digitable'!#REF!</f>
        <v>#REF!</v>
      </c>
      <c r="AY115" s="56" t="e">
        <f>+'Proyectos Base digitable'!#REF!</f>
        <v>#REF!</v>
      </c>
      <c r="AZ115" s="188" t="e">
        <f>+'Proyectos Base digitable'!#REF!</f>
        <v>#REF!</v>
      </c>
      <c r="BA115" s="188" t="e">
        <f>+'Proyectos Base digitable'!#REF!</f>
        <v>#REF!</v>
      </c>
    </row>
    <row r="116" spans="1:53" ht="12.5">
      <c r="A116" s="60" t="e">
        <f>+'Proyectos Base digitable'!#REF!</f>
        <v>#REF!</v>
      </c>
      <c r="B116" s="56" t="e">
        <f>+'Proyectos Base digitable'!#REF!</f>
        <v>#REF!</v>
      </c>
      <c r="C116" s="56" t="e">
        <f>+'Proyectos Base digitable'!#REF!</f>
        <v>#REF!</v>
      </c>
      <c r="D116" s="56" t="e">
        <f>+'Proyectos Base digitable'!#REF!</f>
        <v>#REF!</v>
      </c>
      <c r="E116" s="56" t="e">
        <f>+'Proyectos Base digitable'!#REF!</f>
        <v>#REF!</v>
      </c>
      <c r="F116" s="56" t="e">
        <f>+'Proyectos Base digitable'!#REF!</f>
        <v>#REF!</v>
      </c>
      <c r="G116" s="57" t="e">
        <f>+'Proyectos Base digitable'!#REF!</f>
        <v>#REF!</v>
      </c>
      <c r="H116" s="56" t="e">
        <f>+'Proyectos Base digitable'!#REF!</f>
        <v>#REF!</v>
      </c>
      <c r="I116" s="56" t="e">
        <f>+'Proyectos Base digitable'!#REF!</f>
        <v>#REF!</v>
      </c>
      <c r="J116" s="56" t="e">
        <f>+'Proyectos Base digitable'!#REF!</f>
        <v>#REF!</v>
      </c>
      <c r="K116" s="56" t="e">
        <f>+'Proyectos Base digitable'!#REF!</f>
        <v>#REF!</v>
      </c>
      <c r="L116" s="56" t="e">
        <f>+'Proyectos Base digitable'!#REF!</f>
        <v>#REF!</v>
      </c>
      <c r="M116" s="56" t="e">
        <f>+'Proyectos Base digitable'!#REF!</f>
        <v>#REF!</v>
      </c>
      <c r="N116" s="52" t="e">
        <f>+'Proyectos Base digitable'!#REF!</f>
        <v>#REF!</v>
      </c>
      <c r="O116" s="52" t="e">
        <f>+'Proyectos Base digitable'!#REF!</f>
        <v>#REF!</v>
      </c>
      <c r="P116" s="185" t="e">
        <f>+'Proyectos Base digitable'!#REF!</f>
        <v>#REF!</v>
      </c>
      <c r="Q116" s="58" t="e">
        <f>+'Proyectos Base digitable'!#REF!</f>
        <v>#REF!</v>
      </c>
      <c r="R116" s="58" t="e">
        <f>+'Proyectos Base digitable'!#REF!</f>
        <v>#REF!</v>
      </c>
      <c r="S116" s="58" t="e">
        <f>+'Proyectos Base digitable'!#REF!</f>
        <v>#REF!</v>
      </c>
      <c r="T116" s="58" t="e">
        <f>+'Proyectos Base digitable'!#REF!</f>
        <v>#REF!</v>
      </c>
      <c r="U116" s="63" t="e">
        <f>'Proyectos Base digitable'!#REF!</f>
        <v>#REF!</v>
      </c>
      <c r="V116" s="63" t="e">
        <f>'Proyectos Base digitable'!#REF!</f>
        <v>#REF!</v>
      </c>
      <c r="W116" s="63" t="e">
        <f>'Proyectos Base digitable'!#REF!</f>
        <v>#REF!</v>
      </c>
      <c r="X116" s="63" t="e">
        <f>'Proyectos Base digitable'!#REF!</f>
        <v>#REF!</v>
      </c>
      <c r="Y116" s="63" t="e">
        <f>'Proyectos Base digitable'!#REF!</f>
        <v>#REF!</v>
      </c>
      <c r="Z116" s="58" t="e">
        <f>+'Proyectos Base digitable'!#REF!</f>
        <v>#REF!</v>
      </c>
      <c r="AA116" s="58" t="e">
        <f>+'Proyectos Base digitable'!#REF!</f>
        <v>#REF!</v>
      </c>
      <c r="AB116" s="63" t="e">
        <f>'Proyectos Base digitable'!#REF!</f>
        <v>#REF!</v>
      </c>
      <c r="AC116" s="56" t="e">
        <f>+'Proyectos Base digitable'!#REF!</f>
        <v>#REF!</v>
      </c>
      <c r="AD116" s="52" t="e">
        <f>+'Proyectos Base digitable'!#REF!</f>
        <v>#REF!</v>
      </c>
      <c r="AE116" s="52" t="e">
        <f>+'Proyectos Base digitable'!#REF!</f>
        <v>#REF!</v>
      </c>
      <c r="AF116" s="52" t="e">
        <f>+'Proyectos Base digitable'!#REF!</f>
        <v>#REF!</v>
      </c>
      <c r="AG116" s="56" t="e">
        <f>+'Proyectos Base digitable'!#REF!</f>
        <v>#REF!</v>
      </c>
      <c r="AH116" s="52" t="e">
        <f>+'Proyectos Base digitable'!#REF!</f>
        <v>#REF!</v>
      </c>
      <c r="AI116" s="52" t="e">
        <f>+'Proyectos Base digitable'!#REF!</f>
        <v>#REF!</v>
      </c>
      <c r="AJ116" s="59" t="e">
        <f>+'Proyectos Base digitable'!#REF!</f>
        <v>#REF!</v>
      </c>
      <c r="AK116" s="186" t="e">
        <f>+'Proyectos Base digitable'!#REF!</f>
        <v>#REF!</v>
      </c>
      <c r="AL116" s="186" t="e">
        <f>+'Proyectos Base digitable'!#REF!</f>
        <v>#REF!</v>
      </c>
      <c r="AM116" s="186" t="e">
        <f>+'Proyectos Base digitable'!#REF!</f>
        <v>#REF!</v>
      </c>
      <c r="AN116" s="186" t="e">
        <f>+'Proyectos Base digitable'!#REF!</f>
        <v>#REF!</v>
      </c>
      <c r="AO116" s="186" t="e">
        <f>+'Proyectos Base digitable'!#REF!</f>
        <v>#REF!</v>
      </c>
      <c r="AP116" s="186" t="e">
        <f>+'Proyectos Base digitable'!#REF!</f>
        <v>#REF!</v>
      </c>
      <c r="AQ116" s="186" t="e">
        <f>+'Proyectos Base digitable'!#REF!</f>
        <v>#REF!</v>
      </c>
      <c r="AR116" s="186" t="e">
        <f>+'Proyectos Base digitable'!#REF!</f>
        <v>#REF!</v>
      </c>
      <c r="AS116" s="186" t="e">
        <f>+'Proyectos Base digitable'!#REF!</f>
        <v>#REF!</v>
      </c>
      <c r="AT116" s="187" t="e">
        <f>+'Proyectos Base digitable'!#REF!</f>
        <v>#REF!</v>
      </c>
      <c r="AU116" s="56" t="e">
        <f>+'Proyectos Base digitable'!#REF!</f>
        <v>#REF!</v>
      </c>
      <c r="AV116" s="56" t="e">
        <f>+'Proyectos Base digitable'!#REF!</f>
        <v>#REF!</v>
      </c>
      <c r="AW116" s="56" t="e">
        <f>+'Proyectos Base digitable'!#REF!</f>
        <v>#REF!</v>
      </c>
      <c r="AX116" s="56" t="e">
        <f>+'Proyectos Base digitable'!#REF!</f>
        <v>#REF!</v>
      </c>
      <c r="AY116" s="56" t="e">
        <f>+'Proyectos Base digitable'!#REF!</f>
        <v>#REF!</v>
      </c>
      <c r="AZ116" s="188" t="e">
        <f>+'Proyectos Base digitable'!#REF!</f>
        <v>#REF!</v>
      </c>
      <c r="BA116" s="188" t="e">
        <f>+'Proyectos Base digitable'!#REF!</f>
        <v>#REF!</v>
      </c>
    </row>
    <row r="117" spans="1:53" ht="12.5">
      <c r="A117" s="60" t="e">
        <f>+'Proyectos Base digitable'!#REF!</f>
        <v>#REF!</v>
      </c>
      <c r="B117" s="56" t="e">
        <f>+'Proyectos Base digitable'!#REF!</f>
        <v>#REF!</v>
      </c>
      <c r="C117" s="56" t="e">
        <f>+'Proyectos Base digitable'!#REF!</f>
        <v>#REF!</v>
      </c>
      <c r="D117" s="56" t="e">
        <f>+'Proyectos Base digitable'!#REF!</f>
        <v>#REF!</v>
      </c>
      <c r="E117" s="56" t="e">
        <f>+'Proyectos Base digitable'!#REF!</f>
        <v>#REF!</v>
      </c>
      <c r="F117" s="56" t="e">
        <f>+'Proyectos Base digitable'!#REF!</f>
        <v>#REF!</v>
      </c>
      <c r="G117" s="57" t="e">
        <f>+'Proyectos Base digitable'!#REF!</f>
        <v>#REF!</v>
      </c>
      <c r="H117" s="56" t="e">
        <f>+'Proyectos Base digitable'!#REF!</f>
        <v>#REF!</v>
      </c>
      <c r="I117" s="56" t="e">
        <f>+'Proyectos Base digitable'!#REF!</f>
        <v>#REF!</v>
      </c>
      <c r="J117" s="56" t="e">
        <f>+'Proyectos Base digitable'!#REF!</f>
        <v>#REF!</v>
      </c>
      <c r="K117" s="56" t="e">
        <f>+'Proyectos Base digitable'!#REF!</f>
        <v>#REF!</v>
      </c>
      <c r="L117" s="56" t="e">
        <f>+'Proyectos Base digitable'!#REF!</f>
        <v>#REF!</v>
      </c>
      <c r="M117" s="56" t="e">
        <f>+'Proyectos Base digitable'!#REF!</f>
        <v>#REF!</v>
      </c>
      <c r="N117" s="52" t="e">
        <f>+'Proyectos Base digitable'!#REF!</f>
        <v>#REF!</v>
      </c>
      <c r="O117" s="52" t="e">
        <f>+'Proyectos Base digitable'!#REF!</f>
        <v>#REF!</v>
      </c>
      <c r="P117" s="185" t="e">
        <f>+'Proyectos Base digitable'!#REF!</f>
        <v>#REF!</v>
      </c>
      <c r="Q117" s="58" t="e">
        <f>+'Proyectos Base digitable'!#REF!</f>
        <v>#REF!</v>
      </c>
      <c r="R117" s="58" t="e">
        <f>+'Proyectos Base digitable'!#REF!</f>
        <v>#REF!</v>
      </c>
      <c r="S117" s="58" t="e">
        <f>+'Proyectos Base digitable'!#REF!</f>
        <v>#REF!</v>
      </c>
      <c r="T117" s="58" t="e">
        <f>+'Proyectos Base digitable'!#REF!</f>
        <v>#REF!</v>
      </c>
      <c r="U117" s="63" t="e">
        <f>'Proyectos Base digitable'!#REF!</f>
        <v>#REF!</v>
      </c>
      <c r="V117" s="63" t="e">
        <f>'Proyectos Base digitable'!#REF!</f>
        <v>#REF!</v>
      </c>
      <c r="W117" s="63" t="e">
        <f>'Proyectos Base digitable'!#REF!</f>
        <v>#REF!</v>
      </c>
      <c r="X117" s="63" t="e">
        <f>'Proyectos Base digitable'!#REF!</f>
        <v>#REF!</v>
      </c>
      <c r="Y117" s="63" t="e">
        <f>'Proyectos Base digitable'!#REF!</f>
        <v>#REF!</v>
      </c>
      <c r="Z117" s="58" t="e">
        <f>+'Proyectos Base digitable'!#REF!</f>
        <v>#REF!</v>
      </c>
      <c r="AA117" s="58" t="e">
        <f>+'Proyectos Base digitable'!#REF!</f>
        <v>#REF!</v>
      </c>
      <c r="AB117" s="63" t="e">
        <f>'Proyectos Base digitable'!#REF!</f>
        <v>#REF!</v>
      </c>
      <c r="AC117" s="56" t="e">
        <f>+'Proyectos Base digitable'!#REF!</f>
        <v>#REF!</v>
      </c>
      <c r="AD117" s="52" t="e">
        <f>+'Proyectos Base digitable'!#REF!</f>
        <v>#REF!</v>
      </c>
      <c r="AE117" s="52" t="e">
        <f>+'Proyectos Base digitable'!#REF!</f>
        <v>#REF!</v>
      </c>
      <c r="AF117" s="52" t="e">
        <f>+'Proyectos Base digitable'!#REF!</f>
        <v>#REF!</v>
      </c>
      <c r="AG117" s="56" t="e">
        <f>+'Proyectos Base digitable'!#REF!</f>
        <v>#REF!</v>
      </c>
      <c r="AH117" s="52" t="e">
        <f>+'Proyectos Base digitable'!#REF!</f>
        <v>#REF!</v>
      </c>
      <c r="AI117" s="52" t="e">
        <f>+'Proyectos Base digitable'!#REF!</f>
        <v>#REF!</v>
      </c>
      <c r="AJ117" s="59" t="e">
        <f>+'Proyectos Base digitable'!#REF!</f>
        <v>#REF!</v>
      </c>
      <c r="AK117" s="186" t="e">
        <f>+'Proyectos Base digitable'!#REF!</f>
        <v>#REF!</v>
      </c>
      <c r="AL117" s="186" t="e">
        <f>+'Proyectos Base digitable'!#REF!</f>
        <v>#REF!</v>
      </c>
      <c r="AM117" s="186" t="e">
        <f>+'Proyectos Base digitable'!#REF!</f>
        <v>#REF!</v>
      </c>
      <c r="AN117" s="186" t="e">
        <f>+'Proyectos Base digitable'!#REF!</f>
        <v>#REF!</v>
      </c>
      <c r="AO117" s="186" t="e">
        <f>+'Proyectos Base digitable'!#REF!</f>
        <v>#REF!</v>
      </c>
      <c r="AP117" s="186" t="e">
        <f>+'Proyectos Base digitable'!#REF!</f>
        <v>#REF!</v>
      </c>
      <c r="AQ117" s="186" t="e">
        <f>+'Proyectos Base digitable'!#REF!</f>
        <v>#REF!</v>
      </c>
      <c r="AR117" s="186" t="e">
        <f>+'Proyectos Base digitable'!#REF!</f>
        <v>#REF!</v>
      </c>
      <c r="AS117" s="186" t="e">
        <f>+'Proyectos Base digitable'!#REF!</f>
        <v>#REF!</v>
      </c>
      <c r="AT117" s="187" t="e">
        <f>+'Proyectos Base digitable'!#REF!</f>
        <v>#REF!</v>
      </c>
      <c r="AU117" s="56" t="e">
        <f>+'Proyectos Base digitable'!#REF!</f>
        <v>#REF!</v>
      </c>
      <c r="AV117" s="56" t="e">
        <f>+'Proyectos Base digitable'!#REF!</f>
        <v>#REF!</v>
      </c>
      <c r="AW117" s="56" t="e">
        <f>+'Proyectos Base digitable'!#REF!</f>
        <v>#REF!</v>
      </c>
      <c r="AX117" s="56" t="e">
        <f>+'Proyectos Base digitable'!#REF!</f>
        <v>#REF!</v>
      </c>
      <c r="AY117" s="56" t="e">
        <f>+'Proyectos Base digitable'!#REF!</f>
        <v>#REF!</v>
      </c>
      <c r="AZ117" s="188" t="e">
        <f>+'Proyectos Base digitable'!#REF!</f>
        <v>#REF!</v>
      </c>
      <c r="BA117" s="188" t="e">
        <f>+'Proyectos Base digitable'!#REF!</f>
        <v>#REF!</v>
      </c>
    </row>
    <row r="118" spans="1:53" ht="12.5">
      <c r="A118" s="60" t="e">
        <f>+'Proyectos Base digitable'!#REF!</f>
        <v>#REF!</v>
      </c>
      <c r="B118" s="56" t="e">
        <f>+'Proyectos Base digitable'!#REF!</f>
        <v>#REF!</v>
      </c>
      <c r="C118" s="56" t="e">
        <f>+'Proyectos Base digitable'!#REF!</f>
        <v>#REF!</v>
      </c>
      <c r="D118" s="56" t="e">
        <f>+'Proyectos Base digitable'!#REF!</f>
        <v>#REF!</v>
      </c>
      <c r="E118" s="56" t="e">
        <f>+'Proyectos Base digitable'!#REF!</f>
        <v>#REF!</v>
      </c>
      <c r="F118" s="56" t="e">
        <f>+'Proyectos Base digitable'!#REF!</f>
        <v>#REF!</v>
      </c>
      <c r="G118" s="57" t="e">
        <f>+'Proyectos Base digitable'!#REF!</f>
        <v>#REF!</v>
      </c>
      <c r="H118" s="56" t="e">
        <f>+'Proyectos Base digitable'!#REF!</f>
        <v>#REF!</v>
      </c>
      <c r="I118" s="56" t="e">
        <f>+'Proyectos Base digitable'!#REF!</f>
        <v>#REF!</v>
      </c>
      <c r="J118" s="56" t="e">
        <f>+'Proyectos Base digitable'!#REF!</f>
        <v>#REF!</v>
      </c>
      <c r="K118" s="56" t="e">
        <f>+'Proyectos Base digitable'!#REF!</f>
        <v>#REF!</v>
      </c>
      <c r="L118" s="56" t="e">
        <f>+'Proyectos Base digitable'!#REF!</f>
        <v>#REF!</v>
      </c>
      <c r="M118" s="56" t="e">
        <f>+'Proyectos Base digitable'!#REF!</f>
        <v>#REF!</v>
      </c>
      <c r="N118" s="52" t="e">
        <f>+'Proyectos Base digitable'!#REF!</f>
        <v>#REF!</v>
      </c>
      <c r="O118" s="52" t="e">
        <f>+'Proyectos Base digitable'!#REF!</f>
        <v>#REF!</v>
      </c>
      <c r="P118" s="185" t="e">
        <f>+'Proyectos Base digitable'!#REF!</f>
        <v>#REF!</v>
      </c>
      <c r="Q118" s="58" t="e">
        <f>+'Proyectos Base digitable'!#REF!</f>
        <v>#REF!</v>
      </c>
      <c r="R118" s="58" t="e">
        <f>+'Proyectos Base digitable'!#REF!</f>
        <v>#REF!</v>
      </c>
      <c r="S118" s="58" t="e">
        <f>+'Proyectos Base digitable'!#REF!</f>
        <v>#REF!</v>
      </c>
      <c r="T118" s="58" t="e">
        <f>+'Proyectos Base digitable'!#REF!</f>
        <v>#REF!</v>
      </c>
      <c r="U118" s="63" t="e">
        <f>'Proyectos Base digitable'!#REF!</f>
        <v>#REF!</v>
      </c>
      <c r="V118" s="63" t="e">
        <f>'Proyectos Base digitable'!#REF!</f>
        <v>#REF!</v>
      </c>
      <c r="W118" s="63" t="e">
        <f>'Proyectos Base digitable'!#REF!</f>
        <v>#REF!</v>
      </c>
      <c r="X118" s="63" t="e">
        <f>'Proyectos Base digitable'!#REF!</f>
        <v>#REF!</v>
      </c>
      <c r="Y118" s="63" t="e">
        <f>'Proyectos Base digitable'!#REF!</f>
        <v>#REF!</v>
      </c>
      <c r="Z118" s="58" t="e">
        <f>+'Proyectos Base digitable'!#REF!</f>
        <v>#REF!</v>
      </c>
      <c r="AA118" s="58" t="e">
        <f>+'Proyectos Base digitable'!#REF!</f>
        <v>#REF!</v>
      </c>
      <c r="AB118" s="63" t="e">
        <f>'Proyectos Base digitable'!#REF!</f>
        <v>#REF!</v>
      </c>
      <c r="AC118" s="56" t="e">
        <f>+'Proyectos Base digitable'!#REF!</f>
        <v>#REF!</v>
      </c>
      <c r="AD118" s="52" t="e">
        <f>+'Proyectos Base digitable'!#REF!</f>
        <v>#REF!</v>
      </c>
      <c r="AE118" s="52" t="e">
        <f>+'Proyectos Base digitable'!#REF!</f>
        <v>#REF!</v>
      </c>
      <c r="AF118" s="52" t="e">
        <f>+'Proyectos Base digitable'!#REF!</f>
        <v>#REF!</v>
      </c>
      <c r="AG118" s="56" t="e">
        <f>+'Proyectos Base digitable'!#REF!</f>
        <v>#REF!</v>
      </c>
      <c r="AH118" s="52" t="e">
        <f>+'Proyectos Base digitable'!#REF!</f>
        <v>#REF!</v>
      </c>
      <c r="AI118" s="52" t="e">
        <f>+'Proyectos Base digitable'!#REF!</f>
        <v>#REF!</v>
      </c>
      <c r="AJ118" s="59" t="e">
        <f>+'Proyectos Base digitable'!#REF!</f>
        <v>#REF!</v>
      </c>
      <c r="AK118" s="186" t="e">
        <f>+'Proyectos Base digitable'!#REF!</f>
        <v>#REF!</v>
      </c>
      <c r="AL118" s="186" t="e">
        <f>+'Proyectos Base digitable'!#REF!</f>
        <v>#REF!</v>
      </c>
      <c r="AM118" s="186" t="e">
        <f>+'Proyectos Base digitable'!#REF!</f>
        <v>#REF!</v>
      </c>
      <c r="AN118" s="186" t="e">
        <f>+'Proyectos Base digitable'!#REF!</f>
        <v>#REF!</v>
      </c>
      <c r="AO118" s="186" t="e">
        <f>+'Proyectos Base digitable'!#REF!</f>
        <v>#REF!</v>
      </c>
      <c r="AP118" s="186" t="e">
        <f>+'Proyectos Base digitable'!#REF!</f>
        <v>#REF!</v>
      </c>
      <c r="AQ118" s="186" t="e">
        <f>+'Proyectos Base digitable'!#REF!</f>
        <v>#REF!</v>
      </c>
      <c r="AR118" s="186" t="e">
        <f>+'Proyectos Base digitable'!#REF!</f>
        <v>#REF!</v>
      </c>
      <c r="AS118" s="186" t="e">
        <f>+'Proyectos Base digitable'!#REF!</f>
        <v>#REF!</v>
      </c>
      <c r="AT118" s="187" t="e">
        <f>+'Proyectos Base digitable'!#REF!</f>
        <v>#REF!</v>
      </c>
      <c r="AU118" s="56" t="e">
        <f>+'Proyectos Base digitable'!#REF!</f>
        <v>#REF!</v>
      </c>
      <c r="AV118" s="56" t="e">
        <f>+'Proyectos Base digitable'!#REF!</f>
        <v>#REF!</v>
      </c>
      <c r="AW118" s="56" t="e">
        <f>+'Proyectos Base digitable'!#REF!</f>
        <v>#REF!</v>
      </c>
      <c r="AX118" s="56" t="e">
        <f>+'Proyectos Base digitable'!#REF!</f>
        <v>#REF!</v>
      </c>
      <c r="AY118" s="56" t="e">
        <f>+'Proyectos Base digitable'!#REF!</f>
        <v>#REF!</v>
      </c>
      <c r="AZ118" s="188" t="e">
        <f>+'Proyectos Base digitable'!#REF!</f>
        <v>#REF!</v>
      </c>
      <c r="BA118" s="188" t="e">
        <f>+'Proyectos Base digitable'!#REF!</f>
        <v>#REF!</v>
      </c>
    </row>
    <row r="119" spans="1:53" ht="12.5">
      <c r="A119" s="60" t="e">
        <f>+'Proyectos Base digitable'!#REF!</f>
        <v>#REF!</v>
      </c>
      <c r="B119" s="56" t="e">
        <f>+'Proyectos Base digitable'!#REF!</f>
        <v>#REF!</v>
      </c>
      <c r="C119" s="56" t="e">
        <f>+'Proyectos Base digitable'!#REF!</f>
        <v>#REF!</v>
      </c>
      <c r="D119" s="56" t="e">
        <f>+'Proyectos Base digitable'!#REF!</f>
        <v>#REF!</v>
      </c>
      <c r="E119" s="56" t="e">
        <f>+'Proyectos Base digitable'!#REF!</f>
        <v>#REF!</v>
      </c>
      <c r="F119" s="56" t="e">
        <f>+'Proyectos Base digitable'!#REF!</f>
        <v>#REF!</v>
      </c>
      <c r="G119" s="57" t="e">
        <f>+'Proyectos Base digitable'!#REF!</f>
        <v>#REF!</v>
      </c>
      <c r="H119" s="56" t="e">
        <f>+'Proyectos Base digitable'!#REF!</f>
        <v>#REF!</v>
      </c>
      <c r="I119" s="56" t="e">
        <f>+'Proyectos Base digitable'!#REF!</f>
        <v>#REF!</v>
      </c>
      <c r="J119" s="56" t="e">
        <f>+'Proyectos Base digitable'!#REF!</f>
        <v>#REF!</v>
      </c>
      <c r="K119" s="56" t="e">
        <f>+'Proyectos Base digitable'!#REF!</f>
        <v>#REF!</v>
      </c>
      <c r="L119" s="56" t="e">
        <f>+'Proyectos Base digitable'!#REF!</f>
        <v>#REF!</v>
      </c>
      <c r="M119" s="56" t="e">
        <f>+'Proyectos Base digitable'!#REF!</f>
        <v>#REF!</v>
      </c>
      <c r="N119" s="52" t="e">
        <f>+'Proyectos Base digitable'!#REF!</f>
        <v>#REF!</v>
      </c>
      <c r="O119" s="52" t="e">
        <f>+'Proyectos Base digitable'!#REF!</f>
        <v>#REF!</v>
      </c>
      <c r="P119" s="185" t="e">
        <f>+'Proyectos Base digitable'!#REF!</f>
        <v>#REF!</v>
      </c>
      <c r="Q119" s="58" t="e">
        <f>+'Proyectos Base digitable'!#REF!</f>
        <v>#REF!</v>
      </c>
      <c r="R119" s="58" t="e">
        <f>+'Proyectos Base digitable'!#REF!</f>
        <v>#REF!</v>
      </c>
      <c r="S119" s="58" t="e">
        <f>+'Proyectos Base digitable'!#REF!</f>
        <v>#REF!</v>
      </c>
      <c r="T119" s="58" t="e">
        <f>+'Proyectos Base digitable'!#REF!</f>
        <v>#REF!</v>
      </c>
      <c r="U119" s="63" t="e">
        <f>'Proyectos Base digitable'!#REF!</f>
        <v>#REF!</v>
      </c>
      <c r="V119" s="63" t="e">
        <f>'Proyectos Base digitable'!#REF!</f>
        <v>#REF!</v>
      </c>
      <c r="W119" s="63" t="e">
        <f>'Proyectos Base digitable'!#REF!</f>
        <v>#REF!</v>
      </c>
      <c r="X119" s="63" t="e">
        <f>'Proyectos Base digitable'!#REF!</f>
        <v>#REF!</v>
      </c>
      <c r="Y119" s="63" t="e">
        <f>'Proyectos Base digitable'!#REF!</f>
        <v>#REF!</v>
      </c>
      <c r="Z119" s="58" t="e">
        <f>+'Proyectos Base digitable'!#REF!</f>
        <v>#REF!</v>
      </c>
      <c r="AA119" s="58" t="e">
        <f>+'Proyectos Base digitable'!#REF!</f>
        <v>#REF!</v>
      </c>
      <c r="AB119" s="63" t="e">
        <f>'Proyectos Base digitable'!#REF!</f>
        <v>#REF!</v>
      </c>
      <c r="AC119" s="56" t="e">
        <f>+'Proyectos Base digitable'!#REF!</f>
        <v>#REF!</v>
      </c>
      <c r="AD119" s="52" t="e">
        <f>+'Proyectos Base digitable'!#REF!</f>
        <v>#REF!</v>
      </c>
      <c r="AE119" s="52" t="e">
        <f>+'Proyectos Base digitable'!#REF!</f>
        <v>#REF!</v>
      </c>
      <c r="AF119" s="52" t="e">
        <f>+'Proyectos Base digitable'!#REF!</f>
        <v>#REF!</v>
      </c>
      <c r="AG119" s="56" t="e">
        <f>+'Proyectos Base digitable'!#REF!</f>
        <v>#REF!</v>
      </c>
      <c r="AH119" s="52" t="e">
        <f>+'Proyectos Base digitable'!#REF!</f>
        <v>#REF!</v>
      </c>
      <c r="AI119" s="52" t="e">
        <f>+'Proyectos Base digitable'!#REF!</f>
        <v>#REF!</v>
      </c>
      <c r="AJ119" s="59" t="e">
        <f>+'Proyectos Base digitable'!#REF!</f>
        <v>#REF!</v>
      </c>
      <c r="AK119" s="186" t="e">
        <f>+'Proyectos Base digitable'!#REF!</f>
        <v>#REF!</v>
      </c>
      <c r="AL119" s="186" t="e">
        <f>+'Proyectos Base digitable'!#REF!</f>
        <v>#REF!</v>
      </c>
      <c r="AM119" s="186" t="e">
        <f>+'Proyectos Base digitable'!#REF!</f>
        <v>#REF!</v>
      </c>
      <c r="AN119" s="186" t="e">
        <f>+'Proyectos Base digitable'!#REF!</f>
        <v>#REF!</v>
      </c>
      <c r="AO119" s="186" t="e">
        <f>+'Proyectos Base digitable'!#REF!</f>
        <v>#REF!</v>
      </c>
      <c r="AP119" s="186" t="e">
        <f>+'Proyectos Base digitable'!#REF!</f>
        <v>#REF!</v>
      </c>
      <c r="AQ119" s="186" t="e">
        <f>+'Proyectos Base digitable'!#REF!</f>
        <v>#REF!</v>
      </c>
      <c r="AR119" s="186" t="e">
        <f>+'Proyectos Base digitable'!#REF!</f>
        <v>#REF!</v>
      </c>
      <c r="AS119" s="186" t="e">
        <f>+'Proyectos Base digitable'!#REF!</f>
        <v>#REF!</v>
      </c>
      <c r="AT119" s="187" t="e">
        <f>+'Proyectos Base digitable'!#REF!</f>
        <v>#REF!</v>
      </c>
      <c r="AU119" s="56" t="e">
        <f>+'Proyectos Base digitable'!#REF!</f>
        <v>#REF!</v>
      </c>
      <c r="AV119" s="56" t="e">
        <f>+'Proyectos Base digitable'!#REF!</f>
        <v>#REF!</v>
      </c>
      <c r="AW119" s="56" t="e">
        <f>+'Proyectos Base digitable'!#REF!</f>
        <v>#REF!</v>
      </c>
      <c r="AX119" s="56" t="e">
        <f>+'Proyectos Base digitable'!#REF!</f>
        <v>#REF!</v>
      </c>
      <c r="AY119" s="56" t="e">
        <f>+'Proyectos Base digitable'!#REF!</f>
        <v>#REF!</v>
      </c>
      <c r="AZ119" s="188" t="e">
        <f>+'Proyectos Base digitable'!#REF!</f>
        <v>#REF!</v>
      </c>
      <c r="BA119" s="188" t="e">
        <f>+'Proyectos Base digitable'!#REF!</f>
        <v>#REF!</v>
      </c>
    </row>
    <row r="120" spans="1:53" ht="12.5">
      <c r="A120" s="60" t="e">
        <f>+'Proyectos Base digitable'!#REF!</f>
        <v>#REF!</v>
      </c>
      <c r="B120" s="56" t="e">
        <f>+'Proyectos Base digitable'!#REF!</f>
        <v>#REF!</v>
      </c>
      <c r="C120" s="56" t="e">
        <f>+'Proyectos Base digitable'!#REF!</f>
        <v>#REF!</v>
      </c>
      <c r="D120" s="56" t="e">
        <f>+'Proyectos Base digitable'!#REF!</f>
        <v>#REF!</v>
      </c>
      <c r="E120" s="56" t="e">
        <f>+'Proyectos Base digitable'!#REF!</f>
        <v>#REF!</v>
      </c>
      <c r="F120" s="56" t="e">
        <f>+'Proyectos Base digitable'!#REF!</f>
        <v>#REF!</v>
      </c>
      <c r="G120" s="57" t="e">
        <f>+'Proyectos Base digitable'!#REF!</f>
        <v>#REF!</v>
      </c>
      <c r="H120" s="56" t="e">
        <f>+'Proyectos Base digitable'!#REF!</f>
        <v>#REF!</v>
      </c>
      <c r="I120" s="56" t="e">
        <f>+'Proyectos Base digitable'!#REF!</f>
        <v>#REF!</v>
      </c>
      <c r="J120" s="56" t="e">
        <f>+'Proyectos Base digitable'!#REF!</f>
        <v>#REF!</v>
      </c>
      <c r="K120" s="56" t="e">
        <f>+'Proyectos Base digitable'!#REF!</f>
        <v>#REF!</v>
      </c>
      <c r="L120" s="56" t="e">
        <f>+'Proyectos Base digitable'!#REF!</f>
        <v>#REF!</v>
      </c>
      <c r="M120" s="56" t="e">
        <f>+'Proyectos Base digitable'!#REF!</f>
        <v>#REF!</v>
      </c>
      <c r="N120" s="52" t="e">
        <f>+'Proyectos Base digitable'!#REF!</f>
        <v>#REF!</v>
      </c>
      <c r="O120" s="52" t="e">
        <f>+'Proyectos Base digitable'!#REF!</f>
        <v>#REF!</v>
      </c>
      <c r="P120" s="185" t="e">
        <f>+'Proyectos Base digitable'!#REF!</f>
        <v>#REF!</v>
      </c>
      <c r="Q120" s="58" t="e">
        <f>+'Proyectos Base digitable'!#REF!</f>
        <v>#REF!</v>
      </c>
      <c r="R120" s="58" t="e">
        <f>+'Proyectos Base digitable'!#REF!</f>
        <v>#REF!</v>
      </c>
      <c r="S120" s="58" t="e">
        <f>+'Proyectos Base digitable'!#REF!</f>
        <v>#REF!</v>
      </c>
      <c r="T120" s="58" t="e">
        <f>+'Proyectos Base digitable'!#REF!</f>
        <v>#REF!</v>
      </c>
      <c r="U120" s="63" t="e">
        <f>'Proyectos Base digitable'!#REF!</f>
        <v>#REF!</v>
      </c>
      <c r="V120" s="63" t="e">
        <f>'Proyectos Base digitable'!#REF!</f>
        <v>#REF!</v>
      </c>
      <c r="W120" s="63" t="e">
        <f>'Proyectos Base digitable'!#REF!</f>
        <v>#REF!</v>
      </c>
      <c r="X120" s="63" t="e">
        <f>'Proyectos Base digitable'!#REF!</f>
        <v>#REF!</v>
      </c>
      <c r="Y120" s="63" t="e">
        <f>'Proyectos Base digitable'!#REF!</f>
        <v>#REF!</v>
      </c>
      <c r="Z120" s="58" t="e">
        <f>+'Proyectos Base digitable'!#REF!</f>
        <v>#REF!</v>
      </c>
      <c r="AA120" s="58" t="e">
        <f>+'Proyectos Base digitable'!#REF!</f>
        <v>#REF!</v>
      </c>
      <c r="AB120" s="63" t="e">
        <f>'Proyectos Base digitable'!#REF!</f>
        <v>#REF!</v>
      </c>
      <c r="AC120" s="56" t="e">
        <f>+'Proyectos Base digitable'!#REF!</f>
        <v>#REF!</v>
      </c>
      <c r="AD120" s="52" t="e">
        <f>+'Proyectos Base digitable'!#REF!</f>
        <v>#REF!</v>
      </c>
      <c r="AE120" s="52" t="e">
        <f>+'Proyectos Base digitable'!#REF!</f>
        <v>#REF!</v>
      </c>
      <c r="AF120" s="52" t="e">
        <f>+'Proyectos Base digitable'!#REF!</f>
        <v>#REF!</v>
      </c>
      <c r="AG120" s="56" t="e">
        <f>+'Proyectos Base digitable'!#REF!</f>
        <v>#REF!</v>
      </c>
      <c r="AH120" s="52" t="e">
        <f>+'Proyectos Base digitable'!#REF!</f>
        <v>#REF!</v>
      </c>
      <c r="AI120" s="52" t="e">
        <f>+'Proyectos Base digitable'!#REF!</f>
        <v>#REF!</v>
      </c>
      <c r="AJ120" s="59" t="e">
        <f>+'Proyectos Base digitable'!#REF!</f>
        <v>#REF!</v>
      </c>
      <c r="AK120" s="186" t="e">
        <f>+'Proyectos Base digitable'!#REF!</f>
        <v>#REF!</v>
      </c>
      <c r="AL120" s="186" t="e">
        <f>+'Proyectos Base digitable'!#REF!</f>
        <v>#REF!</v>
      </c>
      <c r="AM120" s="186" t="e">
        <f>+'Proyectos Base digitable'!#REF!</f>
        <v>#REF!</v>
      </c>
      <c r="AN120" s="186" t="e">
        <f>+'Proyectos Base digitable'!#REF!</f>
        <v>#REF!</v>
      </c>
      <c r="AO120" s="186" t="e">
        <f>+'Proyectos Base digitable'!#REF!</f>
        <v>#REF!</v>
      </c>
      <c r="AP120" s="186" t="e">
        <f>+'Proyectos Base digitable'!#REF!</f>
        <v>#REF!</v>
      </c>
      <c r="AQ120" s="186" t="e">
        <f>+'Proyectos Base digitable'!#REF!</f>
        <v>#REF!</v>
      </c>
      <c r="AR120" s="186" t="e">
        <f>+'Proyectos Base digitable'!#REF!</f>
        <v>#REF!</v>
      </c>
      <c r="AS120" s="186" t="e">
        <f>+'Proyectos Base digitable'!#REF!</f>
        <v>#REF!</v>
      </c>
      <c r="AT120" s="187" t="e">
        <f>+'Proyectos Base digitable'!#REF!</f>
        <v>#REF!</v>
      </c>
      <c r="AU120" s="56" t="e">
        <f>+'Proyectos Base digitable'!#REF!</f>
        <v>#REF!</v>
      </c>
      <c r="AV120" s="56" t="e">
        <f>+'Proyectos Base digitable'!#REF!</f>
        <v>#REF!</v>
      </c>
      <c r="AW120" s="56" t="e">
        <f>+'Proyectos Base digitable'!#REF!</f>
        <v>#REF!</v>
      </c>
      <c r="AX120" s="56" t="e">
        <f>+'Proyectos Base digitable'!#REF!</f>
        <v>#REF!</v>
      </c>
      <c r="AY120" s="56" t="e">
        <f>+'Proyectos Base digitable'!#REF!</f>
        <v>#REF!</v>
      </c>
      <c r="AZ120" s="188" t="e">
        <f>+'Proyectos Base digitable'!#REF!</f>
        <v>#REF!</v>
      </c>
      <c r="BA120" s="188" t="e">
        <f>+'Proyectos Base digitable'!#REF!</f>
        <v>#REF!</v>
      </c>
    </row>
    <row r="121" spans="1:53" ht="12.5">
      <c r="A121" s="60" t="e">
        <f>+'Proyectos Base digitable'!#REF!</f>
        <v>#REF!</v>
      </c>
      <c r="B121" s="56" t="e">
        <f>+'Proyectos Base digitable'!#REF!</f>
        <v>#REF!</v>
      </c>
      <c r="C121" s="56" t="e">
        <f>+'Proyectos Base digitable'!#REF!</f>
        <v>#REF!</v>
      </c>
      <c r="D121" s="56" t="e">
        <f>+'Proyectos Base digitable'!#REF!</f>
        <v>#REF!</v>
      </c>
      <c r="E121" s="56" t="e">
        <f>+'Proyectos Base digitable'!#REF!</f>
        <v>#REF!</v>
      </c>
      <c r="F121" s="56" t="e">
        <f>+'Proyectos Base digitable'!#REF!</f>
        <v>#REF!</v>
      </c>
      <c r="G121" s="57" t="e">
        <f>+'Proyectos Base digitable'!#REF!</f>
        <v>#REF!</v>
      </c>
      <c r="H121" s="56" t="e">
        <f>+'Proyectos Base digitable'!#REF!</f>
        <v>#REF!</v>
      </c>
      <c r="I121" s="56" t="e">
        <f>+'Proyectos Base digitable'!#REF!</f>
        <v>#REF!</v>
      </c>
      <c r="J121" s="56" t="e">
        <f>+'Proyectos Base digitable'!#REF!</f>
        <v>#REF!</v>
      </c>
      <c r="K121" s="56" t="e">
        <f>+'Proyectos Base digitable'!#REF!</f>
        <v>#REF!</v>
      </c>
      <c r="L121" s="56" t="e">
        <f>+'Proyectos Base digitable'!#REF!</f>
        <v>#REF!</v>
      </c>
      <c r="M121" s="56" t="e">
        <f>+'Proyectos Base digitable'!#REF!</f>
        <v>#REF!</v>
      </c>
      <c r="N121" s="52" t="e">
        <f>+'Proyectos Base digitable'!#REF!</f>
        <v>#REF!</v>
      </c>
      <c r="O121" s="52" t="e">
        <f>+'Proyectos Base digitable'!#REF!</f>
        <v>#REF!</v>
      </c>
      <c r="P121" s="185" t="e">
        <f>+'Proyectos Base digitable'!#REF!</f>
        <v>#REF!</v>
      </c>
      <c r="Q121" s="58" t="e">
        <f>+'Proyectos Base digitable'!#REF!</f>
        <v>#REF!</v>
      </c>
      <c r="R121" s="58" t="e">
        <f>+'Proyectos Base digitable'!#REF!</f>
        <v>#REF!</v>
      </c>
      <c r="S121" s="58" t="e">
        <f>+'Proyectos Base digitable'!#REF!</f>
        <v>#REF!</v>
      </c>
      <c r="T121" s="58" t="e">
        <f>+'Proyectos Base digitable'!#REF!</f>
        <v>#REF!</v>
      </c>
      <c r="U121" s="63" t="e">
        <f>'Proyectos Base digitable'!#REF!</f>
        <v>#REF!</v>
      </c>
      <c r="V121" s="63" t="e">
        <f>'Proyectos Base digitable'!#REF!</f>
        <v>#REF!</v>
      </c>
      <c r="W121" s="63" t="e">
        <f>'Proyectos Base digitable'!#REF!</f>
        <v>#REF!</v>
      </c>
      <c r="X121" s="63" t="e">
        <f>'Proyectos Base digitable'!#REF!</f>
        <v>#REF!</v>
      </c>
      <c r="Y121" s="63" t="e">
        <f>'Proyectos Base digitable'!#REF!</f>
        <v>#REF!</v>
      </c>
      <c r="Z121" s="58" t="e">
        <f>+'Proyectos Base digitable'!#REF!</f>
        <v>#REF!</v>
      </c>
      <c r="AA121" s="58" t="e">
        <f>+'Proyectos Base digitable'!#REF!</f>
        <v>#REF!</v>
      </c>
      <c r="AB121" s="63" t="e">
        <f>'Proyectos Base digitable'!#REF!</f>
        <v>#REF!</v>
      </c>
      <c r="AC121" s="56" t="e">
        <f>+'Proyectos Base digitable'!#REF!</f>
        <v>#REF!</v>
      </c>
      <c r="AD121" s="52" t="e">
        <f>+'Proyectos Base digitable'!#REF!</f>
        <v>#REF!</v>
      </c>
      <c r="AE121" s="52" t="e">
        <f>+'Proyectos Base digitable'!#REF!</f>
        <v>#REF!</v>
      </c>
      <c r="AF121" s="52" t="e">
        <f>+'Proyectos Base digitable'!#REF!</f>
        <v>#REF!</v>
      </c>
      <c r="AG121" s="56" t="e">
        <f>+'Proyectos Base digitable'!#REF!</f>
        <v>#REF!</v>
      </c>
      <c r="AH121" s="52" t="e">
        <f>+'Proyectos Base digitable'!#REF!</f>
        <v>#REF!</v>
      </c>
      <c r="AI121" s="52" t="e">
        <f>+'Proyectos Base digitable'!#REF!</f>
        <v>#REF!</v>
      </c>
      <c r="AJ121" s="59" t="e">
        <f>+'Proyectos Base digitable'!#REF!</f>
        <v>#REF!</v>
      </c>
      <c r="AK121" s="186" t="e">
        <f>+'Proyectos Base digitable'!#REF!</f>
        <v>#REF!</v>
      </c>
      <c r="AL121" s="186" t="e">
        <f>+'Proyectos Base digitable'!#REF!</f>
        <v>#REF!</v>
      </c>
      <c r="AM121" s="186" t="e">
        <f>+'Proyectos Base digitable'!#REF!</f>
        <v>#REF!</v>
      </c>
      <c r="AN121" s="186" t="e">
        <f>+'Proyectos Base digitable'!#REF!</f>
        <v>#REF!</v>
      </c>
      <c r="AO121" s="186" t="e">
        <f>+'Proyectos Base digitable'!#REF!</f>
        <v>#REF!</v>
      </c>
      <c r="AP121" s="186" t="e">
        <f>+'Proyectos Base digitable'!#REF!</f>
        <v>#REF!</v>
      </c>
      <c r="AQ121" s="186" t="e">
        <f>+'Proyectos Base digitable'!#REF!</f>
        <v>#REF!</v>
      </c>
      <c r="AR121" s="186" t="e">
        <f>+'Proyectos Base digitable'!#REF!</f>
        <v>#REF!</v>
      </c>
      <c r="AS121" s="186" t="e">
        <f>+'Proyectos Base digitable'!#REF!</f>
        <v>#REF!</v>
      </c>
      <c r="AT121" s="187" t="e">
        <f>+'Proyectos Base digitable'!#REF!</f>
        <v>#REF!</v>
      </c>
      <c r="AU121" s="56" t="e">
        <f>+'Proyectos Base digitable'!#REF!</f>
        <v>#REF!</v>
      </c>
      <c r="AV121" s="56" t="e">
        <f>+'Proyectos Base digitable'!#REF!</f>
        <v>#REF!</v>
      </c>
      <c r="AW121" s="56" t="e">
        <f>+'Proyectos Base digitable'!#REF!</f>
        <v>#REF!</v>
      </c>
      <c r="AX121" s="56" t="e">
        <f>+'Proyectos Base digitable'!#REF!</f>
        <v>#REF!</v>
      </c>
      <c r="AY121" s="56" t="e">
        <f>+'Proyectos Base digitable'!#REF!</f>
        <v>#REF!</v>
      </c>
      <c r="AZ121" s="188" t="e">
        <f>+'Proyectos Base digitable'!#REF!</f>
        <v>#REF!</v>
      </c>
      <c r="BA121" s="188" t="e">
        <f>+'Proyectos Base digitable'!#REF!</f>
        <v>#REF!</v>
      </c>
    </row>
    <row r="122" spans="1:53" ht="12.5">
      <c r="A122" s="60" t="e">
        <f>+'Proyectos Base digitable'!#REF!</f>
        <v>#REF!</v>
      </c>
      <c r="B122" s="56" t="e">
        <f>+'Proyectos Base digitable'!#REF!</f>
        <v>#REF!</v>
      </c>
      <c r="C122" s="56" t="e">
        <f>+'Proyectos Base digitable'!#REF!</f>
        <v>#REF!</v>
      </c>
      <c r="D122" s="56" t="e">
        <f>+'Proyectos Base digitable'!#REF!</f>
        <v>#REF!</v>
      </c>
      <c r="E122" s="56" t="e">
        <f>+'Proyectos Base digitable'!#REF!</f>
        <v>#REF!</v>
      </c>
      <c r="F122" s="56" t="e">
        <f>+'Proyectos Base digitable'!#REF!</f>
        <v>#REF!</v>
      </c>
      <c r="G122" s="57" t="e">
        <f>+'Proyectos Base digitable'!#REF!</f>
        <v>#REF!</v>
      </c>
      <c r="H122" s="56" t="e">
        <f>+'Proyectos Base digitable'!#REF!</f>
        <v>#REF!</v>
      </c>
      <c r="I122" s="56" t="e">
        <f>+'Proyectos Base digitable'!#REF!</f>
        <v>#REF!</v>
      </c>
      <c r="J122" s="56" t="e">
        <f>+'Proyectos Base digitable'!#REF!</f>
        <v>#REF!</v>
      </c>
      <c r="K122" s="56" t="e">
        <f>+'Proyectos Base digitable'!#REF!</f>
        <v>#REF!</v>
      </c>
      <c r="L122" s="56" t="e">
        <f>+'Proyectos Base digitable'!#REF!</f>
        <v>#REF!</v>
      </c>
      <c r="M122" s="56" t="e">
        <f>+'Proyectos Base digitable'!#REF!</f>
        <v>#REF!</v>
      </c>
      <c r="N122" s="52" t="e">
        <f>+'Proyectos Base digitable'!#REF!</f>
        <v>#REF!</v>
      </c>
      <c r="O122" s="52" t="e">
        <f>+'Proyectos Base digitable'!#REF!</f>
        <v>#REF!</v>
      </c>
      <c r="P122" s="185" t="e">
        <f>+'Proyectos Base digitable'!#REF!</f>
        <v>#REF!</v>
      </c>
      <c r="Q122" s="58" t="e">
        <f>+'Proyectos Base digitable'!#REF!</f>
        <v>#REF!</v>
      </c>
      <c r="R122" s="58" t="e">
        <f>+'Proyectos Base digitable'!#REF!</f>
        <v>#REF!</v>
      </c>
      <c r="S122" s="58" t="e">
        <f>+'Proyectos Base digitable'!#REF!</f>
        <v>#REF!</v>
      </c>
      <c r="T122" s="58" t="e">
        <f>+'Proyectos Base digitable'!#REF!</f>
        <v>#REF!</v>
      </c>
      <c r="U122" s="63" t="e">
        <f>'Proyectos Base digitable'!#REF!</f>
        <v>#REF!</v>
      </c>
      <c r="V122" s="63" t="e">
        <f>'Proyectos Base digitable'!#REF!</f>
        <v>#REF!</v>
      </c>
      <c r="W122" s="63" t="e">
        <f>'Proyectos Base digitable'!#REF!</f>
        <v>#REF!</v>
      </c>
      <c r="X122" s="63" t="e">
        <f>'Proyectos Base digitable'!#REF!</f>
        <v>#REF!</v>
      </c>
      <c r="Y122" s="63" t="e">
        <f>'Proyectos Base digitable'!#REF!</f>
        <v>#REF!</v>
      </c>
      <c r="Z122" s="58" t="e">
        <f>+'Proyectos Base digitable'!#REF!</f>
        <v>#REF!</v>
      </c>
      <c r="AA122" s="58" t="e">
        <f>+'Proyectos Base digitable'!#REF!</f>
        <v>#REF!</v>
      </c>
      <c r="AB122" s="63" t="e">
        <f>'Proyectos Base digitable'!#REF!</f>
        <v>#REF!</v>
      </c>
      <c r="AC122" s="56" t="e">
        <f>+'Proyectos Base digitable'!#REF!</f>
        <v>#REF!</v>
      </c>
      <c r="AD122" s="52" t="e">
        <f>+'Proyectos Base digitable'!#REF!</f>
        <v>#REF!</v>
      </c>
      <c r="AE122" s="52" t="e">
        <f>+'Proyectos Base digitable'!#REF!</f>
        <v>#REF!</v>
      </c>
      <c r="AF122" s="52" t="e">
        <f>+'Proyectos Base digitable'!#REF!</f>
        <v>#REF!</v>
      </c>
      <c r="AG122" s="56" t="e">
        <f>+'Proyectos Base digitable'!#REF!</f>
        <v>#REF!</v>
      </c>
      <c r="AH122" s="52" t="e">
        <f>+'Proyectos Base digitable'!#REF!</f>
        <v>#REF!</v>
      </c>
      <c r="AI122" s="52" t="e">
        <f>+'Proyectos Base digitable'!#REF!</f>
        <v>#REF!</v>
      </c>
      <c r="AJ122" s="59" t="e">
        <f>+'Proyectos Base digitable'!#REF!</f>
        <v>#REF!</v>
      </c>
      <c r="AK122" s="186" t="e">
        <f>+'Proyectos Base digitable'!#REF!</f>
        <v>#REF!</v>
      </c>
      <c r="AL122" s="186" t="e">
        <f>+'Proyectos Base digitable'!#REF!</f>
        <v>#REF!</v>
      </c>
      <c r="AM122" s="186" t="e">
        <f>+'Proyectos Base digitable'!#REF!</f>
        <v>#REF!</v>
      </c>
      <c r="AN122" s="186" t="e">
        <f>+'Proyectos Base digitable'!#REF!</f>
        <v>#REF!</v>
      </c>
      <c r="AO122" s="186" t="e">
        <f>+'Proyectos Base digitable'!#REF!</f>
        <v>#REF!</v>
      </c>
      <c r="AP122" s="186" t="e">
        <f>+'Proyectos Base digitable'!#REF!</f>
        <v>#REF!</v>
      </c>
      <c r="AQ122" s="186" t="e">
        <f>+'Proyectos Base digitable'!#REF!</f>
        <v>#REF!</v>
      </c>
      <c r="AR122" s="186" t="e">
        <f>+'Proyectos Base digitable'!#REF!</f>
        <v>#REF!</v>
      </c>
      <c r="AS122" s="186" t="e">
        <f>+'Proyectos Base digitable'!#REF!</f>
        <v>#REF!</v>
      </c>
      <c r="AT122" s="187" t="e">
        <f>+'Proyectos Base digitable'!#REF!</f>
        <v>#REF!</v>
      </c>
      <c r="AU122" s="56" t="e">
        <f>+'Proyectos Base digitable'!#REF!</f>
        <v>#REF!</v>
      </c>
      <c r="AV122" s="56" t="e">
        <f>+'Proyectos Base digitable'!#REF!</f>
        <v>#REF!</v>
      </c>
      <c r="AW122" s="56" t="e">
        <f>+'Proyectos Base digitable'!#REF!</f>
        <v>#REF!</v>
      </c>
      <c r="AX122" s="56" t="e">
        <f>+'Proyectos Base digitable'!#REF!</f>
        <v>#REF!</v>
      </c>
      <c r="AY122" s="56" t="e">
        <f>+'Proyectos Base digitable'!#REF!</f>
        <v>#REF!</v>
      </c>
      <c r="AZ122" s="188" t="e">
        <f>+'Proyectos Base digitable'!#REF!</f>
        <v>#REF!</v>
      </c>
      <c r="BA122" s="188" t="e">
        <f>+'Proyectos Base digitable'!#REF!</f>
        <v>#REF!</v>
      </c>
    </row>
    <row r="123" spans="1:53" ht="12.5">
      <c r="A123" s="60" t="e">
        <f>+'Proyectos Base digitable'!#REF!</f>
        <v>#REF!</v>
      </c>
      <c r="B123" s="56" t="e">
        <f>+'Proyectos Base digitable'!#REF!</f>
        <v>#REF!</v>
      </c>
      <c r="C123" s="56" t="e">
        <f>+'Proyectos Base digitable'!#REF!</f>
        <v>#REF!</v>
      </c>
      <c r="D123" s="56" t="e">
        <f>+'Proyectos Base digitable'!#REF!</f>
        <v>#REF!</v>
      </c>
      <c r="E123" s="56" t="e">
        <f>+'Proyectos Base digitable'!#REF!</f>
        <v>#REF!</v>
      </c>
      <c r="F123" s="56" t="e">
        <f>+'Proyectos Base digitable'!#REF!</f>
        <v>#REF!</v>
      </c>
      <c r="G123" s="57" t="e">
        <f>+'Proyectos Base digitable'!#REF!</f>
        <v>#REF!</v>
      </c>
      <c r="H123" s="56" t="e">
        <f>+'Proyectos Base digitable'!#REF!</f>
        <v>#REF!</v>
      </c>
      <c r="I123" s="56" t="e">
        <f>+'Proyectos Base digitable'!#REF!</f>
        <v>#REF!</v>
      </c>
      <c r="J123" s="56" t="e">
        <f>+'Proyectos Base digitable'!#REF!</f>
        <v>#REF!</v>
      </c>
      <c r="K123" s="56" t="e">
        <f>+'Proyectos Base digitable'!#REF!</f>
        <v>#REF!</v>
      </c>
      <c r="L123" s="56" t="e">
        <f>+'Proyectos Base digitable'!#REF!</f>
        <v>#REF!</v>
      </c>
      <c r="M123" s="56" t="e">
        <f>+'Proyectos Base digitable'!#REF!</f>
        <v>#REF!</v>
      </c>
      <c r="N123" s="52" t="e">
        <f>+'Proyectos Base digitable'!#REF!</f>
        <v>#REF!</v>
      </c>
      <c r="O123" s="52" t="e">
        <f>+'Proyectos Base digitable'!#REF!</f>
        <v>#REF!</v>
      </c>
      <c r="P123" s="185" t="e">
        <f>+'Proyectos Base digitable'!#REF!</f>
        <v>#REF!</v>
      </c>
      <c r="Q123" s="58" t="e">
        <f>+'Proyectos Base digitable'!#REF!</f>
        <v>#REF!</v>
      </c>
      <c r="R123" s="58" t="e">
        <f>+'Proyectos Base digitable'!#REF!</f>
        <v>#REF!</v>
      </c>
      <c r="S123" s="58" t="e">
        <f>+'Proyectos Base digitable'!#REF!</f>
        <v>#REF!</v>
      </c>
      <c r="T123" s="58" t="e">
        <f>+'Proyectos Base digitable'!#REF!</f>
        <v>#REF!</v>
      </c>
      <c r="U123" s="63" t="e">
        <f>'Proyectos Base digitable'!#REF!</f>
        <v>#REF!</v>
      </c>
      <c r="V123" s="63" t="e">
        <f>'Proyectos Base digitable'!#REF!</f>
        <v>#REF!</v>
      </c>
      <c r="W123" s="63" t="e">
        <f>'Proyectos Base digitable'!#REF!</f>
        <v>#REF!</v>
      </c>
      <c r="X123" s="63" t="e">
        <f>'Proyectos Base digitable'!#REF!</f>
        <v>#REF!</v>
      </c>
      <c r="Y123" s="63" t="e">
        <f>'Proyectos Base digitable'!#REF!</f>
        <v>#REF!</v>
      </c>
      <c r="Z123" s="58" t="e">
        <f>+'Proyectos Base digitable'!#REF!</f>
        <v>#REF!</v>
      </c>
      <c r="AA123" s="58" t="e">
        <f>+'Proyectos Base digitable'!#REF!</f>
        <v>#REF!</v>
      </c>
      <c r="AB123" s="63" t="e">
        <f>'Proyectos Base digitable'!#REF!</f>
        <v>#REF!</v>
      </c>
      <c r="AC123" s="56" t="e">
        <f>+'Proyectos Base digitable'!#REF!</f>
        <v>#REF!</v>
      </c>
      <c r="AD123" s="52" t="e">
        <f>+'Proyectos Base digitable'!#REF!</f>
        <v>#REF!</v>
      </c>
      <c r="AE123" s="52" t="e">
        <f>+'Proyectos Base digitable'!#REF!</f>
        <v>#REF!</v>
      </c>
      <c r="AF123" s="52" t="e">
        <f>+'Proyectos Base digitable'!#REF!</f>
        <v>#REF!</v>
      </c>
      <c r="AG123" s="56" t="e">
        <f>+'Proyectos Base digitable'!#REF!</f>
        <v>#REF!</v>
      </c>
      <c r="AH123" s="52" t="e">
        <f>+'Proyectos Base digitable'!#REF!</f>
        <v>#REF!</v>
      </c>
      <c r="AI123" s="52" t="e">
        <f>+'Proyectos Base digitable'!#REF!</f>
        <v>#REF!</v>
      </c>
      <c r="AJ123" s="59" t="e">
        <f>+'Proyectos Base digitable'!#REF!</f>
        <v>#REF!</v>
      </c>
      <c r="AK123" s="186" t="e">
        <f>+'Proyectos Base digitable'!#REF!</f>
        <v>#REF!</v>
      </c>
      <c r="AL123" s="186" t="e">
        <f>+'Proyectos Base digitable'!#REF!</f>
        <v>#REF!</v>
      </c>
      <c r="AM123" s="186" t="e">
        <f>+'Proyectos Base digitable'!#REF!</f>
        <v>#REF!</v>
      </c>
      <c r="AN123" s="186" t="e">
        <f>+'Proyectos Base digitable'!#REF!</f>
        <v>#REF!</v>
      </c>
      <c r="AO123" s="186" t="e">
        <f>+'Proyectos Base digitable'!#REF!</f>
        <v>#REF!</v>
      </c>
      <c r="AP123" s="186" t="e">
        <f>+'Proyectos Base digitable'!#REF!</f>
        <v>#REF!</v>
      </c>
      <c r="AQ123" s="186" t="e">
        <f>+'Proyectos Base digitable'!#REF!</f>
        <v>#REF!</v>
      </c>
      <c r="AR123" s="186" t="e">
        <f>+'Proyectos Base digitable'!#REF!</f>
        <v>#REF!</v>
      </c>
      <c r="AS123" s="186" t="e">
        <f>+'Proyectos Base digitable'!#REF!</f>
        <v>#REF!</v>
      </c>
      <c r="AT123" s="187" t="e">
        <f>+'Proyectos Base digitable'!#REF!</f>
        <v>#REF!</v>
      </c>
      <c r="AU123" s="56" t="e">
        <f>+'Proyectos Base digitable'!#REF!</f>
        <v>#REF!</v>
      </c>
      <c r="AV123" s="56" t="e">
        <f>+'Proyectos Base digitable'!#REF!</f>
        <v>#REF!</v>
      </c>
      <c r="AW123" s="56" t="e">
        <f>+'Proyectos Base digitable'!#REF!</f>
        <v>#REF!</v>
      </c>
      <c r="AX123" s="56" t="e">
        <f>+'Proyectos Base digitable'!#REF!</f>
        <v>#REF!</v>
      </c>
      <c r="AY123" s="56" t="e">
        <f>+'Proyectos Base digitable'!#REF!</f>
        <v>#REF!</v>
      </c>
      <c r="AZ123" s="188" t="e">
        <f>+'Proyectos Base digitable'!#REF!</f>
        <v>#REF!</v>
      </c>
      <c r="BA123" s="188" t="e">
        <f>+'Proyectos Base digitable'!#REF!</f>
        <v>#REF!</v>
      </c>
    </row>
    <row r="124" spans="1:53" ht="12.5">
      <c r="A124" s="60" t="e">
        <f>+'Proyectos Base digitable'!#REF!</f>
        <v>#REF!</v>
      </c>
      <c r="B124" s="56" t="e">
        <f>+'Proyectos Base digitable'!#REF!</f>
        <v>#REF!</v>
      </c>
      <c r="C124" s="56" t="e">
        <f>+'Proyectos Base digitable'!#REF!</f>
        <v>#REF!</v>
      </c>
      <c r="D124" s="56" t="e">
        <f>+'Proyectos Base digitable'!#REF!</f>
        <v>#REF!</v>
      </c>
      <c r="E124" s="56" t="e">
        <f>+'Proyectos Base digitable'!#REF!</f>
        <v>#REF!</v>
      </c>
      <c r="F124" s="56" t="e">
        <f>+'Proyectos Base digitable'!#REF!</f>
        <v>#REF!</v>
      </c>
      <c r="G124" s="57" t="e">
        <f>+'Proyectos Base digitable'!#REF!</f>
        <v>#REF!</v>
      </c>
      <c r="H124" s="56" t="e">
        <f>+'Proyectos Base digitable'!#REF!</f>
        <v>#REF!</v>
      </c>
      <c r="I124" s="56" t="e">
        <f>+'Proyectos Base digitable'!#REF!</f>
        <v>#REF!</v>
      </c>
      <c r="J124" s="56" t="e">
        <f>+'Proyectos Base digitable'!#REF!</f>
        <v>#REF!</v>
      </c>
      <c r="K124" s="56" t="e">
        <f>+'Proyectos Base digitable'!#REF!</f>
        <v>#REF!</v>
      </c>
      <c r="L124" s="56" t="e">
        <f>+'Proyectos Base digitable'!#REF!</f>
        <v>#REF!</v>
      </c>
      <c r="M124" s="56" t="e">
        <f>+'Proyectos Base digitable'!#REF!</f>
        <v>#REF!</v>
      </c>
      <c r="N124" s="52" t="e">
        <f>+'Proyectos Base digitable'!#REF!</f>
        <v>#REF!</v>
      </c>
      <c r="O124" s="52" t="e">
        <f>+'Proyectos Base digitable'!#REF!</f>
        <v>#REF!</v>
      </c>
      <c r="P124" s="185" t="e">
        <f>+'Proyectos Base digitable'!#REF!</f>
        <v>#REF!</v>
      </c>
      <c r="Q124" s="58" t="e">
        <f>+'Proyectos Base digitable'!#REF!</f>
        <v>#REF!</v>
      </c>
      <c r="R124" s="58" t="e">
        <f>+'Proyectos Base digitable'!#REF!</f>
        <v>#REF!</v>
      </c>
      <c r="S124" s="58" t="e">
        <f>+'Proyectos Base digitable'!#REF!</f>
        <v>#REF!</v>
      </c>
      <c r="T124" s="58" t="e">
        <f>+'Proyectos Base digitable'!#REF!</f>
        <v>#REF!</v>
      </c>
      <c r="U124" s="63" t="e">
        <f>'Proyectos Base digitable'!#REF!</f>
        <v>#REF!</v>
      </c>
      <c r="V124" s="63" t="e">
        <f>'Proyectos Base digitable'!#REF!</f>
        <v>#REF!</v>
      </c>
      <c r="W124" s="63" t="e">
        <f>'Proyectos Base digitable'!#REF!</f>
        <v>#REF!</v>
      </c>
      <c r="X124" s="63" t="e">
        <f>'Proyectos Base digitable'!#REF!</f>
        <v>#REF!</v>
      </c>
      <c r="Y124" s="63" t="e">
        <f>'Proyectos Base digitable'!#REF!</f>
        <v>#REF!</v>
      </c>
      <c r="Z124" s="58" t="e">
        <f>+'Proyectos Base digitable'!#REF!</f>
        <v>#REF!</v>
      </c>
      <c r="AA124" s="58" t="e">
        <f>+'Proyectos Base digitable'!#REF!</f>
        <v>#REF!</v>
      </c>
      <c r="AB124" s="63" t="e">
        <f>'Proyectos Base digitable'!#REF!</f>
        <v>#REF!</v>
      </c>
      <c r="AC124" s="56" t="e">
        <f>+'Proyectos Base digitable'!#REF!</f>
        <v>#REF!</v>
      </c>
      <c r="AD124" s="52" t="e">
        <f>+'Proyectos Base digitable'!#REF!</f>
        <v>#REF!</v>
      </c>
      <c r="AE124" s="52" t="e">
        <f>+'Proyectos Base digitable'!#REF!</f>
        <v>#REF!</v>
      </c>
      <c r="AF124" s="52" t="e">
        <f>+'Proyectos Base digitable'!#REF!</f>
        <v>#REF!</v>
      </c>
      <c r="AG124" s="56" t="e">
        <f>+'Proyectos Base digitable'!#REF!</f>
        <v>#REF!</v>
      </c>
      <c r="AH124" s="52" t="e">
        <f>+'Proyectos Base digitable'!#REF!</f>
        <v>#REF!</v>
      </c>
      <c r="AI124" s="52" t="e">
        <f>+'Proyectos Base digitable'!#REF!</f>
        <v>#REF!</v>
      </c>
      <c r="AJ124" s="59" t="e">
        <f>+'Proyectos Base digitable'!#REF!</f>
        <v>#REF!</v>
      </c>
      <c r="AK124" s="186" t="e">
        <f>+'Proyectos Base digitable'!#REF!</f>
        <v>#REF!</v>
      </c>
      <c r="AL124" s="186" t="e">
        <f>+'Proyectos Base digitable'!#REF!</f>
        <v>#REF!</v>
      </c>
      <c r="AM124" s="186" t="e">
        <f>+'Proyectos Base digitable'!#REF!</f>
        <v>#REF!</v>
      </c>
      <c r="AN124" s="186" t="e">
        <f>+'Proyectos Base digitable'!#REF!</f>
        <v>#REF!</v>
      </c>
      <c r="AO124" s="186" t="e">
        <f>+'Proyectos Base digitable'!#REF!</f>
        <v>#REF!</v>
      </c>
      <c r="AP124" s="186" t="e">
        <f>+'Proyectos Base digitable'!#REF!</f>
        <v>#REF!</v>
      </c>
      <c r="AQ124" s="186" t="e">
        <f>+'Proyectos Base digitable'!#REF!</f>
        <v>#REF!</v>
      </c>
      <c r="AR124" s="186" t="e">
        <f>+'Proyectos Base digitable'!#REF!</f>
        <v>#REF!</v>
      </c>
      <c r="AS124" s="186" t="e">
        <f>+'Proyectos Base digitable'!#REF!</f>
        <v>#REF!</v>
      </c>
      <c r="AT124" s="187" t="e">
        <f>+'Proyectos Base digitable'!#REF!</f>
        <v>#REF!</v>
      </c>
      <c r="AU124" s="56" t="e">
        <f>+'Proyectos Base digitable'!#REF!</f>
        <v>#REF!</v>
      </c>
      <c r="AV124" s="56" t="e">
        <f>+'Proyectos Base digitable'!#REF!</f>
        <v>#REF!</v>
      </c>
      <c r="AW124" s="56" t="e">
        <f>+'Proyectos Base digitable'!#REF!</f>
        <v>#REF!</v>
      </c>
      <c r="AX124" s="56" t="e">
        <f>+'Proyectos Base digitable'!#REF!</f>
        <v>#REF!</v>
      </c>
      <c r="AY124" s="56" t="e">
        <f>+'Proyectos Base digitable'!#REF!</f>
        <v>#REF!</v>
      </c>
      <c r="AZ124" s="188" t="e">
        <f>+'Proyectos Base digitable'!#REF!</f>
        <v>#REF!</v>
      </c>
      <c r="BA124" s="188" t="e">
        <f>+'Proyectos Base digitable'!#REF!</f>
        <v>#REF!</v>
      </c>
    </row>
    <row r="125" spans="1:53" ht="12.5">
      <c r="A125" s="60" t="e">
        <f>+'Proyectos Base digitable'!#REF!</f>
        <v>#REF!</v>
      </c>
      <c r="B125" s="56" t="e">
        <f>+'Proyectos Base digitable'!#REF!</f>
        <v>#REF!</v>
      </c>
      <c r="C125" s="56" t="e">
        <f>+'Proyectos Base digitable'!#REF!</f>
        <v>#REF!</v>
      </c>
      <c r="D125" s="56" t="e">
        <f>+'Proyectos Base digitable'!#REF!</f>
        <v>#REF!</v>
      </c>
      <c r="E125" s="56" t="e">
        <f>+'Proyectos Base digitable'!#REF!</f>
        <v>#REF!</v>
      </c>
      <c r="F125" s="56" t="e">
        <f>+'Proyectos Base digitable'!#REF!</f>
        <v>#REF!</v>
      </c>
      <c r="G125" s="57" t="e">
        <f>+'Proyectos Base digitable'!#REF!</f>
        <v>#REF!</v>
      </c>
      <c r="H125" s="56" t="e">
        <f>+'Proyectos Base digitable'!#REF!</f>
        <v>#REF!</v>
      </c>
      <c r="I125" s="56" t="e">
        <f>+'Proyectos Base digitable'!#REF!</f>
        <v>#REF!</v>
      </c>
      <c r="J125" s="56" t="e">
        <f>+'Proyectos Base digitable'!#REF!</f>
        <v>#REF!</v>
      </c>
      <c r="K125" s="56" t="e">
        <f>+'Proyectos Base digitable'!#REF!</f>
        <v>#REF!</v>
      </c>
      <c r="L125" s="56" t="e">
        <f>+'Proyectos Base digitable'!#REF!</f>
        <v>#REF!</v>
      </c>
      <c r="M125" s="56" t="e">
        <f>+'Proyectos Base digitable'!#REF!</f>
        <v>#REF!</v>
      </c>
      <c r="N125" s="52" t="e">
        <f>+'Proyectos Base digitable'!#REF!</f>
        <v>#REF!</v>
      </c>
      <c r="O125" s="52" t="e">
        <f>+'Proyectos Base digitable'!#REF!</f>
        <v>#REF!</v>
      </c>
      <c r="P125" s="185" t="e">
        <f>+'Proyectos Base digitable'!#REF!</f>
        <v>#REF!</v>
      </c>
      <c r="Q125" s="58" t="e">
        <f>+'Proyectos Base digitable'!#REF!</f>
        <v>#REF!</v>
      </c>
      <c r="R125" s="58" t="e">
        <f>+'Proyectos Base digitable'!#REF!</f>
        <v>#REF!</v>
      </c>
      <c r="S125" s="58" t="e">
        <f>+'Proyectos Base digitable'!#REF!</f>
        <v>#REF!</v>
      </c>
      <c r="T125" s="58" t="e">
        <f>+'Proyectos Base digitable'!#REF!</f>
        <v>#REF!</v>
      </c>
      <c r="U125" s="63" t="e">
        <f>'Proyectos Base digitable'!#REF!</f>
        <v>#REF!</v>
      </c>
      <c r="V125" s="63" t="e">
        <f>'Proyectos Base digitable'!#REF!</f>
        <v>#REF!</v>
      </c>
      <c r="W125" s="63" t="e">
        <f>'Proyectos Base digitable'!#REF!</f>
        <v>#REF!</v>
      </c>
      <c r="X125" s="63" t="e">
        <f>'Proyectos Base digitable'!#REF!</f>
        <v>#REF!</v>
      </c>
      <c r="Y125" s="63" t="e">
        <f>'Proyectos Base digitable'!#REF!</f>
        <v>#REF!</v>
      </c>
      <c r="Z125" s="58" t="e">
        <f>+'Proyectos Base digitable'!#REF!</f>
        <v>#REF!</v>
      </c>
      <c r="AA125" s="58" t="e">
        <f>+'Proyectos Base digitable'!#REF!</f>
        <v>#REF!</v>
      </c>
      <c r="AB125" s="63" t="e">
        <f>'Proyectos Base digitable'!#REF!</f>
        <v>#REF!</v>
      </c>
      <c r="AC125" s="56" t="e">
        <f>+'Proyectos Base digitable'!#REF!</f>
        <v>#REF!</v>
      </c>
      <c r="AD125" s="52" t="e">
        <f>+'Proyectos Base digitable'!#REF!</f>
        <v>#REF!</v>
      </c>
      <c r="AE125" s="52" t="e">
        <f>+'Proyectos Base digitable'!#REF!</f>
        <v>#REF!</v>
      </c>
      <c r="AF125" s="52" t="e">
        <f>+'Proyectos Base digitable'!#REF!</f>
        <v>#REF!</v>
      </c>
      <c r="AG125" s="56" t="e">
        <f>+'Proyectos Base digitable'!#REF!</f>
        <v>#REF!</v>
      </c>
      <c r="AH125" s="52" t="e">
        <f>+'Proyectos Base digitable'!#REF!</f>
        <v>#REF!</v>
      </c>
      <c r="AI125" s="52" t="e">
        <f>+'Proyectos Base digitable'!#REF!</f>
        <v>#REF!</v>
      </c>
      <c r="AJ125" s="59" t="e">
        <f>+'Proyectos Base digitable'!#REF!</f>
        <v>#REF!</v>
      </c>
      <c r="AK125" s="186" t="e">
        <f>+'Proyectos Base digitable'!#REF!</f>
        <v>#REF!</v>
      </c>
      <c r="AL125" s="186" t="e">
        <f>+'Proyectos Base digitable'!#REF!</f>
        <v>#REF!</v>
      </c>
      <c r="AM125" s="186" t="e">
        <f>+'Proyectos Base digitable'!#REF!</f>
        <v>#REF!</v>
      </c>
      <c r="AN125" s="186" t="e">
        <f>+'Proyectos Base digitable'!#REF!</f>
        <v>#REF!</v>
      </c>
      <c r="AO125" s="186" t="e">
        <f>+'Proyectos Base digitable'!#REF!</f>
        <v>#REF!</v>
      </c>
      <c r="AP125" s="186" t="e">
        <f>+'Proyectos Base digitable'!#REF!</f>
        <v>#REF!</v>
      </c>
      <c r="AQ125" s="186" t="e">
        <f>+'Proyectos Base digitable'!#REF!</f>
        <v>#REF!</v>
      </c>
      <c r="AR125" s="186" t="e">
        <f>+'Proyectos Base digitable'!#REF!</f>
        <v>#REF!</v>
      </c>
      <c r="AS125" s="186" t="e">
        <f>+'Proyectos Base digitable'!#REF!</f>
        <v>#REF!</v>
      </c>
      <c r="AT125" s="187" t="e">
        <f>+'Proyectos Base digitable'!#REF!</f>
        <v>#REF!</v>
      </c>
      <c r="AU125" s="56" t="e">
        <f>+'Proyectos Base digitable'!#REF!</f>
        <v>#REF!</v>
      </c>
      <c r="AV125" s="56" t="e">
        <f>+'Proyectos Base digitable'!#REF!</f>
        <v>#REF!</v>
      </c>
      <c r="AW125" s="56" t="e">
        <f>+'Proyectos Base digitable'!#REF!</f>
        <v>#REF!</v>
      </c>
      <c r="AX125" s="56" t="e">
        <f>+'Proyectos Base digitable'!#REF!</f>
        <v>#REF!</v>
      </c>
      <c r="AY125" s="56" t="e">
        <f>+'Proyectos Base digitable'!#REF!</f>
        <v>#REF!</v>
      </c>
      <c r="AZ125" s="188" t="e">
        <f>+'Proyectos Base digitable'!#REF!</f>
        <v>#REF!</v>
      </c>
      <c r="BA125" s="188" t="e">
        <f>+'Proyectos Base digitable'!#REF!</f>
        <v>#REF!</v>
      </c>
    </row>
    <row r="126" spans="1:53" ht="12.5">
      <c r="A126" s="60" t="e">
        <f>+'Proyectos Base digitable'!#REF!</f>
        <v>#REF!</v>
      </c>
      <c r="B126" s="56" t="e">
        <f>+'Proyectos Base digitable'!#REF!</f>
        <v>#REF!</v>
      </c>
      <c r="C126" s="56" t="e">
        <f>+'Proyectos Base digitable'!#REF!</f>
        <v>#REF!</v>
      </c>
      <c r="D126" s="56" t="e">
        <f>+'Proyectos Base digitable'!#REF!</f>
        <v>#REF!</v>
      </c>
      <c r="E126" s="56" t="e">
        <f>+'Proyectos Base digitable'!#REF!</f>
        <v>#REF!</v>
      </c>
      <c r="F126" s="56" t="e">
        <f>+'Proyectos Base digitable'!#REF!</f>
        <v>#REF!</v>
      </c>
      <c r="G126" s="57" t="e">
        <f>+'Proyectos Base digitable'!#REF!</f>
        <v>#REF!</v>
      </c>
      <c r="H126" s="56" t="e">
        <f>+'Proyectos Base digitable'!#REF!</f>
        <v>#REF!</v>
      </c>
      <c r="I126" s="56" t="e">
        <f>+'Proyectos Base digitable'!#REF!</f>
        <v>#REF!</v>
      </c>
      <c r="J126" s="56" t="e">
        <f>+'Proyectos Base digitable'!#REF!</f>
        <v>#REF!</v>
      </c>
      <c r="K126" s="56" t="e">
        <f>+'Proyectos Base digitable'!#REF!</f>
        <v>#REF!</v>
      </c>
      <c r="L126" s="56" t="e">
        <f>+'Proyectos Base digitable'!#REF!</f>
        <v>#REF!</v>
      </c>
      <c r="M126" s="56" t="e">
        <f>+'Proyectos Base digitable'!#REF!</f>
        <v>#REF!</v>
      </c>
      <c r="N126" s="52" t="e">
        <f>+'Proyectos Base digitable'!#REF!</f>
        <v>#REF!</v>
      </c>
      <c r="O126" s="52" t="e">
        <f>+'Proyectos Base digitable'!#REF!</f>
        <v>#REF!</v>
      </c>
      <c r="P126" s="185" t="e">
        <f>+'Proyectos Base digitable'!#REF!</f>
        <v>#REF!</v>
      </c>
      <c r="Q126" s="58" t="e">
        <f>+'Proyectos Base digitable'!#REF!</f>
        <v>#REF!</v>
      </c>
      <c r="R126" s="58" t="e">
        <f>+'Proyectos Base digitable'!#REF!</f>
        <v>#REF!</v>
      </c>
      <c r="S126" s="58" t="e">
        <f>+'Proyectos Base digitable'!#REF!</f>
        <v>#REF!</v>
      </c>
      <c r="T126" s="58" t="e">
        <f>+'Proyectos Base digitable'!#REF!</f>
        <v>#REF!</v>
      </c>
      <c r="U126" s="63" t="e">
        <f>'Proyectos Base digitable'!#REF!</f>
        <v>#REF!</v>
      </c>
      <c r="V126" s="63" t="e">
        <f>'Proyectos Base digitable'!#REF!</f>
        <v>#REF!</v>
      </c>
      <c r="W126" s="63" t="e">
        <f>'Proyectos Base digitable'!#REF!</f>
        <v>#REF!</v>
      </c>
      <c r="X126" s="63" t="e">
        <f>'Proyectos Base digitable'!#REF!</f>
        <v>#REF!</v>
      </c>
      <c r="Y126" s="63" t="e">
        <f>'Proyectos Base digitable'!#REF!</f>
        <v>#REF!</v>
      </c>
      <c r="Z126" s="58" t="e">
        <f>+'Proyectos Base digitable'!#REF!</f>
        <v>#REF!</v>
      </c>
      <c r="AA126" s="58" t="e">
        <f>+'Proyectos Base digitable'!#REF!</f>
        <v>#REF!</v>
      </c>
      <c r="AB126" s="63" t="e">
        <f>'Proyectos Base digitable'!#REF!</f>
        <v>#REF!</v>
      </c>
      <c r="AC126" s="56" t="e">
        <f>+'Proyectos Base digitable'!#REF!</f>
        <v>#REF!</v>
      </c>
      <c r="AD126" s="52" t="e">
        <f>+'Proyectos Base digitable'!#REF!</f>
        <v>#REF!</v>
      </c>
      <c r="AE126" s="52" t="e">
        <f>+'Proyectos Base digitable'!#REF!</f>
        <v>#REF!</v>
      </c>
      <c r="AF126" s="52" t="e">
        <f>+'Proyectos Base digitable'!#REF!</f>
        <v>#REF!</v>
      </c>
      <c r="AG126" s="56" t="e">
        <f>+'Proyectos Base digitable'!#REF!</f>
        <v>#REF!</v>
      </c>
      <c r="AH126" s="52" t="e">
        <f>+'Proyectos Base digitable'!#REF!</f>
        <v>#REF!</v>
      </c>
      <c r="AI126" s="52" t="e">
        <f>+'Proyectos Base digitable'!#REF!</f>
        <v>#REF!</v>
      </c>
      <c r="AJ126" s="59" t="e">
        <f>+'Proyectos Base digitable'!#REF!</f>
        <v>#REF!</v>
      </c>
      <c r="AK126" s="186" t="e">
        <f>+'Proyectos Base digitable'!#REF!</f>
        <v>#REF!</v>
      </c>
      <c r="AL126" s="186" t="e">
        <f>+'Proyectos Base digitable'!#REF!</f>
        <v>#REF!</v>
      </c>
      <c r="AM126" s="186" t="e">
        <f>+'Proyectos Base digitable'!#REF!</f>
        <v>#REF!</v>
      </c>
      <c r="AN126" s="186" t="e">
        <f>+'Proyectos Base digitable'!#REF!</f>
        <v>#REF!</v>
      </c>
      <c r="AO126" s="186" t="e">
        <f>+'Proyectos Base digitable'!#REF!</f>
        <v>#REF!</v>
      </c>
      <c r="AP126" s="186" t="e">
        <f>+'Proyectos Base digitable'!#REF!</f>
        <v>#REF!</v>
      </c>
      <c r="AQ126" s="186" t="e">
        <f>+'Proyectos Base digitable'!#REF!</f>
        <v>#REF!</v>
      </c>
      <c r="AR126" s="186" t="e">
        <f>+'Proyectos Base digitable'!#REF!</f>
        <v>#REF!</v>
      </c>
      <c r="AS126" s="186" t="e">
        <f>+'Proyectos Base digitable'!#REF!</f>
        <v>#REF!</v>
      </c>
      <c r="AT126" s="187" t="e">
        <f>+'Proyectos Base digitable'!#REF!</f>
        <v>#REF!</v>
      </c>
      <c r="AU126" s="56" t="e">
        <f>+'Proyectos Base digitable'!#REF!</f>
        <v>#REF!</v>
      </c>
      <c r="AV126" s="56" t="e">
        <f>+'Proyectos Base digitable'!#REF!</f>
        <v>#REF!</v>
      </c>
      <c r="AW126" s="56" t="e">
        <f>+'Proyectos Base digitable'!#REF!</f>
        <v>#REF!</v>
      </c>
      <c r="AX126" s="56" t="e">
        <f>+'Proyectos Base digitable'!#REF!</f>
        <v>#REF!</v>
      </c>
      <c r="AY126" s="56" t="e">
        <f>+'Proyectos Base digitable'!#REF!</f>
        <v>#REF!</v>
      </c>
      <c r="AZ126" s="188" t="e">
        <f>+'Proyectos Base digitable'!#REF!</f>
        <v>#REF!</v>
      </c>
      <c r="BA126" s="188" t="e">
        <f>+'Proyectos Base digitable'!#REF!</f>
        <v>#REF!</v>
      </c>
    </row>
    <row r="127" spans="1:53" ht="12.5">
      <c r="A127" s="60" t="e">
        <f>+'Proyectos Base digitable'!#REF!</f>
        <v>#REF!</v>
      </c>
      <c r="B127" s="56" t="e">
        <f>+'Proyectos Base digitable'!#REF!</f>
        <v>#REF!</v>
      </c>
      <c r="C127" s="56" t="e">
        <f>+'Proyectos Base digitable'!#REF!</f>
        <v>#REF!</v>
      </c>
      <c r="D127" s="56" t="e">
        <f>+'Proyectos Base digitable'!#REF!</f>
        <v>#REF!</v>
      </c>
      <c r="E127" s="56" t="e">
        <f>+'Proyectos Base digitable'!#REF!</f>
        <v>#REF!</v>
      </c>
      <c r="F127" s="56" t="e">
        <f>+'Proyectos Base digitable'!#REF!</f>
        <v>#REF!</v>
      </c>
      <c r="G127" s="57" t="e">
        <f>+'Proyectos Base digitable'!#REF!</f>
        <v>#REF!</v>
      </c>
      <c r="H127" s="56" t="e">
        <f>+'Proyectos Base digitable'!#REF!</f>
        <v>#REF!</v>
      </c>
      <c r="I127" s="56" t="e">
        <f>+'Proyectos Base digitable'!#REF!</f>
        <v>#REF!</v>
      </c>
      <c r="J127" s="56" t="e">
        <f>+'Proyectos Base digitable'!#REF!</f>
        <v>#REF!</v>
      </c>
      <c r="K127" s="56" t="e">
        <f>+'Proyectos Base digitable'!#REF!</f>
        <v>#REF!</v>
      </c>
      <c r="L127" s="56" t="e">
        <f>+'Proyectos Base digitable'!#REF!</f>
        <v>#REF!</v>
      </c>
      <c r="M127" s="56" t="e">
        <f>+'Proyectos Base digitable'!#REF!</f>
        <v>#REF!</v>
      </c>
      <c r="N127" s="52" t="e">
        <f>+'Proyectos Base digitable'!#REF!</f>
        <v>#REF!</v>
      </c>
      <c r="O127" s="52" t="e">
        <f>+'Proyectos Base digitable'!#REF!</f>
        <v>#REF!</v>
      </c>
      <c r="P127" s="185" t="e">
        <f>+'Proyectos Base digitable'!#REF!</f>
        <v>#REF!</v>
      </c>
      <c r="Q127" s="58" t="e">
        <f>+'Proyectos Base digitable'!#REF!</f>
        <v>#REF!</v>
      </c>
      <c r="R127" s="58" t="e">
        <f>+'Proyectos Base digitable'!#REF!</f>
        <v>#REF!</v>
      </c>
      <c r="S127" s="58" t="e">
        <f>+'Proyectos Base digitable'!#REF!</f>
        <v>#REF!</v>
      </c>
      <c r="T127" s="58" t="e">
        <f>+'Proyectos Base digitable'!#REF!</f>
        <v>#REF!</v>
      </c>
      <c r="U127" s="63" t="e">
        <f>'Proyectos Base digitable'!#REF!</f>
        <v>#REF!</v>
      </c>
      <c r="V127" s="63" t="e">
        <f>'Proyectos Base digitable'!#REF!</f>
        <v>#REF!</v>
      </c>
      <c r="W127" s="63" t="e">
        <f>'Proyectos Base digitable'!#REF!</f>
        <v>#REF!</v>
      </c>
      <c r="X127" s="63" t="e">
        <f>'Proyectos Base digitable'!#REF!</f>
        <v>#REF!</v>
      </c>
      <c r="Y127" s="63" t="e">
        <f>'Proyectos Base digitable'!#REF!</f>
        <v>#REF!</v>
      </c>
      <c r="Z127" s="58" t="e">
        <f>+'Proyectos Base digitable'!#REF!</f>
        <v>#REF!</v>
      </c>
      <c r="AA127" s="58" t="e">
        <f>+'Proyectos Base digitable'!#REF!</f>
        <v>#REF!</v>
      </c>
      <c r="AB127" s="63" t="e">
        <f>'Proyectos Base digitable'!#REF!</f>
        <v>#REF!</v>
      </c>
      <c r="AC127" s="56" t="e">
        <f>+'Proyectos Base digitable'!#REF!</f>
        <v>#REF!</v>
      </c>
      <c r="AD127" s="52" t="e">
        <f>+'Proyectos Base digitable'!#REF!</f>
        <v>#REF!</v>
      </c>
      <c r="AE127" s="52" t="e">
        <f>+'Proyectos Base digitable'!#REF!</f>
        <v>#REF!</v>
      </c>
      <c r="AF127" s="52" t="e">
        <f>+'Proyectos Base digitable'!#REF!</f>
        <v>#REF!</v>
      </c>
      <c r="AG127" s="56" t="e">
        <f>+'Proyectos Base digitable'!#REF!</f>
        <v>#REF!</v>
      </c>
      <c r="AH127" s="52" t="e">
        <f>+'Proyectos Base digitable'!#REF!</f>
        <v>#REF!</v>
      </c>
      <c r="AI127" s="52" t="e">
        <f>+'Proyectos Base digitable'!#REF!</f>
        <v>#REF!</v>
      </c>
      <c r="AJ127" s="59" t="e">
        <f>+'Proyectos Base digitable'!#REF!</f>
        <v>#REF!</v>
      </c>
      <c r="AK127" s="186" t="e">
        <f>+'Proyectos Base digitable'!#REF!</f>
        <v>#REF!</v>
      </c>
      <c r="AL127" s="186" t="e">
        <f>+'Proyectos Base digitable'!#REF!</f>
        <v>#REF!</v>
      </c>
      <c r="AM127" s="186" t="e">
        <f>+'Proyectos Base digitable'!#REF!</f>
        <v>#REF!</v>
      </c>
      <c r="AN127" s="186" t="e">
        <f>+'Proyectos Base digitable'!#REF!</f>
        <v>#REF!</v>
      </c>
      <c r="AO127" s="186" t="e">
        <f>+'Proyectos Base digitable'!#REF!</f>
        <v>#REF!</v>
      </c>
      <c r="AP127" s="186" t="e">
        <f>+'Proyectos Base digitable'!#REF!</f>
        <v>#REF!</v>
      </c>
      <c r="AQ127" s="186" t="e">
        <f>+'Proyectos Base digitable'!#REF!</f>
        <v>#REF!</v>
      </c>
      <c r="AR127" s="186" t="e">
        <f>+'Proyectos Base digitable'!#REF!</f>
        <v>#REF!</v>
      </c>
      <c r="AS127" s="186" t="e">
        <f>+'Proyectos Base digitable'!#REF!</f>
        <v>#REF!</v>
      </c>
      <c r="AT127" s="187" t="e">
        <f>+'Proyectos Base digitable'!#REF!</f>
        <v>#REF!</v>
      </c>
      <c r="AU127" s="56" t="e">
        <f>+'Proyectos Base digitable'!#REF!</f>
        <v>#REF!</v>
      </c>
      <c r="AV127" s="56" t="e">
        <f>+'Proyectos Base digitable'!#REF!</f>
        <v>#REF!</v>
      </c>
      <c r="AW127" s="56" t="e">
        <f>+'Proyectos Base digitable'!#REF!</f>
        <v>#REF!</v>
      </c>
      <c r="AX127" s="56" t="e">
        <f>+'Proyectos Base digitable'!#REF!</f>
        <v>#REF!</v>
      </c>
      <c r="AY127" s="56" t="e">
        <f>+'Proyectos Base digitable'!#REF!</f>
        <v>#REF!</v>
      </c>
      <c r="AZ127" s="188" t="e">
        <f>+'Proyectos Base digitable'!#REF!</f>
        <v>#REF!</v>
      </c>
      <c r="BA127" s="188" t="e">
        <f>+'Proyectos Base digitable'!#REF!</f>
        <v>#REF!</v>
      </c>
    </row>
    <row r="128" spans="1:53" ht="12.5">
      <c r="A128" s="60" t="e">
        <f>+'Proyectos Base digitable'!#REF!</f>
        <v>#REF!</v>
      </c>
      <c r="B128" s="56" t="e">
        <f>+'Proyectos Base digitable'!#REF!</f>
        <v>#REF!</v>
      </c>
      <c r="C128" s="56" t="e">
        <f>+'Proyectos Base digitable'!#REF!</f>
        <v>#REF!</v>
      </c>
      <c r="D128" s="56" t="e">
        <f>+'Proyectos Base digitable'!#REF!</f>
        <v>#REF!</v>
      </c>
      <c r="E128" s="56" t="e">
        <f>+'Proyectos Base digitable'!#REF!</f>
        <v>#REF!</v>
      </c>
      <c r="F128" s="56" t="e">
        <f>+'Proyectos Base digitable'!#REF!</f>
        <v>#REF!</v>
      </c>
      <c r="G128" s="57" t="e">
        <f>+'Proyectos Base digitable'!#REF!</f>
        <v>#REF!</v>
      </c>
      <c r="H128" s="56" t="e">
        <f>+'Proyectos Base digitable'!#REF!</f>
        <v>#REF!</v>
      </c>
      <c r="I128" s="56" t="e">
        <f>+'Proyectos Base digitable'!#REF!</f>
        <v>#REF!</v>
      </c>
      <c r="J128" s="56" t="e">
        <f>+'Proyectos Base digitable'!#REF!</f>
        <v>#REF!</v>
      </c>
      <c r="K128" s="56" t="e">
        <f>+'Proyectos Base digitable'!#REF!</f>
        <v>#REF!</v>
      </c>
      <c r="L128" s="56" t="e">
        <f>+'Proyectos Base digitable'!#REF!</f>
        <v>#REF!</v>
      </c>
      <c r="M128" s="56" t="e">
        <f>+'Proyectos Base digitable'!#REF!</f>
        <v>#REF!</v>
      </c>
      <c r="N128" s="52" t="e">
        <f>+'Proyectos Base digitable'!#REF!</f>
        <v>#REF!</v>
      </c>
      <c r="O128" s="52" t="e">
        <f>+'Proyectos Base digitable'!#REF!</f>
        <v>#REF!</v>
      </c>
      <c r="P128" s="185" t="e">
        <f>+'Proyectos Base digitable'!#REF!</f>
        <v>#REF!</v>
      </c>
      <c r="Q128" s="58" t="e">
        <f>+'Proyectos Base digitable'!#REF!</f>
        <v>#REF!</v>
      </c>
      <c r="R128" s="58" t="e">
        <f>+'Proyectos Base digitable'!#REF!</f>
        <v>#REF!</v>
      </c>
      <c r="S128" s="58" t="e">
        <f>+'Proyectos Base digitable'!#REF!</f>
        <v>#REF!</v>
      </c>
      <c r="T128" s="58" t="e">
        <f>+'Proyectos Base digitable'!#REF!</f>
        <v>#REF!</v>
      </c>
      <c r="U128" s="63" t="e">
        <f>'Proyectos Base digitable'!#REF!</f>
        <v>#REF!</v>
      </c>
      <c r="V128" s="63" t="e">
        <f>'Proyectos Base digitable'!#REF!</f>
        <v>#REF!</v>
      </c>
      <c r="W128" s="63" t="e">
        <f>'Proyectos Base digitable'!#REF!</f>
        <v>#REF!</v>
      </c>
      <c r="X128" s="63" t="e">
        <f>'Proyectos Base digitable'!#REF!</f>
        <v>#REF!</v>
      </c>
      <c r="Y128" s="63" t="e">
        <f>'Proyectos Base digitable'!#REF!</f>
        <v>#REF!</v>
      </c>
      <c r="Z128" s="58" t="e">
        <f>+'Proyectos Base digitable'!#REF!</f>
        <v>#REF!</v>
      </c>
      <c r="AA128" s="58" t="e">
        <f>+'Proyectos Base digitable'!#REF!</f>
        <v>#REF!</v>
      </c>
      <c r="AB128" s="63" t="e">
        <f>'Proyectos Base digitable'!#REF!</f>
        <v>#REF!</v>
      </c>
      <c r="AC128" s="56" t="e">
        <f>+'Proyectos Base digitable'!#REF!</f>
        <v>#REF!</v>
      </c>
      <c r="AD128" s="52" t="e">
        <f>+'Proyectos Base digitable'!#REF!</f>
        <v>#REF!</v>
      </c>
      <c r="AE128" s="52" t="e">
        <f>+'Proyectos Base digitable'!#REF!</f>
        <v>#REF!</v>
      </c>
      <c r="AF128" s="52" t="e">
        <f>+'Proyectos Base digitable'!#REF!</f>
        <v>#REF!</v>
      </c>
      <c r="AG128" s="56" t="e">
        <f>+'Proyectos Base digitable'!#REF!</f>
        <v>#REF!</v>
      </c>
      <c r="AH128" s="52" t="e">
        <f>+'Proyectos Base digitable'!#REF!</f>
        <v>#REF!</v>
      </c>
      <c r="AI128" s="52" t="e">
        <f>+'Proyectos Base digitable'!#REF!</f>
        <v>#REF!</v>
      </c>
      <c r="AJ128" s="59" t="e">
        <f>+'Proyectos Base digitable'!#REF!</f>
        <v>#REF!</v>
      </c>
      <c r="AK128" s="186" t="e">
        <f>+'Proyectos Base digitable'!#REF!</f>
        <v>#REF!</v>
      </c>
      <c r="AL128" s="186" t="e">
        <f>+'Proyectos Base digitable'!#REF!</f>
        <v>#REF!</v>
      </c>
      <c r="AM128" s="186" t="e">
        <f>+'Proyectos Base digitable'!#REF!</f>
        <v>#REF!</v>
      </c>
      <c r="AN128" s="186" t="e">
        <f>+'Proyectos Base digitable'!#REF!</f>
        <v>#REF!</v>
      </c>
      <c r="AO128" s="186" t="e">
        <f>+'Proyectos Base digitable'!#REF!</f>
        <v>#REF!</v>
      </c>
      <c r="AP128" s="186" t="e">
        <f>+'Proyectos Base digitable'!#REF!</f>
        <v>#REF!</v>
      </c>
      <c r="AQ128" s="186" t="e">
        <f>+'Proyectos Base digitable'!#REF!</f>
        <v>#REF!</v>
      </c>
      <c r="AR128" s="186" t="e">
        <f>+'Proyectos Base digitable'!#REF!</f>
        <v>#REF!</v>
      </c>
      <c r="AS128" s="186" t="e">
        <f>+'Proyectos Base digitable'!#REF!</f>
        <v>#REF!</v>
      </c>
      <c r="AT128" s="187" t="e">
        <f>+'Proyectos Base digitable'!#REF!</f>
        <v>#REF!</v>
      </c>
      <c r="AU128" s="56" t="e">
        <f>+'Proyectos Base digitable'!#REF!</f>
        <v>#REF!</v>
      </c>
      <c r="AV128" s="56" t="e">
        <f>+'Proyectos Base digitable'!#REF!</f>
        <v>#REF!</v>
      </c>
      <c r="AW128" s="56" t="e">
        <f>+'Proyectos Base digitable'!#REF!</f>
        <v>#REF!</v>
      </c>
      <c r="AX128" s="56" t="e">
        <f>+'Proyectos Base digitable'!#REF!</f>
        <v>#REF!</v>
      </c>
      <c r="AY128" s="56" t="e">
        <f>+'Proyectos Base digitable'!#REF!</f>
        <v>#REF!</v>
      </c>
      <c r="AZ128" s="188" t="e">
        <f>+'Proyectos Base digitable'!#REF!</f>
        <v>#REF!</v>
      </c>
      <c r="BA128" s="188" t="e">
        <f>+'Proyectos Base digitable'!#REF!</f>
        <v>#REF!</v>
      </c>
    </row>
    <row r="129" spans="1:53" ht="12.5">
      <c r="A129" s="60" t="e">
        <f>+'Proyectos Base digitable'!#REF!</f>
        <v>#REF!</v>
      </c>
      <c r="B129" s="56" t="e">
        <f>+'Proyectos Base digitable'!#REF!</f>
        <v>#REF!</v>
      </c>
      <c r="C129" s="56" t="e">
        <f>+'Proyectos Base digitable'!#REF!</f>
        <v>#REF!</v>
      </c>
      <c r="D129" s="56" t="e">
        <f>+'Proyectos Base digitable'!#REF!</f>
        <v>#REF!</v>
      </c>
      <c r="E129" s="56" t="e">
        <f>+'Proyectos Base digitable'!#REF!</f>
        <v>#REF!</v>
      </c>
      <c r="F129" s="56" t="e">
        <f>+'Proyectos Base digitable'!#REF!</f>
        <v>#REF!</v>
      </c>
      <c r="G129" s="57" t="e">
        <f>+'Proyectos Base digitable'!#REF!</f>
        <v>#REF!</v>
      </c>
      <c r="H129" s="56" t="e">
        <f>+'Proyectos Base digitable'!#REF!</f>
        <v>#REF!</v>
      </c>
      <c r="I129" s="56" t="e">
        <f>+'Proyectos Base digitable'!#REF!</f>
        <v>#REF!</v>
      </c>
      <c r="J129" s="56" t="e">
        <f>+'Proyectos Base digitable'!#REF!</f>
        <v>#REF!</v>
      </c>
      <c r="K129" s="56" t="e">
        <f>+'Proyectos Base digitable'!#REF!</f>
        <v>#REF!</v>
      </c>
      <c r="L129" s="56" t="e">
        <f>+'Proyectos Base digitable'!#REF!</f>
        <v>#REF!</v>
      </c>
      <c r="M129" s="56" t="e">
        <f>+'Proyectos Base digitable'!#REF!</f>
        <v>#REF!</v>
      </c>
      <c r="N129" s="52" t="e">
        <f>+'Proyectos Base digitable'!#REF!</f>
        <v>#REF!</v>
      </c>
      <c r="O129" s="52" t="e">
        <f>+'Proyectos Base digitable'!#REF!</f>
        <v>#REF!</v>
      </c>
      <c r="P129" s="185" t="e">
        <f>+'Proyectos Base digitable'!#REF!</f>
        <v>#REF!</v>
      </c>
      <c r="Q129" s="58" t="e">
        <f>+'Proyectos Base digitable'!#REF!</f>
        <v>#REF!</v>
      </c>
      <c r="R129" s="58" t="e">
        <f>+'Proyectos Base digitable'!#REF!</f>
        <v>#REF!</v>
      </c>
      <c r="S129" s="58" t="e">
        <f>+'Proyectos Base digitable'!#REF!</f>
        <v>#REF!</v>
      </c>
      <c r="T129" s="58" t="e">
        <f>+'Proyectos Base digitable'!#REF!</f>
        <v>#REF!</v>
      </c>
      <c r="U129" s="63" t="e">
        <f>'Proyectos Base digitable'!#REF!</f>
        <v>#REF!</v>
      </c>
      <c r="V129" s="63" t="e">
        <f>'Proyectos Base digitable'!#REF!</f>
        <v>#REF!</v>
      </c>
      <c r="W129" s="63" t="e">
        <f>'Proyectos Base digitable'!#REF!</f>
        <v>#REF!</v>
      </c>
      <c r="X129" s="63" t="e">
        <f>'Proyectos Base digitable'!#REF!</f>
        <v>#REF!</v>
      </c>
      <c r="Y129" s="63" t="e">
        <f>'Proyectos Base digitable'!#REF!</f>
        <v>#REF!</v>
      </c>
      <c r="Z129" s="58" t="e">
        <f>+'Proyectos Base digitable'!#REF!</f>
        <v>#REF!</v>
      </c>
      <c r="AA129" s="58" t="e">
        <f>+'Proyectos Base digitable'!#REF!</f>
        <v>#REF!</v>
      </c>
      <c r="AB129" s="63" t="e">
        <f>'Proyectos Base digitable'!#REF!</f>
        <v>#REF!</v>
      </c>
      <c r="AC129" s="56" t="e">
        <f>+'Proyectos Base digitable'!#REF!</f>
        <v>#REF!</v>
      </c>
      <c r="AD129" s="52" t="e">
        <f>+'Proyectos Base digitable'!#REF!</f>
        <v>#REF!</v>
      </c>
      <c r="AE129" s="52" t="e">
        <f>+'Proyectos Base digitable'!#REF!</f>
        <v>#REF!</v>
      </c>
      <c r="AF129" s="52" t="e">
        <f>+'Proyectos Base digitable'!#REF!</f>
        <v>#REF!</v>
      </c>
      <c r="AG129" s="56" t="e">
        <f>+'Proyectos Base digitable'!#REF!</f>
        <v>#REF!</v>
      </c>
      <c r="AH129" s="52" t="e">
        <f>+'Proyectos Base digitable'!#REF!</f>
        <v>#REF!</v>
      </c>
      <c r="AI129" s="52" t="e">
        <f>+'Proyectos Base digitable'!#REF!</f>
        <v>#REF!</v>
      </c>
      <c r="AJ129" s="59" t="e">
        <f>+'Proyectos Base digitable'!#REF!</f>
        <v>#REF!</v>
      </c>
      <c r="AK129" s="186" t="e">
        <f>+'Proyectos Base digitable'!#REF!</f>
        <v>#REF!</v>
      </c>
      <c r="AL129" s="186" t="e">
        <f>+'Proyectos Base digitable'!#REF!</f>
        <v>#REF!</v>
      </c>
      <c r="AM129" s="186" t="e">
        <f>+'Proyectos Base digitable'!#REF!</f>
        <v>#REF!</v>
      </c>
      <c r="AN129" s="186" t="e">
        <f>+'Proyectos Base digitable'!#REF!</f>
        <v>#REF!</v>
      </c>
      <c r="AO129" s="186" t="e">
        <f>+'Proyectos Base digitable'!#REF!</f>
        <v>#REF!</v>
      </c>
      <c r="AP129" s="186" t="e">
        <f>+'Proyectos Base digitable'!#REF!</f>
        <v>#REF!</v>
      </c>
      <c r="AQ129" s="186" t="e">
        <f>+'Proyectos Base digitable'!#REF!</f>
        <v>#REF!</v>
      </c>
      <c r="AR129" s="186" t="e">
        <f>+'Proyectos Base digitable'!#REF!</f>
        <v>#REF!</v>
      </c>
      <c r="AS129" s="186" t="e">
        <f>+'Proyectos Base digitable'!#REF!</f>
        <v>#REF!</v>
      </c>
      <c r="AT129" s="187" t="e">
        <f>+'Proyectos Base digitable'!#REF!</f>
        <v>#REF!</v>
      </c>
      <c r="AU129" s="56" t="e">
        <f>+'Proyectos Base digitable'!#REF!</f>
        <v>#REF!</v>
      </c>
      <c r="AV129" s="56" t="e">
        <f>+'Proyectos Base digitable'!#REF!</f>
        <v>#REF!</v>
      </c>
      <c r="AW129" s="56" t="e">
        <f>+'Proyectos Base digitable'!#REF!</f>
        <v>#REF!</v>
      </c>
      <c r="AX129" s="56" t="e">
        <f>+'Proyectos Base digitable'!#REF!</f>
        <v>#REF!</v>
      </c>
      <c r="AY129" s="56" t="e">
        <f>+'Proyectos Base digitable'!#REF!</f>
        <v>#REF!</v>
      </c>
      <c r="AZ129" s="188" t="e">
        <f>+'Proyectos Base digitable'!#REF!</f>
        <v>#REF!</v>
      </c>
      <c r="BA129" s="188" t="e">
        <f>+'Proyectos Base digitable'!#REF!</f>
        <v>#REF!</v>
      </c>
    </row>
    <row r="130" spans="1:53" ht="12.5">
      <c r="A130" s="60" t="e">
        <f>+'Proyectos Base digitable'!#REF!</f>
        <v>#REF!</v>
      </c>
      <c r="B130" s="56" t="e">
        <f>+'Proyectos Base digitable'!#REF!</f>
        <v>#REF!</v>
      </c>
      <c r="C130" s="56" t="e">
        <f>+'Proyectos Base digitable'!#REF!</f>
        <v>#REF!</v>
      </c>
      <c r="D130" s="56" t="e">
        <f>+'Proyectos Base digitable'!#REF!</f>
        <v>#REF!</v>
      </c>
      <c r="E130" s="56" t="e">
        <f>+'Proyectos Base digitable'!#REF!</f>
        <v>#REF!</v>
      </c>
      <c r="F130" s="56" t="e">
        <f>+'Proyectos Base digitable'!#REF!</f>
        <v>#REF!</v>
      </c>
      <c r="G130" s="57" t="e">
        <f>+'Proyectos Base digitable'!#REF!</f>
        <v>#REF!</v>
      </c>
      <c r="H130" s="56" t="e">
        <f>+'Proyectos Base digitable'!#REF!</f>
        <v>#REF!</v>
      </c>
      <c r="I130" s="56" t="e">
        <f>+'Proyectos Base digitable'!#REF!</f>
        <v>#REF!</v>
      </c>
      <c r="J130" s="56" t="e">
        <f>+'Proyectos Base digitable'!#REF!</f>
        <v>#REF!</v>
      </c>
      <c r="K130" s="56" t="e">
        <f>+'Proyectos Base digitable'!#REF!</f>
        <v>#REF!</v>
      </c>
      <c r="L130" s="56" t="e">
        <f>+'Proyectos Base digitable'!#REF!</f>
        <v>#REF!</v>
      </c>
      <c r="M130" s="56" t="e">
        <f>+'Proyectos Base digitable'!#REF!</f>
        <v>#REF!</v>
      </c>
      <c r="N130" s="52" t="e">
        <f>+'Proyectos Base digitable'!#REF!</f>
        <v>#REF!</v>
      </c>
      <c r="O130" s="52" t="e">
        <f>+'Proyectos Base digitable'!#REF!</f>
        <v>#REF!</v>
      </c>
      <c r="P130" s="185" t="e">
        <f>+'Proyectos Base digitable'!#REF!</f>
        <v>#REF!</v>
      </c>
      <c r="Q130" s="58" t="e">
        <f>+'Proyectos Base digitable'!#REF!</f>
        <v>#REF!</v>
      </c>
      <c r="R130" s="58" t="e">
        <f>+'Proyectos Base digitable'!#REF!</f>
        <v>#REF!</v>
      </c>
      <c r="S130" s="58" t="e">
        <f>+'Proyectos Base digitable'!#REF!</f>
        <v>#REF!</v>
      </c>
      <c r="T130" s="58" t="e">
        <f>+'Proyectos Base digitable'!#REF!</f>
        <v>#REF!</v>
      </c>
      <c r="U130" s="63" t="e">
        <f>'Proyectos Base digitable'!#REF!</f>
        <v>#REF!</v>
      </c>
      <c r="V130" s="63" t="e">
        <f>'Proyectos Base digitable'!#REF!</f>
        <v>#REF!</v>
      </c>
      <c r="W130" s="63" t="e">
        <f>'Proyectos Base digitable'!#REF!</f>
        <v>#REF!</v>
      </c>
      <c r="X130" s="63" t="e">
        <f>'Proyectos Base digitable'!#REF!</f>
        <v>#REF!</v>
      </c>
      <c r="Y130" s="63" t="e">
        <f>'Proyectos Base digitable'!#REF!</f>
        <v>#REF!</v>
      </c>
      <c r="Z130" s="58" t="e">
        <f>+'Proyectos Base digitable'!#REF!</f>
        <v>#REF!</v>
      </c>
      <c r="AA130" s="58" t="e">
        <f>+'Proyectos Base digitable'!#REF!</f>
        <v>#REF!</v>
      </c>
      <c r="AB130" s="63" t="e">
        <f>'Proyectos Base digitable'!#REF!</f>
        <v>#REF!</v>
      </c>
      <c r="AC130" s="56" t="e">
        <f>+'Proyectos Base digitable'!#REF!</f>
        <v>#REF!</v>
      </c>
      <c r="AD130" s="52" t="e">
        <f>+'Proyectos Base digitable'!#REF!</f>
        <v>#REF!</v>
      </c>
      <c r="AE130" s="52" t="e">
        <f>+'Proyectos Base digitable'!#REF!</f>
        <v>#REF!</v>
      </c>
      <c r="AF130" s="52" t="e">
        <f>+'Proyectos Base digitable'!#REF!</f>
        <v>#REF!</v>
      </c>
      <c r="AG130" s="56" t="e">
        <f>+'Proyectos Base digitable'!#REF!</f>
        <v>#REF!</v>
      </c>
      <c r="AH130" s="52" t="e">
        <f>+'Proyectos Base digitable'!#REF!</f>
        <v>#REF!</v>
      </c>
      <c r="AI130" s="52" t="e">
        <f>+'Proyectos Base digitable'!#REF!</f>
        <v>#REF!</v>
      </c>
      <c r="AJ130" s="59" t="e">
        <f>+'Proyectos Base digitable'!#REF!</f>
        <v>#REF!</v>
      </c>
      <c r="AK130" s="186" t="e">
        <f>+'Proyectos Base digitable'!#REF!</f>
        <v>#REF!</v>
      </c>
      <c r="AL130" s="186" t="e">
        <f>+'Proyectos Base digitable'!#REF!</f>
        <v>#REF!</v>
      </c>
      <c r="AM130" s="186" t="e">
        <f>+'Proyectos Base digitable'!#REF!</f>
        <v>#REF!</v>
      </c>
      <c r="AN130" s="186" t="e">
        <f>+'Proyectos Base digitable'!#REF!</f>
        <v>#REF!</v>
      </c>
      <c r="AO130" s="186" t="e">
        <f>+'Proyectos Base digitable'!#REF!</f>
        <v>#REF!</v>
      </c>
      <c r="AP130" s="186" t="e">
        <f>+'Proyectos Base digitable'!#REF!</f>
        <v>#REF!</v>
      </c>
      <c r="AQ130" s="186" t="e">
        <f>+'Proyectos Base digitable'!#REF!</f>
        <v>#REF!</v>
      </c>
      <c r="AR130" s="186" t="e">
        <f>+'Proyectos Base digitable'!#REF!</f>
        <v>#REF!</v>
      </c>
      <c r="AS130" s="186" t="e">
        <f>+'Proyectos Base digitable'!#REF!</f>
        <v>#REF!</v>
      </c>
      <c r="AT130" s="187" t="e">
        <f>+'Proyectos Base digitable'!#REF!</f>
        <v>#REF!</v>
      </c>
      <c r="AU130" s="56" t="e">
        <f>+'Proyectos Base digitable'!#REF!</f>
        <v>#REF!</v>
      </c>
      <c r="AV130" s="56" t="e">
        <f>+'Proyectos Base digitable'!#REF!</f>
        <v>#REF!</v>
      </c>
      <c r="AW130" s="56" t="e">
        <f>+'Proyectos Base digitable'!#REF!</f>
        <v>#REF!</v>
      </c>
      <c r="AX130" s="56" t="e">
        <f>+'Proyectos Base digitable'!#REF!</f>
        <v>#REF!</v>
      </c>
      <c r="AY130" s="56" t="e">
        <f>+'Proyectos Base digitable'!#REF!</f>
        <v>#REF!</v>
      </c>
      <c r="AZ130" s="188" t="e">
        <f>+'Proyectos Base digitable'!#REF!</f>
        <v>#REF!</v>
      </c>
      <c r="BA130" s="188" t="e">
        <f>+'Proyectos Base digitable'!#REF!</f>
        <v>#REF!</v>
      </c>
    </row>
    <row r="131" spans="1:53" ht="12.5">
      <c r="A131" s="60" t="e">
        <f>+'Proyectos Base digitable'!#REF!</f>
        <v>#REF!</v>
      </c>
      <c r="B131" s="56" t="e">
        <f>+'Proyectos Base digitable'!#REF!</f>
        <v>#REF!</v>
      </c>
      <c r="C131" s="56" t="e">
        <f>+'Proyectos Base digitable'!#REF!</f>
        <v>#REF!</v>
      </c>
      <c r="D131" s="56" t="e">
        <f>+'Proyectos Base digitable'!#REF!</f>
        <v>#REF!</v>
      </c>
      <c r="E131" s="56" t="e">
        <f>+'Proyectos Base digitable'!#REF!</f>
        <v>#REF!</v>
      </c>
      <c r="F131" s="56" t="e">
        <f>+'Proyectos Base digitable'!#REF!</f>
        <v>#REF!</v>
      </c>
      <c r="G131" s="57" t="e">
        <f>+'Proyectos Base digitable'!#REF!</f>
        <v>#REF!</v>
      </c>
      <c r="H131" s="56" t="e">
        <f>+'Proyectos Base digitable'!#REF!</f>
        <v>#REF!</v>
      </c>
      <c r="I131" s="56" t="e">
        <f>+'Proyectos Base digitable'!#REF!</f>
        <v>#REF!</v>
      </c>
      <c r="J131" s="56" t="e">
        <f>+'Proyectos Base digitable'!#REF!</f>
        <v>#REF!</v>
      </c>
      <c r="K131" s="56" t="e">
        <f>+'Proyectos Base digitable'!#REF!</f>
        <v>#REF!</v>
      </c>
      <c r="L131" s="56" t="e">
        <f>+'Proyectos Base digitable'!#REF!</f>
        <v>#REF!</v>
      </c>
      <c r="M131" s="56" t="e">
        <f>+'Proyectos Base digitable'!#REF!</f>
        <v>#REF!</v>
      </c>
      <c r="N131" s="52" t="e">
        <f>+'Proyectos Base digitable'!#REF!</f>
        <v>#REF!</v>
      </c>
      <c r="O131" s="52" t="e">
        <f>+'Proyectos Base digitable'!#REF!</f>
        <v>#REF!</v>
      </c>
      <c r="P131" s="185" t="e">
        <f>+'Proyectos Base digitable'!#REF!</f>
        <v>#REF!</v>
      </c>
      <c r="Q131" s="58" t="e">
        <f>+'Proyectos Base digitable'!#REF!</f>
        <v>#REF!</v>
      </c>
      <c r="R131" s="58" t="e">
        <f>+'Proyectos Base digitable'!#REF!</f>
        <v>#REF!</v>
      </c>
      <c r="S131" s="58" t="e">
        <f>+'Proyectos Base digitable'!#REF!</f>
        <v>#REF!</v>
      </c>
      <c r="T131" s="58" t="e">
        <f>+'Proyectos Base digitable'!#REF!</f>
        <v>#REF!</v>
      </c>
      <c r="U131" s="63" t="e">
        <f>'Proyectos Base digitable'!#REF!</f>
        <v>#REF!</v>
      </c>
      <c r="V131" s="63" t="e">
        <f>'Proyectos Base digitable'!#REF!</f>
        <v>#REF!</v>
      </c>
      <c r="W131" s="63" t="e">
        <f>'Proyectos Base digitable'!#REF!</f>
        <v>#REF!</v>
      </c>
      <c r="X131" s="63" t="e">
        <f>'Proyectos Base digitable'!#REF!</f>
        <v>#REF!</v>
      </c>
      <c r="Y131" s="63" t="e">
        <f>'Proyectos Base digitable'!#REF!</f>
        <v>#REF!</v>
      </c>
      <c r="Z131" s="58" t="e">
        <f>+'Proyectos Base digitable'!#REF!</f>
        <v>#REF!</v>
      </c>
      <c r="AA131" s="58" t="e">
        <f>+'Proyectos Base digitable'!#REF!</f>
        <v>#REF!</v>
      </c>
      <c r="AB131" s="63" t="e">
        <f>'Proyectos Base digitable'!#REF!</f>
        <v>#REF!</v>
      </c>
      <c r="AC131" s="56" t="e">
        <f>+'Proyectos Base digitable'!#REF!</f>
        <v>#REF!</v>
      </c>
      <c r="AD131" s="52" t="e">
        <f>+'Proyectos Base digitable'!#REF!</f>
        <v>#REF!</v>
      </c>
      <c r="AE131" s="52" t="e">
        <f>+'Proyectos Base digitable'!#REF!</f>
        <v>#REF!</v>
      </c>
      <c r="AF131" s="52" t="e">
        <f>+'Proyectos Base digitable'!#REF!</f>
        <v>#REF!</v>
      </c>
      <c r="AG131" s="56" t="e">
        <f>+'Proyectos Base digitable'!#REF!</f>
        <v>#REF!</v>
      </c>
      <c r="AH131" s="52" t="e">
        <f>+'Proyectos Base digitable'!#REF!</f>
        <v>#REF!</v>
      </c>
      <c r="AI131" s="52" t="e">
        <f>+'Proyectos Base digitable'!#REF!</f>
        <v>#REF!</v>
      </c>
      <c r="AJ131" s="59" t="e">
        <f>+'Proyectos Base digitable'!#REF!</f>
        <v>#REF!</v>
      </c>
      <c r="AK131" s="186" t="e">
        <f>+'Proyectos Base digitable'!#REF!</f>
        <v>#REF!</v>
      </c>
      <c r="AL131" s="186" t="e">
        <f>+'Proyectos Base digitable'!#REF!</f>
        <v>#REF!</v>
      </c>
      <c r="AM131" s="186" t="e">
        <f>+'Proyectos Base digitable'!#REF!</f>
        <v>#REF!</v>
      </c>
      <c r="AN131" s="186" t="e">
        <f>+'Proyectos Base digitable'!#REF!</f>
        <v>#REF!</v>
      </c>
      <c r="AO131" s="186" t="e">
        <f>+'Proyectos Base digitable'!#REF!</f>
        <v>#REF!</v>
      </c>
      <c r="AP131" s="186" t="e">
        <f>+'Proyectos Base digitable'!#REF!</f>
        <v>#REF!</v>
      </c>
      <c r="AQ131" s="186" t="e">
        <f>+'Proyectos Base digitable'!#REF!</f>
        <v>#REF!</v>
      </c>
      <c r="AR131" s="186" t="e">
        <f>+'Proyectos Base digitable'!#REF!</f>
        <v>#REF!</v>
      </c>
      <c r="AS131" s="186" t="e">
        <f>+'Proyectos Base digitable'!#REF!</f>
        <v>#REF!</v>
      </c>
      <c r="AT131" s="187" t="e">
        <f>+'Proyectos Base digitable'!#REF!</f>
        <v>#REF!</v>
      </c>
      <c r="AU131" s="56" t="e">
        <f>+'Proyectos Base digitable'!#REF!</f>
        <v>#REF!</v>
      </c>
      <c r="AV131" s="56" t="e">
        <f>+'Proyectos Base digitable'!#REF!</f>
        <v>#REF!</v>
      </c>
      <c r="AW131" s="56" t="e">
        <f>+'Proyectos Base digitable'!#REF!</f>
        <v>#REF!</v>
      </c>
      <c r="AX131" s="56" t="e">
        <f>+'Proyectos Base digitable'!#REF!</f>
        <v>#REF!</v>
      </c>
      <c r="AY131" s="56" t="e">
        <f>+'Proyectos Base digitable'!#REF!</f>
        <v>#REF!</v>
      </c>
      <c r="AZ131" s="188" t="e">
        <f>+'Proyectos Base digitable'!#REF!</f>
        <v>#REF!</v>
      </c>
      <c r="BA131" s="188" t="e">
        <f>+'Proyectos Base digitable'!#REF!</f>
        <v>#REF!</v>
      </c>
    </row>
    <row r="132" spans="1:53" ht="12.5">
      <c r="A132" s="60" t="e">
        <f>+'Proyectos Base digitable'!#REF!</f>
        <v>#REF!</v>
      </c>
      <c r="B132" s="56" t="e">
        <f>+'Proyectos Base digitable'!#REF!</f>
        <v>#REF!</v>
      </c>
      <c r="C132" s="56" t="e">
        <f>+'Proyectos Base digitable'!#REF!</f>
        <v>#REF!</v>
      </c>
      <c r="D132" s="56" t="e">
        <f>+'Proyectos Base digitable'!#REF!</f>
        <v>#REF!</v>
      </c>
      <c r="E132" s="56" t="e">
        <f>+'Proyectos Base digitable'!#REF!</f>
        <v>#REF!</v>
      </c>
      <c r="F132" s="56" t="e">
        <f>+'Proyectos Base digitable'!#REF!</f>
        <v>#REF!</v>
      </c>
      <c r="G132" s="57" t="e">
        <f>+'Proyectos Base digitable'!#REF!</f>
        <v>#REF!</v>
      </c>
      <c r="H132" s="56" t="e">
        <f>+'Proyectos Base digitable'!#REF!</f>
        <v>#REF!</v>
      </c>
      <c r="I132" s="56" t="e">
        <f>+'Proyectos Base digitable'!#REF!</f>
        <v>#REF!</v>
      </c>
      <c r="J132" s="56" t="e">
        <f>+'Proyectos Base digitable'!#REF!</f>
        <v>#REF!</v>
      </c>
      <c r="K132" s="56" t="e">
        <f>+'Proyectos Base digitable'!#REF!</f>
        <v>#REF!</v>
      </c>
      <c r="L132" s="56" t="e">
        <f>+'Proyectos Base digitable'!#REF!</f>
        <v>#REF!</v>
      </c>
      <c r="M132" s="56" t="e">
        <f>+'Proyectos Base digitable'!#REF!</f>
        <v>#REF!</v>
      </c>
      <c r="N132" s="52" t="e">
        <f>+'Proyectos Base digitable'!#REF!</f>
        <v>#REF!</v>
      </c>
      <c r="O132" s="52" t="e">
        <f>+'Proyectos Base digitable'!#REF!</f>
        <v>#REF!</v>
      </c>
      <c r="P132" s="185" t="e">
        <f>+'Proyectos Base digitable'!#REF!</f>
        <v>#REF!</v>
      </c>
      <c r="Q132" s="58" t="e">
        <f>+'Proyectos Base digitable'!#REF!</f>
        <v>#REF!</v>
      </c>
      <c r="R132" s="58" t="e">
        <f>+'Proyectos Base digitable'!#REF!</f>
        <v>#REF!</v>
      </c>
      <c r="S132" s="58" t="e">
        <f>+'Proyectos Base digitable'!#REF!</f>
        <v>#REF!</v>
      </c>
      <c r="T132" s="58" t="e">
        <f>+'Proyectos Base digitable'!#REF!</f>
        <v>#REF!</v>
      </c>
      <c r="U132" s="63" t="e">
        <f>'Proyectos Base digitable'!#REF!</f>
        <v>#REF!</v>
      </c>
      <c r="V132" s="63" t="e">
        <f>'Proyectos Base digitable'!#REF!</f>
        <v>#REF!</v>
      </c>
      <c r="W132" s="63" t="e">
        <f>'Proyectos Base digitable'!#REF!</f>
        <v>#REF!</v>
      </c>
      <c r="X132" s="63" t="e">
        <f>'Proyectos Base digitable'!#REF!</f>
        <v>#REF!</v>
      </c>
      <c r="Y132" s="63" t="e">
        <f>'Proyectos Base digitable'!#REF!</f>
        <v>#REF!</v>
      </c>
      <c r="Z132" s="58" t="e">
        <f>+'Proyectos Base digitable'!#REF!</f>
        <v>#REF!</v>
      </c>
      <c r="AA132" s="58" t="e">
        <f>+'Proyectos Base digitable'!#REF!</f>
        <v>#REF!</v>
      </c>
      <c r="AB132" s="63" t="e">
        <f>'Proyectos Base digitable'!#REF!</f>
        <v>#REF!</v>
      </c>
      <c r="AC132" s="56" t="e">
        <f>+'Proyectos Base digitable'!#REF!</f>
        <v>#REF!</v>
      </c>
      <c r="AD132" s="52" t="e">
        <f>+'Proyectos Base digitable'!#REF!</f>
        <v>#REF!</v>
      </c>
      <c r="AE132" s="52" t="e">
        <f>+'Proyectos Base digitable'!#REF!</f>
        <v>#REF!</v>
      </c>
      <c r="AF132" s="52" t="e">
        <f>+'Proyectos Base digitable'!#REF!</f>
        <v>#REF!</v>
      </c>
      <c r="AG132" s="56" t="e">
        <f>+'Proyectos Base digitable'!#REF!</f>
        <v>#REF!</v>
      </c>
      <c r="AH132" s="52" t="e">
        <f>+'Proyectos Base digitable'!#REF!</f>
        <v>#REF!</v>
      </c>
      <c r="AI132" s="52" t="e">
        <f>+'Proyectos Base digitable'!#REF!</f>
        <v>#REF!</v>
      </c>
      <c r="AJ132" s="59" t="e">
        <f>+'Proyectos Base digitable'!#REF!</f>
        <v>#REF!</v>
      </c>
      <c r="AK132" s="186" t="e">
        <f>+'Proyectos Base digitable'!#REF!</f>
        <v>#REF!</v>
      </c>
      <c r="AL132" s="186" t="e">
        <f>+'Proyectos Base digitable'!#REF!</f>
        <v>#REF!</v>
      </c>
      <c r="AM132" s="186" t="e">
        <f>+'Proyectos Base digitable'!#REF!</f>
        <v>#REF!</v>
      </c>
      <c r="AN132" s="186" t="e">
        <f>+'Proyectos Base digitable'!#REF!</f>
        <v>#REF!</v>
      </c>
      <c r="AO132" s="186" t="e">
        <f>+'Proyectos Base digitable'!#REF!</f>
        <v>#REF!</v>
      </c>
      <c r="AP132" s="186" t="e">
        <f>+'Proyectos Base digitable'!#REF!</f>
        <v>#REF!</v>
      </c>
      <c r="AQ132" s="186" t="e">
        <f>+'Proyectos Base digitable'!#REF!</f>
        <v>#REF!</v>
      </c>
      <c r="AR132" s="186" t="e">
        <f>+'Proyectos Base digitable'!#REF!</f>
        <v>#REF!</v>
      </c>
      <c r="AS132" s="186" t="e">
        <f>+'Proyectos Base digitable'!#REF!</f>
        <v>#REF!</v>
      </c>
      <c r="AT132" s="187" t="e">
        <f>+'Proyectos Base digitable'!#REF!</f>
        <v>#REF!</v>
      </c>
      <c r="AU132" s="56" t="e">
        <f>+'Proyectos Base digitable'!#REF!</f>
        <v>#REF!</v>
      </c>
      <c r="AV132" s="56" t="e">
        <f>+'Proyectos Base digitable'!#REF!</f>
        <v>#REF!</v>
      </c>
      <c r="AW132" s="56" t="e">
        <f>+'Proyectos Base digitable'!#REF!</f>
        <v>#REF!</v>
      </c>
      <c r="AX132" s="56" t="e">
        <f>+'Proyectos Base digitable'!#REF!</f>
        <v>#REF!</v>
      </c>
      <c r="AY132" s="56" t="e">
        <f>+'Proyectos Base digitable'!#REF!</f>
        <v>#REF!</v>
      </c>
      <c r="AZ132" s="188" t="e">
        <f>+'Proyectos Base digitable'!#REF!</f>
        <v>#REF!</v>
      </c>
      <c r="BA132" s="188" t="e">
        <f>+'Proyectos Base digitable'!#REF!</f>
        <v>#REF!</v>
      </c>
    </row>
    <row r="133" spans="1:53" ht="12.5">
      <c r="A133" s="60" t="e">
        <f>+'Proyectos Base digitable'!#REF!</f>
        <v>#REF!</v>
      </c>
      <c r="B133" s="56" t="e">
        <f>+'Proyectos Base digitable'!#REF!</f>
        <v>#REF!</v>
      </c>
      <c r="C133" s="56" t="e">
        <f>+'Proyectos Base digitable'!#REF!</f>
        <v>#REF!</v>
      </c>
      <c r="D133" s="56" t="e">
        <f>+'Proyectos Base digitable'!#REF!</f>
        <v>#REF!</v>
      </c>
      <c r="E133" s="56" t="e">
        <f>+'Proyectos Base digitable'!#REF!</f>
        <v>#REF!</v>
      </c>
      <c r="F133" s="56" t="e">
        <f>+'Proyectos Base digitable'!#REF!</f>
        <v>#REF!</v>
      </c>
      <c r="G133" s="57" t="e">
        <f>+'Proyectos Base digitable'!#REF!</f>
        <v>#REF!</v>
      </c>
      <c r="H133" s="56" t="e">
        <f>+'Proyectos Base digitable'!#REF!</f>
        <v>#REF!</v>
      </c>
      <c r="I133" s="56" t="e">
        <f>+'Proyectos Base digitable'!#REF!</f>
        <v>#REF!</v>
      </c>
      <c r="J133" s="56" t="e">
        <f>+'Proyectos Base digitable'!#REF!</f>
        <v>#REF!</v>
      </c>
      <c r="K133" s="56" t="e">
        <f>+'Proyectos Base digitable'!#REF!</f>
        <v>#REF!</v>
      </c>
      <c r="L133" s="56" t="e">
        <f>+'Proyectos Base digitable'!#REF!</f>
        <v>#REF!</v>
      </c>
      <c r="M133" s="56" t="e">
        <f>+'Proyectos Base digitable'!#REF!</f>
        <v>#REF!</v>
      </c>
      <c r="N133" s="52" t="e">
        <f>+'Proyectos Base digitable'!#REF!</f>
        <v>#REF!</v>
      </c>
      <c r="O133" s="52" t="e">
        <f>+'Proyectos Base digitable'!#REF!</f>
        <v>#REF!</v>
      </c>
      <c r="P133" s="185" t="e">
        <f>+'Proyectos Base digitable'!#REF!</f>
        <v>#REF!</v>
      </c>
      <c r="Q133" s="58" t="e">
        <f>+'Proyectos Base digitable'!#REF!</f>
        <v>#REF!</v>
      </c>
      <c r="R133" s="58" t="e">
        <f>+'Proyectos Base digitable'!#REF!</f>
        <v>#REF!</v>
      </c>
      <c r="S133" s="58" t="e">
        <f>+'Proyectos Base digitable'!#REF!</f>
        <v>#REF!</v>
      </c>
      <c r="T133" s="58" t="e">
        <f>+'Proyectos Base digitable'!#REF!</f>
        <v>#REF!</v>
      </c>
      <c r="U133" s="63" t="e">
        <f>'Proyectos Base digitable'!#REF!</f>
        <v>#REF!</v>
      </c>
      <c r="V133" s="63" t="e">
        <f>'Proyectos Base digitable'!#REF!</f>
        <v>#REF!</v>
      </c>
      <c r="W133" s="63" t="e">
        <f>'Proyectos Base digitable'!#REF!</f>
        <v>#REF!</v>
      </c>
      <c r="X133" s="63" t="e">
        <f>'Proyectos Base digitable'!#REF!</f>
        <v>#REF!</v>
      </c>
      <c r="Y133" s="63" t="e">
        <f>'Proyectos Base digitable'!#REF!</f>
        <v>#REF!</v>
      </c>
      <c r="Z133" s="58" t="e">
        <f>+'Proyectos Base digitable'!#REF!</f>
        <v>#REF!</v>
      </c>
      <c r="AA133" s="58" t="e">
        <f>+'Proyectos Base digitable'!#REF!</f>
        <v>#REF!</v>
      </c>
      <c r="AB133" s="63" t="e">
        <f>'Proyectos Base digitable'!#REF!</f>
        <v>#REF!</v>
      </c>
      <c r="AC133" s="56" t="e">
        <f>+'Proyectos Base digitable'!#REF!</f>
        <v>#REF!</v>
      </c>
      <c r="AD133" s="52" t="e">
        <f>+'Proyectos Base digitable'!#REF!</f>
        <v>#REF!</v>
      </c>
      <c r="AE133" s="52" t="e">
        <f>+'Proyectos Base digitable'!#REF!</f>
        <v>#REF!</v>
      </c>
      <c r="AF133" s="52" t="e">
        <f>+'Proyectos Base digitable'!#REF!</f>
        <v>#REF!</v>
      </c>
      <c r="AG133" s="56" t="e">
        <f>+'Proyectos Base digitable'!#REF!</f>
        <v>#REF!</v>
      </c>
      <c r="AH133" s="52" t="e">
        <f>+'Proyectos Base digitable'!#REF!</f>
        <v>#REF!</v>
      </c>
      <c r="AI133" s="52" t="e">
        <f>+'Proyectos Base digitable'!#REF!</f>
        <v>#REF!</v>
      </c>
      <c r="AJ133" s="59" t="e">
        <f>+'Proyectos Base digitable'!#REF!</f>
        <v>#REF!</v>
      </c>
      <c r="AK133" s="186" t="e">
        <f>+'Proyectos Base digitable'!#REF!</f>
        <v>#REF!</v>
      </c>
      <c r="AL133" s="186" t="e">
        <f>+'Proyectos Base digitable'!#REF!</f>
        <v>#REF!</v>
      </c>
      <c r="AM133" s="186" t="e">
        <f>+'Proyectos Base digitable'!#REF!</f>
        <v>#REF!</v>
      </c>
      <c r="AN133" s="186" t="e">
        <f>+'Proyectos Base digitable'!#REF!</f>
        <v>#REF!</v>
      </c>
      <c r="AO133" s="186" t="e">
        <f>+'Proyectos Base digitable'!#REF!</f>
        <v>#REF!</v>
      </c>
      <c r="AP133" s="186" t="e">
        <f>+'Proyectos Base digitable'!#REF!</f>
        <v>#REF!</v>
      </c>
      <c r="AQ133" s="186" t="e">
        <f>+'Proyectos Base digitable'!#REF!</f>
        <v>#REF!</v>
      </c>
      <c r="AR133" s="186" t="e">
        <f>+'Proyectos Base digitable'!#REF!</f>
        <v>#REF!</v>
      </c>
      <c r="AS133" s="186" t="e">
        <f>+'Proyectos Base digitable'!#REF!</f>
        <v>#REF!</v>
      </c>
      <c r="AT133" s="187" t="e">
        <f>+'Proyectos Base digitable'!#REF!</f>
        <v>#REF!</v>
      </c>
      <c r="AU133" s="56" t="e">
        <f>+'Proyectos Base digitable'!#REF!</f>
        <v>#REF!</v>
      </c>
      <c r="AV133" s="56" t="e">
        <f>+'Proyectos Base digitable'!#REF!</f>
        <v>#REF!</v>
      </c>
      <c r="AW133" s="56" t="e">
        <f>+'Proyectos Base digitable'!#REF!</f>
        <v>#REF!</v>
      </c>
      <c r="AX133" s="56" t="e">
        <f>+'Proyectos Base digitable'!#REF!</f>
        <v>#REF!</v>
      </c>
      <c r="AY133" s="56" t="e">
        <f>+'Proyectos Base digitable'!#REF!</f>
        <v>#REF!</v>
      </c>
      <c r="AZ133" s="188" t="e">
        <f>+'Proyectos Base digitable'!#REF!</f>
        <v>#REF!</v>
      </c>
      <c r="BA133" s="188" t="e">
        <f>+'Proyectos Base digitable'!#REF!</f>
        <v>#REF!</v>
      </c>
    </row>
    <row r="134" spans="1:53" ht="12.5">
      <c r="A134" s="60" t="e">
        <f>+'Proyectos Base digitable'!#REF!</f>
        <v>#REF!</v>
      </c>
      <c r="B134" s="56" t="e">
        <f>+'Proyectos Base digitable'!#REF!</f>
        <v>#REF!</v>
      </c>
      <c r="C134" s="56" t="e">
        <f>+'Proyectos Base digitable'!#REF!</f>
        <v>#REF!</v>
      </c>
      <c r="D134" s="56" t="e">
        <f>+'Proyectos Base digitable'!#REF!</f>
        <v>#REF!</v>
      </c>
      <c r="E134" s="56" t="e">
        <f>+'Proyectos Base digitable'!#REF!</f>
        <v>#REF!</v>
      </c>
      <c r="F134" s="56" t="e">
        <f>+'Proyectos Base digitable'!#REF!</f>
        <v>#REF!</v>
      </c>
      <c r="G134" s="57" t="e">
        <f>+'Proyectos Base digitable'!#REF!</f>
        <v>#REF!</v>
      </c>
      <c r="H134" s="56" t="e">
        <f>+'Proyectos Base digitable'!#REF!</f>
        <v>#REF!</v>
      </c>
      <c r="I134" s="56" t="e">
        <f>+'Proyectos Base digitable'!#REF!</f>
        <v>#REF!</v>
      </c>
      <c r="J134" s="56" t="e">
        <f>+'Proyectos Base digitable'!#REF!</f>
        <v>#REF!</v>
      </c>
      <c r="K134" s="56" t="e">
        <f>+'Proyectos Base digitable'!#REF!</f>
        <v>#REF!</v>
      </c>
      <c r="L134" s="56" t="e">
        <f>+'Proyectos Base digitable'!#REF!</f>
        <v>#REF!</v>
      </c>
      <c r="M134" s="56" t="e">
        <f>+'Proyectos Base digitable'!#REF!</f>
        <v>#REF!</v>
      </c>
      <c r="N134" s="52" t="e">
        <f>+'Proyectos Base digitable'!#REF!</f>
        <v>#REF!</v>
      </c>
      <c r="O134" s="52" t="e">
        <f>+'Proyectos Base digitable'!#REF!</f>
        <v>#REF!</v>
      </c>
      <c r="P134" s="185" t="e">
        <f>+'Proyectos Base digitable'!#REF!</f>
        <v>#REF!</v>
      </c>
      <c r="Q134" s="58" t="e">
        <f>+'Proyectos Base digitable'!#REF!</f>
        <v>#REF!</v>
      </c>
      <c r="R134" s="58" t="e">
        <f>+'Proyectos Base digitable'!#REF!</f>
        <v>#REF!</v>
      </c>
      <c r="S134" s="58" t="e">
        <f>+'Proyectos Base digitable'!#REF!</f>
        <v>#REF!</v>
      </c>
      <c r="T134" s="58" t="e">
        <f>+'Proyectos Base digitable'!#REF!</f>
        <v>#REF!</v>
      </c>
      <c r="U134" s="63" t="e">
        <f>'Proyectos Base digitable'!#REF!</f>
        <v>#REF!</v>
      </c>
      <c r="V134" s="63" t="e">
        <f>'Proyectos Base digitable'!#REF!</f>
        <v>#REF!</v>
      </c>
      <c r="W134" s="63" t="e">
        <f>'Proyectos Base digitable'!#REF!</f>
        <v>#REF!</v>
      </c>
      <c r="X134" s="63" t="e">
        <f>'Proyectos Base digitable'!#REF!</f>
        <v>#REF!</v>
      </c>
      <c r="Y134" s="63" t="e">
        <f>'Proyectos Base digitable'!#REF!</f>
        <v>#REF!</v>
      </c>
      <c r="Z134" s="58" t="e">
        <f>+'Proyectos Base digitable'!#REF!</f>
        <v>#REF!</v>
      </c>
      <c r="AA134" s="58" t="e">
        <f>+'Proyectos Base digitable'!#REF!</f>
        <v>#REF!</v>
      </c>
      <c r="AB134" s="63" t="e">
        <f>'Proyectos Base digitable'!#REF!</f>
        <v>#REF!</v>
      </c>
      <c r="AC134" s="56" t="e">
        <f>+'Proyectos Base digitable'!#REF!</f>
        <v>#REF!</v>
      </c>
      <c r="AD134" s="52" t="e">
        <f>+'Proyectos Base digitable'!#REF!</f>
        <v>#REF!</v>
      </c>
      <c r="AE134" s="52" t="e">
        <f>+'Proyectos Base digitable'!#REF!</f>
        <v>#REF!</v>
      </c>
      <c r="AF134" s="52" t="e">
        <f>+'Proyectos Base digitable'!#REF!</f>
        <v>#REF!</v>
      </c>
      <c r="AG134" s="56" t="e">
        <f>+'Proyectos Base digitable'!#REF!</f>
        <v>#REF!</v>
      </c>
      <c r="AH134" s="52" t="e">
        <f>+'Proyectos Base digitable'!#REF!</f>
        <v>#REF!</v>
      </c>
      <c r="AI134" s="52" t="e">
        <f>+'Proyectos Base digitable'!#REF!</f>
        <v>#REF!</v>
      </c>
      <c r="AJ134" s="59" t="e">
        <f>+'Proyectos Base digitable'!#REF!</f>
        <v>#REF!</v>
      </c>
      <c r="AK134" s="186" t="e">
        <f>+'Proyectos Base digitable'!#REF!</f>
        <v>#REF!</v>
      </c>
      <c r="AL134" s="186" t="e">
        <f>+'Proyectos Base digitable'!#REF!</f>
        <v>#REF!</v>
      </c>
      <c r="AM134" s="186" t="e">
        <f>+'Proyectos Base digitable'!#REF!</f>
        <v>#REF!</v>
      </c>
      <c r="AN134" s="186" t="e">
        <f>+'Proyectos Base digitable'!#REF!</f>
        <v>#REF!</v>
      </c>
      <c r="AO134" s="186" t="e">
        <f>+'Proyectos Base digitable'!#REF!</f>
        <v>#REF!</v>
      </c>
      <c r="AP134" s="186" t="e">
        <f>+'Proyectos Base digitable'!#REF!</f>
        <v>#REF!</v>
      </c>
      <c r="AQ134" s="186" t="e">
        <f>+'Proyectos Base digitable'!#REF!</f>
        <v>#REF!</v>
      </c>
      <c r="AR134" s="186" t="e">
        <f>+'Proyectos Base digitable'!#REF!</f>
        <v>#REF!</v>
      </c>
      <c r="AS134" s="186" t="e">
        <f>+'Proyectos Base digitable'!#REF!</f>
        <v>#REF!</v>
      </c>
      <c r="AT134" s="187" t="e">
        <f>+'Proyectos Base digitable'!#REF!</f>
        <v>#REF!</v>
      </c>
      <c r="AU134" s="56" t="e">
        <f>+'Proyectos Base digitable'!#REF!</f>
        <v>#REF!</v>
      </c>
      <c r="AV134" s="56" t="e">
        <f>+'Proyectos Base digitable'!#REF!</f>
        <v>#REF!</v>
      </c>
      <c r="AW134" s="56" t="e">
        <f>+'Proyectos Base digitable'!#REF!</f>
        <v>#REF!</v>
      </c>
      <c r="AX134" s="56" t="e">
        <f>+'Proyectos Base digitable'!#REF!</f>
        <v>#REF!</v>
      </c>
      <c r="AY134" s="56" t="e">
        <f>+'Proyectos Base digitable'!#REF!</f>
        <v>#REF!</v>
      </c>
      <c r="AZ134" s="188" t="e">
        <f>+'Proyectos Base digitable'!#REF!</f>
        <v>#REF!</v>
      </c>
      <c r="BA134" s="188" t="e">
        <f>+'Proyectos Base digitable'!#REF!</f>
        <v>#REF!</v>
      </c>
    </row>
    <row r="135" spans="1:53" ht="12.5">
      <c r="A135" s="60" t="e">
        <f>+'Proyectos Base digitable'!#REF!</f>
        <v>#REF!</v>
      </c>
      <c r="B135" s="56" t="e">
        <f>+'Proyectos Base digitable'!#REF!</f>
        <v>#REF!</v>
      </c>
      <c r="C135" s="56" t="e">
        <f>+'Proyectos Base digitable'!#REF!</f>
        <v>#REF!</v>
      </c>
      <c r="D135" s="56" t="e">
        <f>+'Proyectos Base digitable'!#REF!</f>
        <v>#REF!</v>
      </c>
      <c r="E135" s="56" t="e">
        <f>+'Proyectos Base digitable'!#REF!</f>
        <v>#REF!</v>
      </c>
      <c r="F135" s="56" t="e">
        <f>+'Proyectos Base digitable'!#REF!</f>
        <v>#REF!</v>
      </c>
      <c r="G135" s="57" t="e">
        <f>+'Proyectos Base digitable'!#REF!</f>
        <v>#REF!</v>
      </c>
      <c r="H135" s="56" t="e">
        <f>+'Proyectos Base digitable'!#REF!</f>
        <v>#REF!</v>
      </c>
      <c r="I135" s="56" t="e">
        <f>+'Proyectos Base digitable'!#REF!</f>
        <v>#REF!</v>
      </c>
      <c r="J135" s="56" t="e">
        <f>+'Proyectos Base digitable'!#REF!</f>
        <v>#REF!</v>
      </c>
      <c r="K135" s="56" t="e">
        <f>+'Proyectos Base digitable'!#REF!</f>
        <v>#REF!</v>
      </c>
      <c r="L135" s="56" t="e">
        <f>+'Proyectos Base digitable'!#REF!</f>
        <v>#REF!</v>
      </c>
      <c r="M135" s="56" t="e">
        <f>+'Proyectos Base digitable'!#REF!</f>
        <v>#REF!</v>
      </c>
      <c r="N135" s="52" t="e">
        <f>+'Proyectos Base digitable'!#REF!</f>
        <v>#REF!</v>
      </c>
      <c r="O135" s="52" t="e">
        <f>+'Proyectos Base digitable'!#REF!</f>
        <v>#REF!</v>
      </c>
      <c r="P135" s="185" t="e">
        <f>+'Proyectos Base digitable'!#REF!</f>
        <v>#REF!</v>
      </c>
      <c r="Q135" s="58" t="e">
        <f>+'Proyectos Base digitable'!#REF!</f>
        <v>#REF!</v>
      </c>
      <c r="R135" s="58" t="e">
        <f>+'Proyectos Base digitable'!#REF!</f>
        <v>#REF!</v>
      </c>
      <c r="S135" s="58" t="e">
        <f>+'Proyectos Base digitable'!#REF!</f>
        <v>#REF!</v>
      </c>
      <c r="T135" s="58" t="e">
        <f>+'Proyectos Base digitable'!#REF!</f>
        <v>#REF!</v>
      </c>
      <c r="U135" s="63" t="e">
        <f>'Proyectos Base digitable'!#REF!</f>
        <v>#REF!</v>
      </c>
      <c r="V135" s="63" t="e">
        <f>'Proyectos Base digitable'!#REF!</f>
        <v>#REF!</v>
      </c>
      <c r="W135" s="63" t="e">
        <f>'Proyectos Base digitable'!#REF!</f>
        <v>#REF!</v>
      </c>
      <c r="X135" s="63" t="e">
        <f>'Proyectos Base digitable'!#REF!</f>
        <v>#REF!</v>
      </c>
      <c r="Y135" s="63" t="e">
        <f>'Proyectos Base digitable'!#REF!</f>
        <v>#REF!</v>
      </c>
      <c r="Z135" s="58" t="e">
        <f>+'Proyectos Base digitable'!#REF!</f>
        <v>#REF!</v>
      </c>
      <c r="AA135" s="58" t="e">
        <f>+'Proyectos Base digitable'!#REF!</f>
        <v>#REF!</v>
      </c>
      <c r="AB135" s="63" t="e">
        <f>'Proyectos Base digitable'!#REF!</f>
        <v>#REF!</v>
      </c>
      <c r="AC135" s="56" t="e">
        <f>+'Proyectos Base digitable'!#REF!</f>
        <v>#REF!</v>
      </c>
      <c r="AD135" s="52" t="e">
        <f>+'Proyectos Base digitable'!#REF!</f>
        <v>#REF!</v>
      </c>
      <c r="AE135" s="52" t="e">
        <f>+'Proyectos Base digitable'!#REF!</f>
        <v>#REF!</v>
      </c>
      <c r="AF135" s="52" t="e">
        <f>+'Proyectos Base digitable'!#REF!</f>
        <v>#REF!</v>
      </c>
      <c r="AG135" s="56" t="e">
        <f>+'Proyectos Base digitable'!#REF!</f>
        <v>#REF!</v>
      </c>
      <c r="AH135" s="52" t="e">
        <f>+'Proyectos Base digitable'!#REF!</f>
        <v>#REF!</v>
      </c>
      <c r="AI135" s="52" t="e">
        <f>+'Proyectos Base digitable'!#REF!</f>
        <v>#REF!</v>
      </c>
      <c r="AJ135" s="59" t="e">
        <f>+'Proyectos Base digitable'!#REF!</f>
        <v>#REF!</v>
      </c>
      <c r="AK135" s="186" t="e">
        <f>+'Proyectos Base digitable'!#REF!</f>
        <v>#REF!</v>
      </c>
      <c r="AL135" s="186" t="e">
        <f>+'Proyectos Base digitable'!#REF!</f>
        <v>#REF!</v>
      </c>
      <c r="AM135" s="186" t="e">
        <f>+'Proyectos Base digitable'!#REF!</f>
        <v>#REF!</v>
      </c>
      <c r="AN135" s="186" t="e">
        <f>+'Proyectos Base digitable'!#REF!</f>
        <v>#REF!</v>
      </c>
      <c r="AO135" s="186" t="e">
        <f>+'Proyectos Base digitable'!#REF!</f>
        <v>#REF!</v>
      </c>
      <c r="AP135" s="186" t="e">
        <f>+'Proyectos Base digitable'!#REF!</f>
        <v>#REF!</v>
      </c>
      <c r="AQ135" s="186" t="e">
        <f>+'Proyectos Base digitable'!#REF!</f>
        <v>#REF!</v>
      </c>
      <c r="AR135" s="186" t="e">
        <f>+'Proyectos Base digitable'!#REF!</f>
        <v>#REF!</v>
      </c>
      <c r="AS135" s="186" t="e">
        <f>+'Proyectos Base digitable'!#REF!</f>
        <v>#REF!</v>
      </c>
      <c r="AT135" s="187" t="e">
        <f>+'Proyectos Base digitable'!#REF!</f>
        <v>#REF!</v>
      </c>
      <c r="AU135" s="56" t="e">
        <f>+'Proyectos Base digitable'!#REF!</f>
        <v>#REF!</v>
      </c>
      <c r="AV135" s="56" t="e">
        <f>+'Proyectos Base digitable'!#REF!</f>
        <v>#REF!</v>
      </c>
      <c r="AW135" s="56" t="e">
        <f>+'Proyectos Base digitable'!#REF!</f>
        <v>#REF!</v>
      </c>
      <c r="AX135" s="56" t="e">
        <f>+'Proyectos Base digitable'!#REF!</f>
        <v>#REF!</v>
      </c>
      <c r="AY135" s="56" t="e">
        <f>+'Proyectos Base digitable'!#REF!</f>
        <v>#REF!</v>
      </c>
      <c r="AZ135" s="188" t="e">
        <f>+'Proyectos Base digitable'!#REF!</f>
        <v>#REF!</v>
      </c>
      <c r="BA135" s="188" t="e">
        <f>+'Proyectos Base digitable'!#REF!</f>
        <v>#REF!</v>
      </c>
    </row>
    <row r="136" spans="1:53" ht="12.5">
      <c r="A136" s="60" t="e">
        <f>+'Proyectos Base digitable'!#REF!</f>
        <v>#REF!</v>
      </c>
      <c r="B136" s="56" t="e">
        <f>+'Proyectos Base digitable'!#REF!</f>
        <v>#REF!</v>
      </c>
      <c r="C136" s="56" t="e">
        <f>+'Proyectos Base digitable'!#REF!</f>
        <v>#REF!</v>
      </c>
      <c r="D136" s="56" t="e">
        <f>+'Proyectos Base digitable'!#REF!</f>
        <v>#REF!</v>
      </c>
      <c r="E136" s="56" t="e">
        <f>+'Proyectos Base digitable'!#REF!</f>
        <v>#REF!</v>
      </c>
      <c r="F136" s="56" t="e">
        <f>+'Proyectos Base digitable'!#REF!</f>
        <v>#REF!</v>
      </c>
      <c r="G136" s="57" t="e">
        <f>+'Proyectos Base digitable'!#REF!</f>
        <v>#REF!</v>
      </c>
      <c r="H136" s="56" t="e">
        <f>+'Proyectos Base digitable'!#REF!</f>
        <v>#REF!</v>
      </c>
      <c r="I136" s="56" t="e">
        <f>+'Proyectos Base digitable'!#REF!</f>
        <v>#REF!</v>
      </c>
      <c r="J136" s="56" t="e">
        <f>+'Proyectos Base digitable'!#REF!</f>
        <v>#REF!</v>
      </c>
      <c r="K136" s="56" t="e">
        <f>+'Proyectos Base digitable'!#REF!</f>
        <v>#REF!</v>
      </c>
      <c r="L136" s="56" t="e">
        <f>+'Proyectos Base digitable'!#REF!</f>
        <v>#REF!</v>
      </c>
      <c r="M136" s="56" t="e">
        <f>+'Proyectos Base digitable'!#REF!</f>
        <v>#REF!</v>
      </c>
      <c r="N136" s="52" t="e">
        <f>+'Proyectos Base digitable'!#REF!</f>
        <v>#REF!</v>
      </c>
      <c r="O136" s="52" t="e">
        <f>+'Proyectos Base digitable'!#REF!</f>
        <v>#REF!</v>
      </c>
      <c r="P136" s="185" t="e">
        <f>+'Proyectos Base digitable'!#REF!</f>
        <v>#REF!</v>
      </c>
      <c r="Q136" s="58" t="e">
        <f>+'Proyectos Base digitable'!#REF!</f>
        <v>#REF!</v>
      </c>
      <c r="R136" s="58" t="e">
        <f>+'Proyectos Base digitable'!#REF!</f>
        <v>#REF!</v>
      </c>
      <c r="S136" s="58" t="e">
        <f>+'Proyectos Base digitable'!#REF!</f>
        <v>#REF!</v>
      </c>
      <c r="T136" s="58" t="e">
        <f>+'Proyectos Base digitable'!#REF!</f>
        <v>#REF!</v>
      </c>
      <c r="U136" s="63" t="e">
        <f>'Proyectos Base digitable'!#REF!</f>
        <v>#REF!</v>
      </c>
      <c r="V136" s="63" t="e">
        <f>'Proyectos Base digitable'!#REF!</f>
        <v>#REF!</v>
      </c>
      <c r="W136" s="63" t="e">
        <f>'Proyectos Base digitable'!#REF!</f>
        <v>#REF!</v>
      </c>
      <c r="X136" s="63" t="e">
        <f>'Proyectos Base digitable'!#REF!</f>
        <v>#REF!</v>
      </c>
      <c r="Y136" s="63" t="e">
        <f>'Proyectos Base digitable'!#REF!</f>
        <v>#REF!</v>
      </c>
      <c r="Z136" s="58" t="e">
        <f>+'Proyectos Base digitable'!#REF!</f>
        <v>#REF!</v>
      </c>
      <c r="AA136" s="58" t="e">
        <f>+'Proyectos Base digitable'!#REF!</f>
        <v>#REF!</v>
      </c>
      <c r="AB136" s="63" t="e">
        <f>'Proyectos Base digitable'!#REF!</f>
        <v>#REF!</v>
      </c>
      <c r="AC136" s="56" t="e">
        <f>+'Proyectos Base digitable'!#REF!</f>
        <v>#REF!</v>
      </c>
      <c r="AD136" s="52" t="e">
        <f>+'Proyectos Base digitable'!#REF!</f>
        <v>#REF!</v>
      </c>
      <c r="AE136" s="52" t="e">
        <f>+'Proyectos Base digitable'!#REF!</f>
        <v>#REF!</v>
      </c>
      <c r="AF136" s="52" t="e">
        <f>+'Proyectos Base digitable'!#REF!</f>
        <v>#REF!</v>
      </c>
      <c r="AG136" s="56" t="e">
        <f>+'Proyectos Base digitable'!#REF!</f>
        <v>#REF!</v>
      </c>
      <c r="AH136" s="52" t="e">
        <f>+'Proyectos Base digitable'!#REF!</f>
        <v>#REF!</v>
      </c>
      <c r="AI136" s="52" t="e">
        <f>+'Proyectos Base digitable'!#REF!</f>
        <v>#REF!</v>
      </c>
      <c r="AJ136" s="59" t="e">
        <f>+'Proyectos Base digitable'!#REF!</f>
        <v>#REF!</v>
      </c>
      <c r="AK136" s="186" t="e">
        <f>+'Proyectos Base digitable'!#REF!</f>
        <v>#REF!</v>
      </c>
      <c r="AL136" s="186" t="e">
        <f>+'Proyectos Base digitable'!#REF!</f>
        <v>#REF!</v>
      </c>
      <c r="AM136" s="186" t="e">
        <f>+'Proyectos Base digitable'!#REF!</f>
        <v>#REF!</v>
      </c>
      <c r="AN136" s="186" t="e">
        <f>+'Proyectos Base digitable'!#REF!</f>
        <v>#REF!</v>
      </c>
      <c r="AO136" s="186" t="e">
        <f>+'Proyectos Base digitable'!#REF!</f>
        <v>#REF!</v>
      </c>
      <c r="AP136" s="186" t="e">
        <f>+'Proyectos Base digitable'!#REF!</f>
        <v>#REF!</v>
      </c>
      <c r="AQ136" s="186" t="e">
        <f>+'Proyectos Base digitable'!#REF!</f>
        <v>#REF!</v>
      </c>
      <c r="AR136" s="186" t="e">
        <f>+'Proyectos Base digitable'!#REF!</f>
        <v>#REF!</v>
      </c>
      <c r="AS136" s="186" t="e">
        <f>+'Proyectos Base digitable'!#REF!</f>
        <v>#REF!</v>
      </c>
      <c r="AT136" s="187" t="e">
        <f>+'Proyectos Base digitable'!#REF!</f>
        <v>#REF!</v>
      </c>
      <c r="AU136" s="56" t="e">
        <f>+'Proyectos Base digitable'!#REF!</f>
        <v>#REF!</v>
      </c>
      <c r="AV136" s="56" t="e">
        <f>+'Proyectos Base digitable'!#REF!</f>
        <v>#REF!</v>
      </c>
      <c r="AW136" s="56" t="e">
        <f>+'Proyectos Base digitable'!#REF!</f>
        <v>#REF!</v>
      </c>
      <c r="AX136" s="56" t="e">
        <f>+'Proyectos Base digitable'!#REF!</f>
        <v>#REF!</v>
      </c>
      <c r="AY136" s="56" t="e">
        <f>+'Proyectos Base digitable'!#REF!</f>
        <v>#REF!</v>
      </c>
      <c r="AZ136" s="188" t="e">
        <f>+'Proyectos Base digitable'!#REF!</f>
        <v>#REF!</v>
      </c>
      <c r="BA136" s="188" t="e">
        <f>+'Proyectos Base digitable'!#REF!</f>
        <v>#REF!</v>
      </c>
    </row>
    <row r="137" spans="1:53" ht="12.5">
      <c r="A137" s="60" t="e">
        <f>+'Proyectos Base digitable'!#REF!</f>
        <v>#REF!</v>
      </c>
      <c r="B137" s="56" t="e">
        <f>+'Proyectos Base digitable'!#REF!</f>
        <v>#REF!</v>
      </c>
      <c r="C137" s="56" t="e">
        <f>+'Proyectos Base digitable'!#REF!</f>
        <v>#REF!</v>
      </c>
      <c r="D137" s="56" t="e">
        <f>+'Proyectos Base digitable'!#REF!</f>
        <v>#REF!</v>
      </c>
      <c r="E137" s="56" t="e">
        <f>+'Proyectos Base digitable'!#REF!</f>
        <v>#REF!</v>
      </c>
      <c r="F137" s="56" t="e">
        <f>+'Proyectos Base digitable'!#REF!</f>
        <v>#REF!</v>
      </c>
      <c r="G137" s="57" t="e">
        <f>+'Proyectos Base digitable'!#REF!</f>
        <v>#REF!</v>
      </c>
      <c r="H137" s="56" t="e">
        <f>+'Proyectos Base digitable'!#REF!</f>
        <v>#REF!</v>
      </c>
      <c r="I137" s="56" t="e">
        <f>+'Proyectos Base digitable'!#REF!</f>
        <v>#REF!</v>
      </c>
      <c r="J137" s="56" t="e">
        <f>+'Proyectos Base digitable'!#REF!</f>
        <v>#REF!</v>
      </c>
      <c r="K137" s="56" t="e">
        <f>+'Proyectos Base digitable'!#REF!</f>
        <v>#REF!</v>
      </c>
      <c r="L137" s="56" t="e">
        <f>+'Proyectos Base digitable'!#REF!</f>
        <v>#REF!</v>
      </c>
      <c r="M137" s="56" t="e">
        <f>+'Proyectos Base digitable'!#REF!</f>
        <v>#REF!</v>
      </c>
      <c r="N137" s="52" t="e">
        <f>+'Proyectos Base digitable'!#REF!</f>
        <v>#REF!</v>
      </c>
      <c r="O137" s="52" t="e">
        <f>+'Proyectos Base digitable'!#REF!</f>
        <v>#REF!</v>
      </c>
      <c r="P137" s="185" t="e">
        <f>+'Proyectos Base digitable'!#REF!</f>
        <v>#REF!</v>
      </c>
      <c r="Q137" s="58" t="e">
        <f>+'Proyectos Base digitable'!#REF!</f>
        <v>#REF!</v>
      </c>
      <c r="R137" s="58" t="e">
        <f>+'Proyectos Base digitable'!#REF!</f>
        <v>#REF!</v>
      </c>
      <c r="S137" s="58" t="e">
        <f>+'Proyectos Base digitable'!#REF!</f>
        <v>#REF!</v>
      </c>
      <c r="T137" s="58" t="e">
        <f>+'Proyectos Base digitable'!#REF!</f>
        <v>#REF!</v>
      </c>
      <c r="U137" s="63" t="e">
        <f>'Proyectos Base digitable'!#REF!</f>
        <v>#REF!</v>
      </c>
      <c r="V137" s="63" t="e">
        <f>'Proyectos Base digitable'!#REF!</f>
        <v>#REF!</v>
      </c>
      <c r="W137" s="63" t="e">
        <f>'Proyectos Base digitable'!#REF!</f>
        <v>#REF!</v>
      </c>
      <c r="X137" s="63" t="e">
        <f>'Proyectos Base digitable'!#REF!</f>
        <v>#REF!</v>
      </c>
      <c r="Y137" s="63" t="e">
        <f>'Proyectos Base digitable'!#REF!</f>
        <v>#REF!</v>
      </c>
      <c r="Z137" s="58" t="e">
        <f>+'Proyectos Base digitable'!#REF!</f>
        <v>#REF!</v>
      </c>
      <c r="AA137" s="58" t="e">
        <f>+'Proyectos Base digitable'!#REF!</f>
        <v>#REF!</v>
      </c>
      <c r="AB137" s="63" t="e">
        <f>'Proyectos Base digitable'!#REF!</f>
        <v>#REF!</v>
      </c>
      <c r="AC137" s="56" t="e">
        <f>+'Proyectos Base digitable'!#REF!</f>
        <v>#REF!</v>
      </c>
      <c r="AD137" s="52" t="e">
        <f>+'Proyectos Base digitable'!#REF!</f>
        <v>#REF!</v>
      </c>
      <c r="AE137" s="52" t="e">
        <f>+'Proyectos Base digitable'!#REF!</f>
        <v>#REF!</v>
      </c>
      <c r="AF137" s="52" t="e">
        <f>+'Proyectos Base digitable'!#REF!</f>
        <v>#REF!</v>
      </c>
      <c r="AG137" s="56" t="e">
        <f>+'Proyectos Base digitable'!#REF!</f>
        <v>#REF!</v>
      </c>
      <c r="AH137" s="52" t="e">
        <f>+'Proyectos Base digitable'!#REF!</f>
        <v>#REF!</v>
      </c>
      <c r="AI137" s="52" t="e">
        <f>+'Proyectos Base digitable'!#REF!</f>
        <v>#REF!</v>
      </c>
      <c r="AJ137" s="59" t="e">
        <f>+'Proyectos Base digitable'!#REF!</f>
        <v>#REF!</v>
      </c>
      <c r="AK137" s="186" t="e">
        <f>+'Proyectos Base digitable'!#REF!</f>
        <v>#REF!</v>
      </c>
      <c r="AL137" s="186" t="e">
        <f>+'Proyectos Base digitable'!#REF!</f>
        <v>#REF!</v>
      </c>
      <c r="AM137" s="186" t="e">
        <f>+'Proyectos Base digitable'!#REF!</f>
        <v>#REF!</v>
      </c>
      <c r="AN137" s="186" t="e">
        <f>+'Proyectos Base digitable'!#REF!</f>
        <v>#REF!</v>
      </c>
      <c r="AO137" s="186" t="e">
        <f>+'Proyectos Base digitable'!#REF!</f>
        <v>#REF!</v>
      </c>
      <c r="AP137" s="186" t="e">
        <f>+'Proyectos Base digitable'!#REF!</f>
        <v>#REF!</v>
      </c>
      <c r="AQ137" s="186" t="e">
        <f>+'Proyectos Base digitable'!#REF!</f>
        <v>#REF!</v>
      </c>
      <c r="AR137" s="186" t="e">
        <f>+'Proyectos Base digitable'!#REF!</f>
        <v>#REF!</v>
      </c>
      <c r="AS137" s="186" t="e">
        <f>+'Proyectos Base digitable'!#REF!</f>
        <v>#REF!</v>
      </c>
      <c r="AT137" s="187" t="e">
        <f>+'Proyectos Base digitable'!#REF!</f>
        <v>#REF!</v>
      </c>
      <c r="AU137" s="56" t="e">
        <f>+'Proyectos Base digitable'!#REF!</f>
        <v>#REF!</v>
      </c>
      <c r="AV137" s="56" t="e">
        <f>+'Proyectos Base digitable'!#REF!</f>
        <v>#REF!</v>
      </c>
      <c r="AW137" s="56" t="e">
        <f>+'Proyectos Base digitable'!#REF!</f>
        <v>#REF!</v>
      </c>
      <c r="AX137" s="56" t="e">
        <f>+'Proyectos Base digitable'!#REF!</f>
        <v>#REF!</v>
      </c>
      <c r="AY137" s="56" t="e">
        <f>+'Proyectos Base digitable'!#REF!</f>
        <v>#REF!</v>
      </c>
      <c r="AZ137" s="188" t="e">
        <f>+'Proyectos Base digitable'!#REF!</f>
        <v>#REF!</v>
      </c>
      <c r="BA137" s="188" t="e">
        <f>+'Proyectos Base digitable'!#REF!</f>
        <v>#REF!</v>
      </c>
    </row>
    <row r="138" spans="1:53" ht="12.5">
      <c r="A138" s="60" t="e">
        <f>+'Proyectos Base digitable'!#REF!</f>
        <v>#REF!</v>
      </c>
      <c r="B138" s="56" t="e">
        <f>+'Proyectos Base digitable'!#REF!</f>
        <v>#REF!</v>
      </c>
      <c r="C138" s="56" t="e">
        <f>+'Proyectos Base digitable'!#REF!</f>
        <v>#REF!</v>
      </c>
      <c r="D138" s="56" t="e">
        <f>+'Proyectos Base digitable'!#REF!</f>
        <v>#REF!</v>
      </c>
      <c r="E138" s="56" t="e">
        <f>+'Proyectos Base digitable'!#REF!</f>
        <v>#REF!</v>
      </c>
      <c r="F138" s="56" t="e">
        <f>+'Proyectos Base digitable'!#REF!</f>
        <v>#REF!</v>
      </c>
      <c r="G138" s="57" t="e">
        <f>+'Proyectos Base digitable'!#REF!</f>
        <v>#REF!</v>
      </c>
      <c r="H138" s="56" t="e">
        <f>+'Proyectos Base digitable'!#REF!</f>
        <v>#REF!</v>
      </c>
      <c r="I138" s="56" t="e">
        <f>+'Proyectos Base digitable'!#REF!</f>
        <v>#REF!</v>
      </c>
      <c r="J138" s="56" t="e">
        <f>+'Proyectos Base digitable'!#REF!</f>
        <v>#REF!</v>
      </c>
      <c r="K138" s="56" t="e">
        <f>+'Proyectos Base digitable'!#REF!</f>
        <v>#REF!</v>
      </c>
      <c r="L138" s="56" t="e">
        <f>+'Proyectos Base digitable'!#REF!</f>
        <v>#REF!</v>
      </c>
      <c r="M138" s="56" t="e">
        <f>+'Proyectos Base digitable'!#REF!</f>
        <v>#REF!</v>
      </c>
      <c r="N138" s="52" t="e">
        <f>+'Proyectos Base digitable'!#REF!</f>
        <v>#REF!</v>
      </c>
      <c r="O138" s="52" t="e">
        <f>+'Proyectos Base digitable'!#REF!</f>
        <v>#REF!</v>
      </c>
      <c r="P138" s="185" t="e">
        <f>+'Proyectos Base digitable'!#REF!</f>
        <v>#REF!</v>
      </c>
      <c r="Q138" s="58" t="e">
        <f>+'Proyectos Base digitable'!#REF!</f>
        <v>#REF!</v>
      </c>
      <c r="R138" s="58" t="e">
        <f>+'Proyectos Base digitable'!#REF!</f>
        <v>#REF!</v>
      </c>
      <c r="S138" s="58" t="e">
        <f>+'Proyectos Base digitable'!#REF!</f>
        <v>#REF!</v>
      </c>
      <c r="T138" s="58" t="e">
        <f>+'Proyectos Base digitable'!#REF!</f>
        <v>#REF!</v>
      </c>
      <c r="U138" s="63" t="e">
        <f>'Proyectos Base digitable'!#REF!</f>
        <v>#REF!</v>
      </c>
      <c r="V138" s="63" t="e">
        <f>'Proyectos Base digitable'!#REF!</f>
        <v>#REF!</v>
      </c>
      <c r="W138" s="63" t="e">
        <f>'Proyectos Base digitable'!#REF!</f>
        <v>#REF!</v>
      </c>
      <c r="X138" s="63" t="e">
        <f>'Proyectos Base digitable'!#REF!</f>
        <v>#REF!</v>
      </c>
      <c r="Y138" s="63" t="e">
        <f>'Proyectos Base digitable'!#REF!</f>
        <v>#REF!</v>
      </c>
      <c r="Z138" s="58" t="e">
        <f>+'Proyectos Base digitable'!#REF!</f>
        <v>#REF!</v>
      </c>
      <c r="AA138" s="58" t="e">
        <f>+'Proyectos Base digitable'!#REF!</f>
        <v>#REF!</v>
      </c>
      <c r="AB138" s="63" t="e">
        <f>'Proyectos Base digitable'!#REF!</f>
        <v>#REF!</v>
      </c>
      <c r="AC138" s="56" t="e">
        <f>+'Proyectos Base digitable'!#REF!</f>
        <v>#REF!</v>
      </c>
      <c r="AD138" s="52" t="e">
        <f>+'Proyectos Base digitable'!#REF!</f>
        <v>#REF!</v>
      </c>
      <c r="AE138" s="52" t="e">
        <f>+'Proyectos Base digitable'!#REF!</f>
        <v>#REF!</v>
      </c>
      <c r="AF138" s="52" t="e">
        <f>+'Proyectos Base digitable'!#REF!</f>
        <v>#REF!</v>
      </c>
      <c r="AG138" s="56" t="e">
        <f>+'Proyectos Base digitable'!#REF!</f>
        <v>#REF!</v>
      </c>
      <c r="AH138" s="52" t="e">
        <f>+'Proyectos Base digitable'!#REF!</f>
        <v>#REF!</v>
      </c>
      <c r="AI138" s="52" t="e">
        <f>+'Proyectos Base digitable'!#REF!</f>
        <v>#REF!</v>
      </c>
      <c r="AJ138" s="59" t="e">
        <f>+'Proyectos Base digitable'!#REF!</f>
        <v>#REF!</v>
      </c>
      <c r="AK138" s="186" t="e">
        <f>+'Proyectos Base digitable'!#REF!</f>
        <v>#REF!</v>
      </c>
      <c r="AL138" s="186" t="e">
        <f>+'Proyectos Base digitable'!#REF!</f>
        <v>#REF!</v>
      </c>
      <c r="AM138" s="186" t="e">
        <f>+'Proyectos Base digitable'!#REF!</f>
        <v>#REF!</v>
      </c>
      <c r="AN138" s="186" t="e">
        <f>+'Proyectos Base digitable'!#REF!</f>
        <v>#REF!</v>
      </c>
      <c r="AO138" s="186" t="e">
        <f>+'Proyectos Base digitable'!#REF!</f>
        <v>#REF!</v>
      </c>
      <c r="AP138" s="186" t="e">
        <f>+'Proyectos Base digitable'!#REF!</f>
        <v>#REF!</v>
      </c>
      <c r="AQ138" s="186" t="e">
        <f>+'Proyectos Base digitable'!#REF!</f>
        <v>#REF!</v>
      </c>
      <c r="AR138" s="186" t="e">
        <f>+'Proyectos Base digitable'!#REF!</f>
        <v>#REF!</v>
      </c>
      <c r="AS138" s="186" t="e">
        <f>+'Proyectos Base digitable'!#REF!</f>
        <v>#REF!</v>
      </c>
      <c r="AT138" s="187" t="e">
        <f>+'Proyectos Base digitable'!#REF!</f>
        <v>#REF!</v>
      </c>
      <c r="AU138" s="56" t="e">
        <f>+'Proyectos Base digitable'!#REF!</f>
        <v>#REF!</v>
      </c>
      <c r="AV138" s="56" t="e">
        <f>+'Proyectos Base digitable'!#REF!</f>
        <v>#REF!</v>
      </c>
      <c r="AW138" s="56" t="e">
        <f>+'Proyectos Base digitable'!#REF!</f>
        <v>#REF!</v>
      </c>
      <c r="AX138" s="56" t="e">
        <f>+'Proyectos Base digitable'!#REF!</f>
        <v>#REF!</v>
      </c>
      <c r="AY138" s="56" t="e">
        <f>+'Proyectos Base digitable'!#REF!</f>
        <v>#REF!</v>
      </c>
      <c r="AZ138" s="188" t="e">
        <f>+'Proyectos Base digitable'!#REF!</f>
        <v>#REF!</v>
      </c>
      <c r="BA138" s="188" t="e">
        <f>+'Proyectos Base digitable'!#REF!</f>
        <v>#REF!</v>
      </c>
    </row>
    <row r="139" spans="1:53" ht="15" customHeight="1">
      <c r="A139" s="60" t="e">
        <f>+'Proyectos Base digitable'!#REF!</f>
        <v>#REF!</v>
      </c>
      <c r="B139" s="56" t="e">
        <f>+'Proyectos Base digitable'!#REF!</f>
        <v>#REF!</v>
      </c>
      <c r="C139" s="56" t="e">
        <f>+'Proyectos Base digitable'!#REF!</f>
        <v>#REF!</v>
      </c>
      <c r="D139" s="56" t="e">
        <f>+'Proyectos Base digitable'!#REF!</f>
        <v>#REF!</v>
      </c>
      <c r="E139" s="56" t="e">
        <f>+'Proyectos Base digitable'!#REF!</f>
        <v>#REF!</v>
      </c>
      <c r="F139" s="56" t="e">
        <f>+'Proyectos Base digitable'!#REF!</f>
        <v>#REF!</v>
      </c>
      <c r="G139" s="57" t="e">
        <f>+'Proyectos Base digitable'!#REF!</f>
        <v>#REF!</v>
      </c>
      <c r="H139" s="56" t="e">
        <f>+'Proyectos Base digitable'!#REF!</f>
        <v>#REF!</v>
      </c>
      <c r="I139" s="56" t="e">
        <f>+'Proyectos Base digitable'!#REF!</f>
        <v>#REF!</v>
      </c>
      <c r="J139" s="56" t="e">
        <f>+'Proyectos Base digitable'!#REF!</f>
        <v>#REF!</v>
      </c>
      <c r="K139" s="56" t="e">
        <f>+'Proyectos Base digitable'!#REF!</f>
        <v>#REF!</v>
      </c>
      <c r="L139" s="56" t="e">
        <f>+'Proyectos Base digitable'!#REF!</f>
        <v>#REF!</v>
      </c>
      <c r="M139" s="56" t="e">
        <f>+'Proyectos Base digitable'!#REF!</f>
        <v>#REF!</v>
      </c>
      <c r="N139" s="52" t="e">
        <f>+'Proyectos Base digitable'!#REF!</f>
        <v>#REF!</v>
      </c>
      <c r="O139" s="52" t="e">
        <f>+'Proyectos Base digitable'!#REF!</f>
        <v>#REF!</v>
      </c>
      <c r="P139" s="185" t="e">
        <f>+'Proyectos Base digitable'!#REF!</f>
        <v>#REF!</v>
      </c>
      <c r="Q139" s="58" t="e">
        <f>+'Proyectos Base digitable'!#REF!</f>
        <v>#REF!</v>
      </c>
      <c r="R139" s="58" t="e">
        <f>+'Proyectos Base digitable'!#REF!</f>
        <v>#REF!</v>
      </c>
      <c r="S139" s="58" t="e">
        <f>+'Proyectos Base digitable'!#REF!</f>
        <v>#REF!</v>
      </c>
      <c r="T139" s="58" t="e">
        <f>+'Proyectos Base digitable'!#REF!</f>
        <v>#REF!</v>
      </c>
      <c r="U139" s="63" t="e">
        <f>'Proyectos Base digitable'!#REF!</f>
        <v>#REF!</v>
      </c>
      <c r="V139" s="63" t="e">
        <f>'Proyectos Base digitable'!#REF!</f>
        <v>#REF!</v>
      </c>
      <c r="W139" s="63" t="e">
        <f>'Proyectos Base digitable'!#REF!</f>
        <v>#REF!</v>
      </c>
      <c r="X139" s="63" t="e">
        <f>'Proyectos Base digitable'!#REF!</f>
        <v>#REF!</v>
      </c>
      <c r="Y139" s="63" t="e">
        <f>'Proyectos Base digitable'!#REF!</f>
        <v>#REF!</v>
      </c>
      <c r="Z139" s="58" t="e">
        <f>+'Proyectos Base digitable'!#REF!</f>
        <v>#REF!</v>
      </c>
      <c r="AA139" s="58" t="e">
        <f>+'Proyectos Base digitable'!#REF!</f>
        <v>#REF!</v>
      </c>
      <c r="AB139" s="63" t="e">
        <f>'Proyectos Base digitable'!#REF!</f>
        <v>#REF!</v>
      </c>
      <c r="AC139" s="56" t="e">
        <f>+'Proyectos Base digitable'!#REF!</f>
        <v>#REF!</v>
      </c>
      <c r="AD139" s="52" t="e">
        <f>+'Proyectos Base digitable'!#REF!</f>
        <v>#REF!</v>
      </c>
      <c r="AE139" s="52" t="e">
        <f>+'Proyectos Base digitable'!#REF!</f>
        <v>#REF!</v>
      </c>
      <c r="AF139" s="52" t="e">
        <f>+'Proyectos Base digitable'!#REF!</f>
        <v>#REF!</v>
      </c>
      <c r="AG139" s="56" t="e">
        <f>+'Proyectos Base digitable'!#REF!</f>
        <v>#REF!</v>
      </c>
      <c r="AH139" s="52" t="e">
        <f>+'Proyectos Base digitable'!#REF!</f>
        <v>#REF!</v>
      </c>
      <c r="AI139" s="52" t="e">
        <f>+'Proyectos Base digitable'!#REF!</f>
        <v>#REF!</v>
      </c>
      <c r="AJ139" s="59" t="e">
        <f>+'Proyectos Base digitable'!#REF!</f>
        <v>#REF!</v>
      </c>
      <c r="AK139" s="186" t="e">
        <f>+'Proyectos Base digitable'!#REF!</f>
        <v>#REF!</v>
      </c>
      <c r="AL139" s="186" t="e">
        <f>+'Proyectos Base digitable'!#REF!</f>
        <v>#REF!</v>
      </c>
      <c r="AM139" s="186" t="e">
        <f>+'Proyectos Base digitable'!#REF!</f>
        <v>#REF!</v>
      </c>
      <c r="AN139" s="186" t="e">
        <f>+'Proyectos Base digitable'!#REF!</f>
        <v>#REF!</v>
      </c>
      <c r="AO139" s="186" t="e">
        <f>+'Proyectos Base digitable'!#REF!</f>
        <v>#REF!</v>
      </c>
      <c r="AP139" s="186" t="e">
        <f>+'Proyectos Base digitable'!#REF!</f>
        <v>#REF!</v>
      </c>
      <c r="AQ139" s="186" t="e">
        <f>+'Proyectos Base digitable'!#REF!</f>
        <v>#REF!</v>
      </c>
      <c r="AR139" s="186" t="e">
        <f>+'Proyectos Base digitable'!#REF!</f>
        <v>#REF!</v>
      </c>
      <c r="AS139" s="186" t="e">
        <f>+'Proyectos Base digitable'!#REF!</f>
        <v>#REF!</v>
      </c>
      <c r="AT139" s="187" t="e">
        <f>+'Proyectos Base digitable'!#REF!</f>
        <v>#REF!</v>
      </c>
      <c r="AU139" s="56" t="e">
        <f>+'Proyectos Base digitable'!#REF!</f>
        <v>#REF!</v>
      </c>
      <c r="AV139" s="56" t="e">
        <f>+'Proyectos Base digitable'!#REF!</f>
        <v>#REF!</v>
      </c>
      <c r="AW139" s="56" t="e">
        <f>+'Proyectos Base digitable'!#REF!</f>
        <v>#REF!</v>
      </c>
      <c r="AX139" s="56" t="e">
        <f>+'Proyectos Base digitable'!#REF!</f>
        <v>#REF!</v>
      </c>
      <c r="AY139" s="56" t="e">
        <f>+'Proyectos Base digitable'!#REF!</f>
        <v>#REF!</v>
      </c>
      <c r="AZ139" s="188" t="e">
        <f>+'Proyectos Base digitable'!#REF!</f>
        <v>#REF!</v>
      </c>
      <c r="BA139" s="188" t="e">
        <f>+'Proyectos Base digitable'!#REF!</f>
        <v>#REF!</v>
      </c>
    </row>
    <row r="140" spans="1:53" ht="15" customHeight="1">
      <c r="A140" s="60" t="e">
        <f>+'Proyectos Base digitable'!#REF!</f>
        <v>#REF!</v>
      </c>
      <c r="B140" s="56" t="e">
        <f>+'Proyectos Base digitable'!#REF!</f>
        <v>#REF!</v>
      </c>
      <c r="C140" s="56" t="e">
        <f>+'Proyectos Base digitable'!#REF!</f>
        <v>#REF!</v>
      </c>
      <c r="D140" s="56" t="e">
        <f>+'Proyectos Base digitable'!#REF!</f>
        <v>#REF!</v>
      </c>
      <c r="E140" s="56" t="e">
        <f>+'Proyectos Base digitable'!#REF!</f>
        <v>#REF!</v>
      </c>
      <c r="F140" s="56" t="e">
        <f>+'Proyectos Base digitable'!#REF!</f>
        <v>#REF!</v>
      </c>
      <c r="G140" s="57" t="e">
        <f>+'Proyectos Base digitable'!#REF!</f>
        <v>#REF!</v>
      </c>
      <c r="H140" s="56" t="e">
        <f>+'Proyectos Base digitable'!#REF!</f>
        <v>#REF!</v>
      </c>
      <c r="I140" s="56" t="e">
        <f>+'Proyectos Base digitable'!#REF!</f>
        <v>#REF!</v>
      </c>
      <c r="J140" s="56" t="e">
        <f>+'Proyectos Base digitable'!#REF!</f>
        <v>#REF!</v>
      </c>
      <c r="K140" s="56" t="e">
        <f>+'Proyectos Base digitable'!#REF!</f>
        <v>#REF!</v>
      </c>
      <c r="L140" s="56" t="e">
        <f>+'Proyectos Base digitable'!#REF!</f>
        <v>#REF!</v>
      </c>
      <c r="M140" s="56" t="e">
        <f>+'Proyectos Base digitable'!#REF!</f>
        <v>#REF!</v>
      </c>
      <c r="N140" s="52" t="e">
        <f>+'Proyectos Base digitable'!#REF!</f>
        <v>#REF!</v>
      </c>
      <c r="O140" s="52" t="e">
        <f>+'Proyectos Base digitable'!#REF!</f>
        <v>#REF!</v>
      </c>
      <c r="P140" s="185" t="e">
        <f>+'Proyectos Base digitable'!#REF!</f>
        <v>#REF!</v>
      </c>
      <c r="Q140" s="58" t="e">
        <f>+'Proyectos Base digitable'!#REF!</f>
        <v>#REF!</v>
      </c>
      <c r="R140" s="58" t="e">
        <f>+'Proyectos Base digitable'!#REF!</f>
        <v>#REF!</v>
      </c>
      <c r="S140" s="58" t="e">
        <f>+'Proyectos Base digitable'!#REF!</f>
        <v>#REF!</v>
      </c>
      <c r="T140" s="58" t="e">
        <f>+'Proyectos Base digitable'!#REF!</f>
        <v>#REF!</v>
      </c>
      <c r="U140" s="63" t="e">
        <f>'Proyectos Base digitable'!#REF!</f>
        <v>#REF!</v>
      </c>
      <c r="V140" s="63" t="e">
        <f>'Proyectos Base digitable'!#REF!</f>
        <v>#REF!</v>
      </c>
      <c r="W140" s="63" t="e">
        <f>'Proyectos Base digitable'!#REF!</f>
        <v>#REF!</v>
      </c>
      <c r="X140" s="63" t="e">
        <f>'Proyectos Base digitable'!#REF!</f>
        <v>#REF!</v>
      </c>
      <c r="Y140" s="63" t="e">
        <f>'Proyectos Base digitable'!#REF!</f>
        <v>#REF!</v>
      </c>
      <c r="Z140" s="58" t="e">
        <f>+'Proyectos Base digitable'!#REF!</f>
        <v>#REF!</v>
      </c>
      <c r="AA140" s="58" t="e">
        <f>+'Proyectos Base digitable'!#REF!</f>
        <v>#REF!</v>
      </c>
      <c r="AB140" s="63" t="e">
        <f>'Proyectos Base digitable'!#REF!</f>
        <v>#REF!</v>
      </c>
      <c r="AC140" s="56" t="e">
        <f>+'Proyectos Base digitable'!#REF!</f>
        <v>#REF!</v>
      </c>
      <c r="AD140" s="52" t="e">
        <f>+'Proyectos Base digitable'!#REF!</f>
        <v>#REF!</v>
      </c>
      <c r="AE140" s="52" t="e">
        <f>+'Proyectos Base digitable'!#REF!</f>
        <v>#REF!</v>
      </c>
      <c r="AF140" s="52" t="e">
        <f>+'Proyectos Base digitable'!#REF!</f>
        <v>#REF!</v>
      </c>
      <c r="AG140" s="56" t="e">
        <f>+'Proyectos Base digitable'!#REF!</f>
        <v>#REF!</v>
      </c>
      <c r="AH140" s="52" t="e">
        <f>+'Proyectos Base digitable'!#REF!</f>
        <v>#REF!</v>
      </c>
      <c r="AI140" s="52" t="e">
        <f>+'Proyectos Base digitable'!#REF!</f>
        <v>#REF!</v>
      </c>
      <c r="AJ140" s="59" t="e">
        <f>+'Proyectos Base digitable'!#REF!</f>
        <v>#REF!</v>
      </c>
      <c r="AK140" s="186" t="e">
        <f>+'Proyectos Base digitable'!#REF!</f>
        <v>#REF!</v>
      </c>
      <c r="AL140" s="186" t="e">
        <f>+'Proyectos Base digitable'!#REF!</f>
        <v>#REF!</v>
      </c>
      <c r="AM140" s="186" t="e">
        <f>+'Proyectos Base digitable'!#REF!</f>
        <v>#REF!</v>
      </c>
      <c r="AN140" s="186" t="e">
        <f>+'Proyectos Base digitable'!#REF!</f>
        <v>#REF!</v>
      </c>
      <c r="AO140" s="186" t="e">
        <f>+'Proyectos Base digitable'!#REF!</f>
        <v>#REF!</v>
      </c>
      <c r="AP140" s="186" t="e">
        <f>+'Proyectos Base digitable'!#REF!</f>
        <v>#REF!</v>
      </c>
      <c r="AQ140" s="186" t="e">
        <f>+'Proyectos Base digitable'!#REF!</f>
        <v>#REF!</v>
      </c>
      <c r="AR140" s="186" t="e">
        <f>+'Proyectos Base digitable'!#REF!</f>
        <v>#REF!</v>
      </c>
      <c r="AS140" s="186" t="e">
        <f>+'Proyectos Base digitable'!#REF!</f>
        <v>#REF!</v>
      </c>
      <c r="AT140" s="187" t="e">
        <f>+'Proyectos Base digitable'!#REF!</f>
        <v>#REF!</v>
      </c>
      <c r="AU140" s="56" t="e">
        <f>+'Proyectos Base digitable'!#REF!</f>
        <v>#REF!</v>
      </c>
      <c r="AV140" s="56" t="e">
        <f>+'Proyectos Base digitable'!#REF!</f>
        <v>#REF!</v>
      </c>
      <c r="AW140" s="56" t="e">
        <f>+'Proyectos Base digitable'!#REF!</f>
        <v>#REF!</v>
      </c>
      <c r="AX140" s="56" t="e">
        <f>+'Proyectos Base digitable'!#REF!</f>
        <v>#REF!</v>
      </c>
      <c r="AY140" s="56" t="e">
        <f>+'Proyectos Base digitable'!#REF!</f>
        <v>#REF!</v>
      </c>
      <c r="AZ140" s="188" t="e">
        <f>+'Proyectos Base digitable'!#REF!</f>
        <v>#REF!</v>
      </c>
      <c r="BA140" s="188" t="e">
        <f>+'Proyectos Base digitable'!#REF!</f>
        <v>#REF!</v>
      </c>
    </row>
    <row r="141" spans="1:53" ht="15" customHeight="1">
      <c r="A141" s="60" t="e">
        <f>+'Proyectos Base digitable'!#REF!</f>
        <v>#REF!</v>
      </c>
      <c r="B141" s="56" t="e">
        <f>+'Proyectos Base digitable'!#REF!</f>
        <v>#REF!</v>
      </c>
      <c r="C141" s="56" t="e">
        <f>+'Proyectos Base digitable'!#REF!</f>
        <v>#REF!</v>
      </c>
      <c r="D141" s="56" t="e">
        <f>+'Proyectos Base digitable'!#REF!</f>
        <v>#REF!</v>
      </c>
      <c r="E141" s="56" t="e">
        <f>+'Proyectos Base digitable'!#REF!</f>
        <v>#REF!</v>
      </c>
      <c r="F141" s="56" t="e">
        <f>+'Proyectos Base digitable'!#REF!</f>
        <v>#REF!</v>
      </c>
      <c r="G141" s="57" t="e">
        <f>+'Proyectos Base digitable'!#REF!</f>
        <v>#REF!</v>
      </c>
      <c r="H141" s="56" t="e">
        <f>+'Proyectos Base digitable'!#REF!</f>
        <v>#REF!</v>
      </c>
      <c r="I141" s="56" t="e">
        <f>+'Proyectos Base digitable'!#REF!</f>
        <v>#REF!</v>
      </c>
      <c r="J141" s="56" t="e">
        <f>+'Proyectos Base digitable'!#REF!</f>
        <v>#REF!</v>
      </c>
      <c r="K141" s="56" t="e">
        <f>+'Proyectos Base digitable'!#REF!</f>
        <v>#REF!</v>
      </c>
      <c r="L141" s="56" t="e">
        <f>+'Proyectos Base digitable'!#REF!</f>
        <v>#REF!</v>
      </c>
      <c r="M141" s="56" t="e">
        <f>+'Proyectos Base digitable'!#REF!</f>
        <v>#REF!</v>
      </c>
      <c r="N141" s="52" t="e">
        <f>+'Proyectos Base digitable'!#REF!</f>
        <v>#REF!</v>
      </c>
      <c r="O141" s="52" t="e">
        <f>+'Proyectos Base digitable'!#REF!</f>
        <v>#REF!</v>
      </c>
      <c r="P141" s="185" t="e">
        <f>+'Proyectos Base digitable'!#REF!</f>
        <v>#REF!</v>
      </c>
      <c r="Q141" s="58" t="e">
        <f>+'Proyectos Base digitable'!#REF!</f>
        <v>#REF!</v>
      </c>
      <c r="R141" s="58" t="e">
        <f>+'Proyectos Base digitable'!#REF!</f>
        <v>#REF!</v>
      </c>
      <c r="S141" s="58" t="e">
        <f>+'Proyectos Base digitable'!#REF!</f>
        <v>#REF!</v>
      </c>
      <c r="T141" s="58" t="e">
        <f>+'Proyectos Base digitable'!#REF!</f>
        <v>#REF!</v>
      </c>
      <c r="U141" s="63" t="e">
        <f>'Proyectos Base digitable'!#REF!</f>
        <v>#REF!</v>
      </c>
      <c r="V141" s="63" t="e">
        <f>'Proyectos Base digitable'!#REF!</f>
        <v>#REF!</v>
      </c>
      <c r="W141" s="63" t="e">
        <f>'Proyectos Base digitable'!#REF!</f>
        <v>#REF!</v>
      </c>
      <c r="X141" s="63" t="e">
        <f>'Proyectos Base digitable'!#REF!</f>
        <v>#REF!</v>
      </c>
      <c r="Y141" s="63" t="e">
        <f>'Proyectos Base digitable'!#REF!</f>
        <v>#REF!</v>
      </c>
      <c r="Z141" s="58" t="e">
        <f>+'Proyectos Base digitable'!#REF!</f>
        <v>#REF!</v>
      </c>
      <c r="AA141" s="58" t="e">
        <f>+'Proyectos Base digitable'!#REF!</f>
        <v>#REF!</v>
      </c>
      <c r="AB141" s="63" t="e">
        <f>'Proyectos Base digitable'!#REF!</f>
        <v>#REF!</v>
      </c>
      <c r="AC141" s="56" t="e">
        <f>+'Proyectos Base digitable'!#REF!</f>
        <v>#REF!</v>
      </c>
      <c r="AD141" s="52" t="e">
        <f>+'Proyectos Base digitable'!#REF!</f>
        <v>#REF!</v>
      </c>
      <c r="AE141" s="52" t="e">
        <f>+'Proyectos Base digitable'!#REF!</f>
        <v>#REF!</v>
      </c>
      <c r="AF141" s="52" t="e">
        <f>+'Proyectos Base digitable'!#REF!</f>
        <v>#REF!</v>
      </c>
      <c r="AG141" s="56" t="e">
        <f>+'Proyectos Base digitable'!#REF!</f>
        <v>#REF!</v>
      </c>
      <c r="AH141" s="52" t="e">
        <f>+'Proyectos Base digitable'!#REF!</f>
        <v>#REF!</v>
      </c>
      <c r="AI141" s="52" t="e">
        <f>+'Proyectos Base digitable'!#REF!</f>
        <v>#REF!</v>
      </c>
      <c r="AJ141" s="59" t="e">
        <f>+'Proyectos Base digitable'!#REF!</f>
        <v>#REF!</v>
      </c>
      <c r="AK141" s="186" t="e">
        <f>+'Proyectos Base digitable'!#REF!</f>
        <v>#REF!</v>
      </c>
      <c r="AL141" s="186" t="e">
        <f>+'Proyectos Base digitable'!#REF!</f>
        <v>#REF!</v>
      </c>
      <c r="AM141" s="186" t="e">
        <f>+'Proyectos Base digitable'!#REF!</f>
        <v>#REF!</v>
      </c>
      <c r="AN141" s="186" t="e">
        <f>+'Proyectos Base digitable'!#REF!</f>
        <v>#REF!</v>
      </c>
      <c r="AO141" s="186" t="e">
        <f>+'Proyectos Base digitable'!#REF!</f>
        <v>#REF!</v>
      </c>
      <c r="AP141" s="186" t="e">
        <f>+'Proyectos Base digitable'!#REF!</f>
        <v>#REF!</v>
      </c>
      <c r="AQ141" s="186" t="e">
        <f>+'Proyectos Base digitable'!#REF!</f>
        <v>#REF!</v>
      </c>
      <c r="AR141" s="186" t="e">
        <f>+'Proyectos Base digitable'!#REF!</f>
        <v>#REF!</v>
      </c>
      <c r="AS141" s="186" t="e">
        <f>+'Proyectos Base digitable'!#REF!</f>
        <v>#REF!</v>
      </c>
      <c r="AT141" s="187" t="e">
        <f>+'Proyectos Base digitable'!#REF!</f>
        <v>#REF!</v>
      </c>
      <c r="AU141" s="56" t="e">
        <f>+'Proyectos Base digitable'!#REF!</f>
        <v>#REF!</v>
      </c>
      <c r="AV141" s="56" t="e">
        <f>+'Proyectos Base digitable'!#REF!</f>
        <v>#REF!</v>
      </c>
      <c r="AW141" s="56" t="e">
        <f>+'Proyectos Base digitable'!#REF!</f>
        <v>#REF!</v>
      </c>
      <c r="AX141" s="56" t="e">
        <f>+'Proyectos Base digitable'!#REF!</f>
        <v>#REF!</v>
      </c>
      <c r="AY141" s="56" t="e">
        <f>+'Proyectos Base digitable'!#REF!</f>
        <v>#REF!</v>
      </c>
      <c r="AZ141" s="188" t="e">
        <f>+'Proyectos Base digitable'!#REF!</f>
        <v>#REF!</v>
      </c>
      <c r="BA141" s="188" t="e">
        <f>+'Proyectos Base digitable'!#REF!</f>
        <v>#REF!</v>
      </c>
    </row>
    <row r="142" spans="1:53" ht="15" customHeight="1">
      <c r="A142" s="60" t="e">
        <f>+'Proyectos Base digitable'!#REF!</f>
        <v>#REF!</v>
      </c>
      <c r="B142" s="56" t="e">
        <f>+'Proyectos Base digitable'!#REF!</f>
        <v>#REF!</v>
      </c>
      <c r="C142" s="56" t="e">
        <f>+'Proyectos Base digitable'!#REF!</f>
        <v>#REF!</v>
      </c>
      <c r="D142" s="56" t="e">
        <f>+'Proyectos Base digitable'!#REF!</f>
        <v>#REF!</v>
      </c>
      <c r="E142" s="56" t="e">
        <f>+'Proyectos Base digitable'!#REF!</f>
        <v>#REF!</v>
      </c>
      <c r="F142" s="56" t="e">
        <f>+'Proyectos Base digitable'!#REF!</f>
        <v>#REF!</v>
      </c>
      <c r="G142" s="57" t="e">
        <f>+'Proyectos Base digitable'!#REF!</f>
        <v>#REF!</v>
      </c>
      <c r="H142" s="56" t="e">
        <f>+'Proyectos Base digitable'!#REF!</f>
        <v>#REF!</v>
      </c>
      <c r="I142" s="56" t="e">
        <f>+'Proyectos Base digitable'!#REF!</f>
        <v>#REF!</v>
      </c>
      <c r="J142" s="56" t="e">
        <f>+'Proyectos Base digitable'!#REF!</f>
        <v>#REF!</v>
      </c>
      <c r="K142" s="56" t="e">
        <f>+'Proyectos Base digitable'!#REF!</f>
        <v>#REF!</v>
      </c>
      <c r="L142" s="56" t="e">
        <f>+'Proyectos Base digitable'!#REF!</f>
        <v>#REF!</v>
      </c>
      <c r="M142" s="56" t="e">
        <f>+'Proyectos Base digitable'!#REF!</f>
        <v>#REF!</v>
      </c>
      <c r="N142" s="52" t="e">
        <f>+'Proyectos Base digitable'!#REF!</f>
        <v>#REF!</v>
      </c>
      <c r="O142" s="52" t="e">
        <f>+'Proyectos Base digitable'!#REF!</f>
        <v>#REF!</v>
      </c>
      <c r="P142" s="185" t="e">
        <f>+'Proyectos Base digitable'!#REF!</f>
        <v>#REF!</v>
      </c>
      <c r="Q142" s="58" t="e">
        <f>+'Proyectos Base digitable'!#REF!</f>
        <v>#REF!</v>
      </c>
      <c r="R142" s="58" t="e">
        <f>+'Proyectos Base digitable'!#REF!</f>
        <v>#REF!</v>
      </c>
      <c r="S142" s="58" t="e">
        <f>+'Proyectos Base digitable'!#REF!</f>
        <v>#REF!</v>
      </c>
      <c r="T142" s="58" t="e">
        <f>+'Proyectos Base digitable'!#REF!</f>
        <v>#REF!</v>
      </c>
      <c r="U142" s="63" t="e">
        <f>'Proyectos Base digitable'!#REF!</f>
        <v>#REF!</v>
      </c>
      <c r="V142" s="63" t="e">
        <f>'Proyectos Base digitable'!#REF!</f>
        <v>#REF!</v>
      </c>
      <c r="W142" s="63" t="e">
        <f>'Proyectos Base digitable'!#REF!</f>
        <v>#REF!</v>
      </c>
      <c r="X142" s="63" t="e">
        <f>'Proyectos Base digitable'!#REF!</f>
        <v>#REF!</v>
      </c>
      <c r="Y142" s="63" t="e">
        <f>'Proyectos Base digitable'!#REF!</f>
        <v>#REF!</v>
      </c>
      <c r="Z142" s="58" t="e">
        <f>+'Proyectos Base digitable'!#REF!</f>
        <v>#REF!</v>
      </c>
      <c r="AA142" s="58" t="e">
        <f>+'Proyectos Base digitable'!#REF!</f>
        <v>#REF!</v>
      </c>
      <c r="AB142" s="63" t="e">
        <f>'Proyectos Base digitable'!#REF!</f>
        <v>#REF!</v>
      </c>
      <c r="AC142" s="56" t="e">
        <f>+'Proyectos Base digitable'!#REF!</f>
        <v>#REF!</v>
      </c>
      <c r="AD142" s="52" t="e">
        <f>+'Proyectos Base digitable'!#REF!</f>
        <v>#REF!</v>
      </c>
      <c r="AE142" s="52" t="e">
        <f>+'Proyectos Base digitable'!#REF!</f>
        <v>#REF!</v>
      </c>
      <c r="AF142" s="52" t="e">
        <f>+'Proyectos Base digitable'!#REF!</f>
        <v>#REF!</v>
      </c>
      <c r="AG142" s="56" t="e">
        <f>+'Proyectos Base digitable'!#REF!</f>
        <v>#REF!</v>
      </c>
      <c r="AH142" s="52" t="e">
        <f>+'Proyectos Base digitable'!#REF!</f>
        <v>#REF!</v>
      </c>
      <c r="AI142" s="52" t="e">
        <f>+'Proyectos Base digitable'!#REF!</f>
        <v>#REF!</v>
      </c>
      <c r="AJ142" s="59" t="e">
        <f>+'Proyectos Base digitable'!#REF!</f>
        <v>#REF!</v>
      </c>
      <c r="AK142" s="186" t="e">
        <f>+'Proyectos Base digitable'!#REF!</f>
        <v>#REF!</v>
      </c>
      <c r="AL142" s="186" t="e">
        <f>+'Proyectos Base digitable'!#REF!</f>
        <v>#REF!</v>
      </c>
      <c r="AM142" s="186" t="e">
        <f>+'Proyectos Base digitable'!#REF!</f>
        <v>#REF!</v>
      </c>
      <c r="AN142" s="186" t="e">
        <f>+'Proyectos Base digitable'!#REF!</f>
        <v>#REF!</v>
      </c>
      <c r="AO142" s="186" t="e">
        <f>+'Proyectos Base digitable'!#REF!</f>
        <v>#REF!</v>
      </c>
      <c r="AP142" s="186" t="e">
        <f>+'Proyectos Base digitable'!#REF!</f>
        <v>#REF!</v>
      </c>
      <c r="AQ142" s="186" t="e">
        <f>+'Proyectos Base digitable'!#REF!</f>
        <v>#REF!</v>
      </c>
      <c r="AR142" s="186" t="e">
        <f>+'Proyectos Base digitable'!#REF!</f>
        <v>#REF!</v>
      </c>
      <c r="AS142" s="186" t="e">
        <f>+'Proyectos Base digitable'!#REF!</f>
        <v>#REF!</v>
      </c>
      <c r="AT142" s="187" t="e">
        <f>+'Proyectos Base digitable'!#REF!</f>
        <v>#REF!</v>
      </c>
      <c r="AU142" s="56" t="e">
        <f>+'Proyectos Base digitable'!#REF!</f>
        <v>#REF!</v>
      </c>
      <c r="AV142" s="56" t="e">
        <f>+'Proyectos Base digitable'!#REF!</f>
        <v>#REF!</v>
      </c>
      <c r="AW142" s="56" t="e">
        <f>+'Proyectos Base digitable'!#REF!</f>
        <v>#REF!</v>
      </c>
      <c r="AX142" s="56" t="e">
        <f>+'Proyectos Base digitable'!#REF!</f>
        <v>#REF!</v>
      </c>
      <c r="AY142" s="56" t="e">
        <f>+'Proyectos Base digitable'!#REF!</f>
        <v>#REF!</v>
      </c>
      <c r="AZ142" s="188" t="e">
        <f>+'Proyectos Base digitable'!#REF!</f>
        <v>#REF!</v>
      </c>
      <c r="BA142" s="188" t="e">
        <f>+'Proyectos Base digitable'!#REF!</f>
        <v>#REF!</v>
      </c>
    </row>
    <row r="143" spans="1:53" ht="15" customHeight="1">
      <c r="A143" s="60" t="e">
        <f>+'Proyectos Base digitable'!#REF!</f>
        <v>#REF!</v>
      </c>
      <c r="B143" s="56" t="e">
        <f>+'Proyectos Base digitable'!#REF!</f>
        <v>#REF!</v>
      </c>
      <c r="C143" s="56" t="e">
        <f>+'Proyectos Base digitable'!#REF!</f>
        <v>#REF!</v>
      </c>
      <c r="D143" s="56" t="e">
        <f>+'Proyectos Base digitable'!#REF!</f>
        <v>#REF!</v>
      </c>
      <c r="E143" s="56" t="e">
        <f>+'Proyectos Base digitable'!#REF!</f>
        <v>#REF!</v>
      </c>
      <c r="F143" s="56" t="e">
        <f>+'Proyectos Base digitable'!#REF!</f>
        <v>#REF!</v>
      </c>
      <c r="G143" s="57" t="e">
        <f>+'Proyectos Base digitable'!#REF!</f>
        <v>#REF!</v>
      </c>
      <c r="H143" s="56" t="e">
        <f>+'Proyectos Base digitable'!#REF!</f>
        <v>#REF!</v>
      </c>
      <c r="I143" s="56" t="e">
        <f>+'Proyectos Base digitable'!#REF!</f>
        <v>#REF!</v>
      </c>
      <c r="J143" s="56" t="e">
        <f>+'Proyectos Base digitable'!#REF!</f>
        <v>#REF!</v>
      </c>
      <c r="K143" s="56" t="e">
        <f>+'Proyectos Base digitable'!#REF!</f>
        <v>#REF!</v>
      </c>
      <c r="L143" s="56" t="e">
        <f>+'Proyectos Base digitable'!#REF!</f>
        <v>#REF!</v>
      </c>
      <c r="M143" s="56" t="e">
        <f>+'Proyectos Base digitable'!#REF!</f>
        <v>#REF!</v>
      </c>
      <c r="N143" s="52" t="e">
        <f>+'Proyectos Base digitable'!#REF!</f>
        <v>#REF!</v>
      </c>
      <c r="O143" s="52" t="e">
        <f>+'Proyectos Base digitable'!#REF!</f>
        <v>#REF!</v>
      </c>
      <c r="P143" s="185" t="e">
        <f>+'Proyectos Base digitable'!#REF!</f>
        <v>#REF!</v>
      </c>
      <c r="Q143" s="58" t="e">
        <f>+'Proyectos Base digitable'!#REF!</f>
        <v>#REF!</v>
      </c>
      <c r="R143" s="58" t="e">
        <f>+'Proyectos Base digitable'!#REF!</f>
        <v>#REF!</v>
      </c>
      <c r="S143" s="58" t="e">
        <f>+'Proyectos Base digitable'!#REF!</f>
        <v>#REF!</v>
      </c>
      <c r="T143" s="58" t="e">
        <f>+'Proyectos Base digitable'!#REF!</f>
        <v>#REF!</v>
      </c>
      <c r="U143" s="63" t="e">
        <f>'Proyectos Base digitable'!#REF!</f>
        <v>#REF!</v>
      </c>
      <c r="V143" s="63" t="e">
        <f>'Proyectos Base digitable'!#REF!</f>
        <v>#REF!</v>
      </c>
      <c r="W143" s="63" t="e">
        <f>'Proyectos Base digitable'!#REF!</f>
        <v>#REF!</v>
      </c>
      <c r="X143" s="63" t="e">
        <f>'Proyectos Base digitable'!#REF!</f>
        <v>#REF!</v>
      </c>
      <c r="Y143" s="63" t="e">
        <f>'Proyectos Base digitable'!#REF!</f>
        <v>#REF!</v>
      </c>
      <c r="Z143" s="58" t="e">
        <f>+'Proyectos Base digitable'!#REF!</f>
        <v>#REF!</v>
      </c>
      <c r="AA143" s="58" t="e">
        <f>+'Proyectos Base digitable'!#REF!</f>
        <v>#REF!</v>
      </c>
      <c r="AB143" s="63" t="e">
        <f>'Proyectos Base digitable'!#REF!</f>
        <v>#REF!</v>
      </c>
      <c r="AC143" s="56" t="e">
        <f>+'Proyectos Base digitable'!#REF!</f>
        <v>#REF!</v>
      </c>
      <c r="AD143" s="52" t="e">
        <f>+'Proyectos Base digitable'!#REF!</f>
        <v>#REF!</v>
      </c>
      <c r="AE143" s="52" t="e">
        <f>+'Proyectos Base digitable'!#REF!</f>
        <v>#REF!</v>
      </c>
      <c r="AF143" s="52" t="e">
        <f>+'Proyectos Base digitable'!#REF!</f>
        <v>#REF!</v>
      </c>
      <c r="AG143" s="56" t="e">
        <f>+'Proyectos Base digitable'!#REF!</f>
        <v>#REF!</v>
      </c>
      <c r="AH143" s="52" t="e">
        <f>+'Proyectos Base digitable'!#REF!</f>
        <v>#REF!</v>
      </c>
      <c r="AI143" s="52" t="e">
        <f>+'Proyectos Base digitable'!#REF!</f>
        <v>#REF!</v>
      </c>
      <c r="AJ143" s="59" t="e">
        <f>+'Proyectos Base digitable'!#REF!</f>
        <v>#REF!</v>
      </c>
      <c r="AK143" s="186" t="e">
        <f>+'Proyectos Base digitable'!#REF!</f>
        <v>#REF!</v>
      </c>
      <c r="AL143" s="186" t="e">
        <f>+'Proyectos Base digitable'!#REF!</f>
        <v>#REF!</v>
      </c>
      <c r="AM143" s="186" t="e">
        <f>+'Proyectos Base digitable'!#REF!</f>
        <v>#REF!</v>
      </c>
      <c r="AN143" s="186" t="e">
        <f>+'Proyectos Base digitable'!#REF!</f>
        <v>#REF!</v>
      </c>
      <c r="AO143" s="186" t="e">
        <f>+'Proyectos Base digitable'!#REF!</f>
        <v>#REF!</v>
      </c>
      <c r="AP143" s="186" t="e">
        <f>+'Proyectos Base digitable'!#REF!</f>
        <v>#REF!</v>
      </c>
      <c r="AQ143" s="186" t="e">
        <f>+'Proyectos Base digitable'!#REF!</f>
        <v>#REF!</v>
      </c>
      <c r="AR143" s="186" t="e">
        <f>+'Proyectos Base digitable'!#REF!</f>
        <v>#REF!</v>
      </c>
      <c r="AS143" s="186" t="e">
        <f>+'Proyectos Base digitable'!#REF!</f>
        <v>#REF!</v>
      </c>
      <c r="AT143" s="187" t="e">
        <f>+'Proyectos Base digitable'!#REF!</f>
        <v>#REF!</v>
      </c>
      <c r="AU143" s="56" t="e">
        <f>+'Proyectos Base digitable'!#REF!</f>
        <v>#REF!</v>
      </c>
      <c r="AV143" s="56" t="e">
        <f>+'Proyectos Base digitable'!#REF!</f>
        <v>#REF!</v>
      </c>
      <c r="AW143" s="56" t="e">
        <f>+'Proyectos Base digitable'!#REF!</f>
        <v>#REF!</v>
      </c>
      <c r="AX143" s="56" t="e">
        <f>+'Proyectos Base digitable'!#REF!</f>
        <v>#REF!</v>
      </c>
      <c r="AY143" s="56" t="e">
        <f>+'Proyectos Base digitable'!#REF!</f>
        <v>#REF!</v>
      </c>
      <c r="AZ143" s="188" t="e">
        <f>+'Proyectos Base digitable'!#REF!</f>
        <v>#REF!</v>
      </c>
      <c r="BA143" s="188" t="e">
        <f>+'Proyectos Base digitable'!#REF!</f>
        <v>#REF!</v>
      </c>
    </row>
    <row r="144" spans="1:53" ht="15" customHeight="1">
      <c r="A144" s="60" t="e">
        <f>+'Proyectos Base digitable'!#REF!</f>
        <v>#REF!</v>
      </c>
      <c r="B144" s="56" t="e">
        <f>+'Proyectos Base digitable'!#REF!</f>
        <v>#REF!</v>
      </c>
      <c r="C144" s="56" t="e">
        <f>+'Proyectos Base digitable'!#REF!</f>
        <v>#REF!</v>
      </c>
      <c r="D144" s="56" t="e">
        <f>+'Proyectos Base digitable'!#REF!</f>
        <v>#REF!</v>
      </c>
      <c r="E144" s="56" t="e">
        <f>+'Proyectos Base digitable'!#REF!</f>
        <v>#REF!</v>
      </c>
      <c r="F144" s="56" t="e">
        <f>+'Proyectos Base digitable'!#REF!</f>
        <v>#REF!</v>
      </c>
      <c r="G144" s="57" t="e">
        <f>+'Proyectos Base digitable'!#REF!</f>
        <v>#REF!</v>
      </c>
      <c r="H144" s="56" t="e">
        <f>+'Proyectos Base digitable'!#REF!</f>
        <v>#REF!</v>
      </c>
      <c r="I144" s="56" t="e">
        <f>+'Proyectos Base digitable'!#REF!</f>
        <v>#REF!</v>
      </c>
      <c r="J144" s="56" t="e">
        <f>+'Proyectos Base digitable'!#REF!</f>
        <v>#REF!</v>
      </c>
      <c r="K144" s="56" t="e">
        <f>+'Proyectos Base digitable'!#REF!</f>
        <v>#REF!</v>
      </c>
      <c r="L144" s="56" t="e">
        <f>+'Proyectos Base digitable'!#REF!</f>
        <v>#REF!</v>
      </c>
      <c r="M144" s="56" t="e">
        <f>+'Proyectos Base digitable'!#REF!</f>
        <v>#REF!</v>
      </c>
      <c r="N144" s="52" t="e">
        <f>+'Proyectos Base digitable'!#REF!</f>
        <v>#REF!</v>
      </c>
      <c r="O144" s="52" t="e">
        <f>+'Proyectos Base digitable'!#REF!</f>
        <v>#REF!</v>
      </c>
      <c r="P144" s="185" t="e">
        <f>+'Proyectos Base digitable'!#REF!</f>
        <v>#REF!</v>
      </c>
      <c r="Q144" s="58" t="e">
        <f>+'Proyectos Base digitable'!#REF!</f>
        <v>#REF!</v>
      </c>
      <c r="R144" s="58" t="e">
        <f>+'Proyectos Base digitable'!#REF!</f>
        <v>#REF!</v>
      </c>
      <c r="S144" s="58" t="e">
        <f>+'Proyectos Base digitable'!#REF!</f>
        <v>#REF!</v>
      </c>
      <c r="T144" s="58" t="e">
        <f>+'Proyectos Base digitable'!#REF!</f>
        <v>#REF!</v>
      </c>
      <c r="U144" s="63" t="e">
        <f>'Proyectos Base digitable'!#REF!</f>
        <v>#REF!</v>
      </c>
      <c r="V144" s="63" t="e">
        <f>'Proyectos Base digitable'!#REF!</f>
        <v>#REF!</v>
      </c>
      <c r="W144" s="63" t="e">
        <f>'Proyectos Base digitable'!#REF!</f>
        <v>#REF!</v>
      </c>
      <c r="X144" s="63" t="e">
        <f>'Proyectos Base digitable'!#REF!</f>
        <v>#REF!</v>
      </c>
      <c r="Y144" s="63" t="e">
        <f>'Proyectos Base digitable'!#REF!</f>
        <v>#REF!</v>
      </c>
      <c r="Z144" s="58" t="e">
        <f>+'Proyectos Base digitable'!#REF!</f>
        <v>#REF!</v>
      </c>
      <c r="AA144" s="58" t="e">
        <f>+'Proyectos Base digitable'!#REF!</f>
        <v>#REF!</v>
      </c>
      <c r="AB144" s="63" t="e">
        <f>'Proyectos Base digitable'!#REF!</f>
        <v>#REF!</v>
      </c>
      <c r="AC144" s="56" t="e">
        <f>+'Proyectos Base digitable'!#REF!</f>
        <v>#REF!</v>
      </c>
      <c r="AD144" s="52" t="e">
        <f>+'Proyectos Base digitable'!#REF!</f>
        <v>#REF!</v>
      </c>
      <c r="AE144" s="52" t="e">
        <f>+'Proyectos Base digitable'!#REF!</f>
        <v>#REF!</v>
      </c>
      <c r="AF144" s="52" t="e">
        <f>+'Proyectos Base digitable'!#REF!</f>
        <v>#REF!</v>
      </c>
      <c r="AG144" s="56" t="e">
        <f>+'Proyectos Base digitable'!#REF!</f>
        <v>#REF!</v>
      </c>
      <c r="AH144" s="52" t="e">
        <f>+'Proyectos Base digitable'!#REF!</f>
        <v>#REF!</v>
      </c>
      <c r="AI144" s="52" t="e">
        <f>+'Proyectos Base digitable'!#REF!</f>
        <v>#REF!</v>
      </c>
      <c r="AJ144" s="59" t="e">
        <f>+'Proyectos Base digitable'!#REF!</f>
        <v>#REF!</v>
      </c>
      <c r="AK144" s="186" t="e">
        <f>+'Proyectos Base digitable'!#REF!</f>
        <v>#REF!</v>
      </c>
      <c r="AL144" s="186" t="e">
        <f>+'Proyectos Base digitable'!#REF!</f>
        <v>#REF!</v>
      </c>
      <c r="AM144" s="186" t="e">
        <f>+'Proyectos Base digitable'!#REF!</f>
        <v>#REF!</v>
      </c>
      <c r="AN144" s="186" t="e">
        <f>+'Proyectos Base digitable'!#REF!</f>
        <v>#REF!</v>
      </c>
      <c r="AO144" s="186" t="e">
        <f>+'Proyectos Base digitable'!#REF!</f>
        <v>#REF!</v>
      </c>
      <c r="AP144" s="186" t="e">
        <f>+'Proyectos Base digitable'!#REF!</f>
        <v>#REF!</v>
      </c>
      <c r="AQ144" s="186" t="e">
        <f>+'Proyectos Base digitable'!#REF!</f>
        <v>#REF!</v>
      </c>
      <c r="AR144" s="186" t="e">
        <f>+'Proyectos Base digitable'!#REF!</f>
        <v>#REF!</v>
      </c>
      <c r="AS144" s="186" t="e">
        <f>+'Proyectos Base digitable'!#REF!</f>
        <v>#REF!</v>
      </c>
      <c r="AT144" s="187" t="e">
        <f>+'Proyectos Base digitable'!#REF!</f>
        <v>#REF!</v>
      </c>
      <c r="AU144" s="56" t="e">
        <f>+'Proyectos Base digitable'!#REF!</f>
        <v>#REF!</v>
      </c>
      <c r="AV144" s="56" t="e">
        <f>+'Proyectos Base digitable'!#REF!</f>
        <v>#REF!</v>
      </c>
      <c r="AW144" s="56" t="e">
        <f>+'Proyectos Base digitable'!#REF!</f>
        <v>#REF!</v>
      </c>
      <c r="AX144" s="56" t="e">
        <f>+'Proyectos Base digitable'!#REF!</f>
        <v>#REF!</v>
      </c>
      <c r="AY144" s="56" t="e">
        <f>+'Proyectos Base digitable'!#REF!</f>
        <v>#REF!</v>
      </c>
      <c r="AZ144" s="188" t="e">
        <f>+'Proyectos Base digitable'!#REF!</f>
        <v>#REF!</v>
      </c>
      <c r="BA144" s="188" t="e">
        <f>+'Proyectos Base digitable'!#REF!</f>
        <v>#REF!</v>
      </c>
    </row>
    <row r="145" spans="1:53" ht="12.5">
      <c r="A145" s="60" t="e">
        <f>+'Proyectos Base digitable'!#REF!</f>
        <v>#REF!</v>
      </c>
      <c r="B145" s="56" t="e">
        <f>+'Proyectos Base digitable'!#REF!</f>
        <v>#REF!</v>
      </c>
      <c r="C145" s="56" t="e">
        <f>+'Proyectos Base digitable'!#REF!</f>
        <v>#REF!</v>
      </c>
      <c r="D145" s="56" t="e">
        <f>+'Proyectos Base digitable'!#REF!</f>
        <v>#REF!</v>
      </c>
      <c r="E145" s="56" t="e">
        <f>+'Proyectos Base digitable'!#REF!</f>
        <v>#REF!</v>
      </c>
      <c r="F145" s="56" t="e">
        <f>+'Proyectos Base digitable'!#REF!</f>
        <v>#REF!</v>
      </c>
      <c r="G145" s="57" t="e">
        <f>+'Proyectos Base digitable'!#REF!</f>
        <v>#REF!</v>
      </c>
      <c r="H145" s="56" t="e">
        <f>+'Proyectos Base digitable'!#REF!</f>
        <v>#REF!</v>
      </c>
      <c r="I145" s="56" t="e">
        <f>+'Proyectos Base digitable'!#REF!</f>
        <v>#REF!</v>
      </c>
      <c r="J145" s="56" t="e">
        <f>+'Proyectos Base digitable'!#REF!</f>
        <v>#REF!</v>
      </c>
      <c r="K145" s="56" t="e">
        <f>+'Proyectos Base digitable'!#REF!</f>
        <v>#REF!</v>
      </c>
      <c r="L145" s="56" t="e">
        <f>+'Proyectos Base digitable'!#REF!</f>
        <v>#REF!</v>
      </c>
      <c r="M145" s="56" t="e">
        <f>+'Proyectos Base digitable'!#REF!</f>
        <v>#REF!</v>
      </c>
      <c r="N145" s="52" t="e">
        <f>+'Proyectos Base digitable'!#REF!</f>
        <v>#REF!</v>
      </c>
      <c r="O145" s="52" t="e">
        <f>+'Proyectos Base digitable'!#REF!</f>
        <v>#REF!</v>
      </c>
      <c r="P145" s="185" t="e">
        <f>+'Proyectos Base digitable'!#REF!</f>
        <v>#REF!</v>
      </c>
      <c r="Q145" s="58" t="e">
        <f>+'Proyectos Base digitable'!#REF!</f>
        <v>#REF!</v>
      </c>
      <c r="R145" s="58" t="e">
        <f>+'Proyectos Base digitable'!#REF!</f>
        <v>#REF!</v>
      </c>
      <c r="S145" s="58" t="e">
        <f>+'Proyectos Base digitable'!#REF!</f>
        <v>#REF!</v>
      </c>
      <c r="T145" s="58" t="e">
        <f>+'Proyectos Base digitable'!#REF!</f>
        <v>#REF!</v>
      </c>
      <c r="U145" s="63" t="e">
        <f>'Proyectos Base digitable'!#REF!</f>
        <v>#REF!</v>
      </c>
      <c r="V145" s="63" t="e">
        <f>'Proyectos Base digitable'!#REF!</f>
        <v>#REF!</v>
      </c>
      <c r="W145" s="63" t="e">
        <f>'Proyectos Base digitable'!#REF!</f>
        <v>#REF!</v>
      </c>
      <c r="X145" s="63" t="e">
        <f>'Proyectos Base digitable'!#REF!</f>
        <v>#REF!</v>
      </c>
      <c r="Y145" s="63" t="e">
        <f>'Proyectos Base digitable'!#REF!</f>
        <v>#REF!</v>
      </c>
      <c r="Z145" s="58" t="e">
        <f>+'Proyectos Base digitable'!#REF!</f>
        <v>#REF!</v>
      </c>
      <c r="AA145" s="58" t="e">
        <f>+'Proyectos Base digitable'!#REF!</f>
        <v>#REF!</v>
      </c>
      <c r="AB145" s="63" t="e">
        <f>'Proyectos Base digitable'!#REF!</f>
        <v>#REF!</v>
      </c>
      <c r="AC145" s="56" t="e">
        <f>+'Proyectos Base digitable'!#REF!</f>
        <v>#REF!</v>
      </c>
      <c r="AD145" s="52" t="e">
        <f>+'Proyectos Base digitable'!#REF!</f>
        <v>#REF!</v>
      </c>
      <c r="AE145" s="52" t="e">
        <f>+'Proyectos Base digitable'!#REF!</f>
        <v>#REF!</v>
      </c>
      <c r="AF145" s="52" t="e">
        <f>+'Proyectos Base digitable'!#REF!</f>
        <v>#REF!</v>
      </c>
      <c r="AG145" s="56" t="e">
        <f>+'Proyectos Base digitable'!#REF!</f>
        <v>#REF!</v>
      </c>
      <c r="AH145" s="52" t="e">
        <f>+'Proyectos Base digitable'!#REF!</f>
        <v>#REF!</v>
      </c>
      <c r="AI145" s="52" t="e">
        <f>+'Proyectos Base digitable'!#REF!</f>
        <v>#REF!</v>
      </c>
      <c r="AJ145" s="59" t="e">
        <f>+'Proyectos Base digitable'!#REF!</f>
        <v>#REF!</v>
      </c>
      <c r="AK145" s="186" t="e">
        <f>+'Proyectos Base digitable'!#REF!</f>
        <v>#REF!</v>
      </c>
      <c r="AL145" s="186" t="e">
        <f>+'Proyectos Base digitable'!#REF!</f>
        <v>#REF!</v>
      </c>
      <c r="AM145" s="186" t="e">
        <f>+'Proyectos Base digitable'!#REF!</f>
        <v>#REF!</v>
      </c>
      <c r="AN145" s="186" t="e">
        <f>+'Proyectos Base digitable'!#REF!</f>
        <v>#REF!</v>
      </c>
      <c r="AO145" s="186" t="e">
        <f>+'Proyectos Base digitable'!#REF!</f>
        <v>#REF!</v>
      </c>
      <c r="AP145" s="186" t="e">
        <f>+'Proyectos Base digitable'!#REF!</f>
        <v>#REF!</v>
      </c>
      <c r="AQ145" s="186" t="e">
        <f>+'Proyectos Base digitable'!#REF!</f>
        <v>#REF!</v>
      </c>
      <c r="AR145" s="186" t="e">
        <f>+'Proyectos Base digitable'!#REF!</f>
        <v>#REF!</v>
      </c>
      <c r="AS145" s="186" t="e">
        <f>+'Proyectos Base digitable'!#REF!</f>
        <v>#REF!</v>
      </c>
      <c r="AT145" s="187" t="e">
        <f>+'Proyectos Base digitable'!#REF!</f>
        <v>#REF!</v>
      </c>
      <c r="AU145" s="56" t="e">
        <f>+'Proyectos Base digitable'!#REF!</f>
        <v>#REF!</v>
      </c>
      <c r="AV145" s="56" t="e">
        <f>+'Proyectos Base digitable'!#REF!</f>
        <v>#REF!</v>
      </c>
      <c r="AW145" s="56" t="e">
        <f>+'Proyectos Base digitable'!#REF!</f>
        <v>#REF!</v>
      </c>
      <c r="AX145" s="56" t="e">
        <f>+'Proyectos Base digitable'!#REF!</f>
        <v>#REF!</v>
      </c>
      <c r="AY145" s="56" t="e">
        <f>+'Proyectos Base digitable'!#REF!</f>
        <v>#REF!</v>
      </c>
      <c r="AZ145" s="188" t="e">
        <f>+'Proyectos Base digitable'!#REF!</f>
        <v>#REF!</v>
      </c>
      <c r="BA145" s="188" t="e">
        <f>+'Proyectos Base digitable'!#REF!</f>
        <v>#REF!</v>
      </c>
    </row>
    <row r="146" spans="1:53" ht="12.5">
      <c r="A146" s="60" t="e">
        <f>+'Proyectos Base digitable'!#REF!</f>
        <v>#REF!</v>
      </c>
      <c r="B146" s="56" t="e">
        <f>+'Proyectos Base digitable'!#REF!</f>
        <v>#REF!</v>
      </c>
      <c r="C146" s="56" t="e">
        <f>+'Proyectos Base digitable'!#REF!</f>
        <v>#REF!</v>
      </c>
      <c r="D146" s="56" t="e">
        <f>+'Proyectos Base digitable'!#REF!</f>
        <v>#REF!</v>
      </c>
      <c r="E146" s="56" t="e">
        <f>+'Proyectos Base digitable'!#REF!</f>
        <v>#REF!</v>
      </c>
      <c r="F146" s="56" t="e">
        <f>+'Proyectos Base digitable'!#REF!</f>
        <v>#REF!</v>
      </c>
      <c r="G146" s="57" t="e">
        <f>+'Proyectos Base digitable'!#REF!</f>
        <v>#REF!</v>
      </c>
      <c r="H146" s="56" t="e">
        <f>+'Proyectos Base digitable'!#REF!</f>
        <v>#REF!</v>
      </c>
      <c r="I146" s="56" t="e">
        <f>+'Proyectos Base digitable'!#REF!</f>
        <v>#REF!</v>
      </c>
      <c r="J146" s="56" t="e">
        <f>+'Proyectos Base digitable'!#REF!</f>
        <v>#REF!</v>
      </c>
      <c r="K146" s="56" t="e">
        <f>+'Proyectos Base digitable'!#REF!</f>
        <v>#REF!</v>
      </c>
      <c r="L146" s="56" t="e">
        <f>+'Proyectos Base digitable'!#REF!</f>
        <v>#REF!</v>
      </c>
      <c r="M146" s="56" t="e">
        <f>+'Proyectos Base digitable'!#REF!</f>
        <v>#REF!</v>
      </c>
      <c r="N146" s="52" t="e">
        <f>+'Proyectos Base digitable'!#REF!</f>
        <v>#REF!</v>
      </c>
      <c r="O146" s="52" t="e">
        <f>+'Proyectos Base digitable'!#REF!</f>
        <v>#REF!</v>
      </c>
      <c r="P146" s="185" t="e">
        <f>+'Proyectos Base digitable'!#REF!</f>
        <v>#REF!</v>
      </c>
      <c r="Q146" s="58" t="e">
        <f>+'Proyectos Base digitable'!#REF!</f>
        <v>#REF!</v>
      </c>
      <c r="R146" s="58" t="e">
        <f>+'Proyectos Base digitable'!#REF!</f>
        <v>#REF!</v>
      </c>
      <c r="S146" s="58" t="e">
        <f>+'Proyectos Base digitable'!#REF!</f>
        <v>#REF!</v>
      </c>
      <c r="T146" s="58" t="e">
        <f>+'Proyectos Base digitable'!#REF!</f>
        <v>#REF!</v>
      </c>
      <c r="U146" s="63" t="e">
        <f>'Proyectos Base digitable'!#REF!</f>
        <v>#REF!</v>
      </c>
      <c r="V146" s="63" t="e">
        <f>'Proyectos Base digitable'!#REF!</f>
        <v>#REF!</v>
      </c>
      <c r="W146" s="63" t="e">
        <f>'Proyectos Base digitable'!#REF!</f>
        <v>#REF!</v>
      </c>
      <c r="X146" s="63" t="e">
        <f>'Proyectos Base digitable'!#REF!</f>
        <v>#REF!</v>
      </c>
      <c r="Y146" s="63" t="e">
        <f>'Proyectos Base digitable'!#REF!</f>
        <v>#REF!</v>
      </c>
      <c r="Z146" s="58" t="e">
        <f>+'Proyectos Base digitable'!#REF!</f>
        <v>#REF!</v>
      </c>
      <c r="AA146" s="58" t="e">
        <f>+'Proyectos Base digitable'!#REF!</f>
        <v>#REF!</v>
      </c>
      <c r="AB146" s="63" t="e">
        <f>'Proyectos Base digitable'!#REF!</f>
        <v>#REF!</v>
      </c>
      <c r="AC146" s="56" t="e">
        <f>+'Proyectos Base digitable'!#REF!</f>
        <v>#REF!</v>
      </c>
      <c r="AD146" s="52" t="e">
        <f>+'Proyectos Base digitable'!#REF!</f>
        <v>#REF!</v>
      </c>
      <c r="AE146" s="52" t="e">
        <f>+'Proyectos Base digitable'!#REF!</f>
        <v>#REF!</v>
      </c>
      <c r="AF146" s="52" t="e">
        <f>+'Proyectos Base digitable'!#REF!</f>
        <v>#REF!</v>
      </c>
      <c r="AG146" s="56" t="e">
        <f>+'Proyectos Base digitable'!#REF!</f>
        <v>#REF!</v>
      </c>
      <c r="AH146" s="52" t="e">
        <f>+'Proyectos Base digitable'!#REF!</f>
        <v>#REF!</v>
      </c>
      <c r="AI146" s="52" t="e">
        <f>+'Proyectos Base digitable'!#REF!</f>
        <v>#REF!</v>
      </c>
      <c r="AJ146" s="59" t="e">
        <f>+'Proyectos Base digitable'!#REF!</f>
        <v>#REF!</v>
      </c>
      <c r="AK146" s="186" t="e">
        <f>+'Proyectos Base digitable'!#REF!</f>
        <v>#REF!</v>
      </c>
      <c r="AL146" s="186" t="e">
        <f>+'Proyectos Base digitable'!#REF!</f>
        <v>#REF!</v>
      </c>
      <c r="AM146" s="186" t="e">
        <f>+'Proyectos Base digitable'!#REF!</f>
        <v>#REF!</v>
      </c>
      <c r="AN146" s="186" t="e">
        <f>+'Proyectos Base digitable'!#REF!</f>
        <v>#REF!</v>
      </c>
      <c r="AO146" s="186" t="e">
        <f>+'Proyectos Base digitable'!#REF!</f>
        <v>#REF!</v>
      </c>
      <c r="AP146" s="186" t="e">
        <f>+'Proyectos Base digitable'!#REF!</f>
        <v>#REF!</v>
      </c>
      <c r="AQ146" s="186" t="e">
        <f>+'Proyectos Base digitable'!#REF!</f>
        <v>#REF!</v>
      </c>
      <c r="AR146" s="186" t="e">
        <f>+'Proyectos Base digitable'!#REF!</f>
        <v>#REF!</v>
      </c>
      <c r="AS146" s="186" t="e">
        <f>+'Proyectos Base digitable'!#REF!</f>
        <v>#REF!</v>
      </c>
      <c r="AT146" s="187" t="e">
        <f>+'Proyectos Base digitable'!#REF!</f>
        <v>#REF!</v>
      </c>
      <c r="AU146" s="56" t="e">
        <f>+'Proyectos Base digitable'!#REF!</f>
        <v>#REF!</v>
      </c>
      <c r="AV146" s="56" t="e">
        <f>+'Proyectos Base digitable'!#REF!</f>
        <v>#REF!</v>
      </c>
      <c r="AW146" s="56" t="e">
        <f>+'Proyectos Base digitable'!#REF!</f>
        <v>#REF!</v>
      </c>
      <c r="AX146" s="56" t="e">
        <f>+'Proyectos Base digitable'!#REF!</f>
        <v>#REF!</v>
      </c>
      <c r="AY146" s="56" t="e">
        <f>+'Proyectos Base digitable'!#REF!</f>
        <v>#REF!</v>
      </c>
      <c r="AZ146" s="188" t="e">
        <f>+'Proyectos Base digitable'!#REF!</f>
        <v>#REF!</v>
      </c>
      <c r="BA146" s="188" t="e">
        <f>+'Proyectos Base digitable'!#REF!</f>
        <v>#REF!</v>
      </c>
    </row>
    <row r="147" spans="1:53" ht="12.5">
      <c r="A147" s="60" t="e">
        <f>+'Proyectos Base digitable'!#REF!</f>
        <v>#REF!</v>
      </c>
      <c r="B147" s="56" t="e">
        <f>+'Proyectos Base digitable'!#REF!</f>
        <v>#REF!</v>
      </c>
      <c r="C147" s="56" t="e">
        <f>+'Proyectos Base digitable'!#REF!</f>
        <v>#REF!</v>
      </c>
      <c r="D147" s="56" t="e">
        <f>+'Proyectos Base digitable'!#REF!</f>
        <v>#REF!</v>
      </c>
      <c r="E147" s="56" t="e">
        <f>+'Proyectos Base digitable'!#REF!</f>
        <v>#REF!</v>
      </c>
      <c r="F147" s="56" t="e">
        <f>+'Proyectos Base digitable'!#REF!</f>
        <v>#REF!</v>
      </c>
      <c r="G147" s="57" t="e">
        <f>+'Proyectos Base digitable'!#REF!</f>
        <v>#REF!</v>
      </c>
      <c r="H147" s="56" t="e">
        <f>+'Proyectos Base digitable'!#REF!</f>
        <v>#REF!</v>
      </c>
      <c r="I147" s="56" t="e">
        <f>+'Proyectos Base digitable'!#REF!</f>
        <v>#REF!</v>
      </c>
      <c r="J147" s="56" t="e">
        <f>+'Proyectos Base digitable'!#REF!</f>
        <v>#REF!</v>
      </c>
      <c r="K147" s="56" t="e">
        <f>+'Proyectos Base digitable'!#REF!</f>
        <v>#REF!</v>
      </c>
      <c r="L147" s="56" t="e">
        <f>+'Proyectos Base digitable'!#REF!</f>
        <v>#REF!</v>
      </c>
      <c r="M147" s="56" t="e">
        <f>+'Proyectos Base digitable'!#REF!</f>
        <v>#REF!</v>
      </c>
      <c r="N147" s="52" t="e">
        <f>+'Proyectos Base digitable'!#REF!</f>
        <v>#REF!</v>
      </c>
      <c r="O147" s="52" t="e">
        <f>+'Proyectos Base digitable'!#REF!</f>
        <v>#REF!</v>
      </c>
      <c r="P147" s="185" t="e">
        <f>+'Proyectos Base digitable'!#REF!</f>
        <v>#REF!</v>
      </c>
      <c r="Q147" s="58" t="e">
        <f>+'Proyectos Base digitable'!#REF!</f>
        <v>#REF!</v>
      </c>
      <c r="R147" s="58" t="e">
        <f>+'Proyectos Base digitable'!#REF!</f>
        <v>#REF!</v>
      </c>
      <c r="S147" s="58" t="e">
        <f>+'Proyectos Base digitable'!#REF!</f>
        <v>#REF!</v>
      </c>
      <c r="T147" s="58" t="e">
        <f>+'Proyectos Base digitable'!#REF!</f>
        <v>#REF!</v>
      </c>
      <c r="U147" s="63" t="e">
        <f>'Proyectos Base digitable'!#REF!</f>
        <v>#REF!</v>
      </c>
      <c r="V147" s="63" t="e">
        <f>'Proyectos Base digitable'!#REF!</f>
        <v>#REF!</v>
      </c>
      <c r="W147" s="63" t="e">
        <f>'Proyectos Base digitable'!#REF!</f>
        <v>#REF!</v>
      </c>
      <c r="X147" s="63" t="e">
        <f>'Proyectos Base digitable'!#REF!</f>
        <v>#REF!</v>
      </c>
      <c r="Y147" s="63" t="e">
        <f>'Proyectos Base digitable'!#REF!</f>
        <v>#REF!</v>
      </c>
      <c r="Z147" s="58" t="e">
        <f>+'Proyectos Base digitable'!#REF!</f>
        <v>#REF!</v>
      </c>
      <c r="AA147" s="58" t="e">
        <f>+'Proyectos Base digitable'!#REF!</f>
        <v>#REF!</v>
      </c>
      <c r="AB147" s="63" t="e">
        <f>'Proyectos Base digitable'!#REF!</f>
        <v>#REF!</v>
      </c>
      <c r="AC147" s="56" t="e">
        <f>+'Proyectos Base digitable'!#REF!</f>
        <v>#REF!</v>
      </c>
      <c r="AD147" s="52" t="e">
        <f>+'Proyectos Base digitable'!#REF!</f>
        <v>#REF!</v>
      </c>
      <c r="AE147" s="52" t="e">
        <f>+'Proyectos Base digitable'!#REF!</f>
        <v>#REF!</v>
      </c>
      <c r="AF147" s="52" t="e">
        <f>+'Proyectos Base digitable'!#REF!</f>
        <v>#REF!</v>
      </c>
      <c r="AG147" s="56" t="e">
        <f>+'Proyectos Base digitable'!#REF!</f>
        <v>#REF!</v>
      </c>
      <c r="AH147" s="52" t="e">
        <f>+'Proyectos Base digitable'!#REF!</f>
        <v>#REF!</v>
      </c>
      <c r="AI147" s="52" t="e">
        <f>+'Proyectos Base digitable'!#REF!</f>
        <v>#REF!</v>
      </c>
      <c r="AJ147" s="59" t="e">
        <f>+'Proyectos Base digitable'!#REF!</f>
        <v>#REF!</v>
      </c>
      <c r="AK147" s="186" t="e">
        <f>+'Proyectos Base digitable'!#REF!</f>
        <v>#REF!</v>
      </c>
      <c r="AL147" s="186" t="e">
        <f>+'Proyectos Base digitable'!#REF!</f>
        <v>#REF!</v>
      </c>
      <c r="AM147" s="186" t="e">
        <f>+'Proyectos Base digitable'!#REF!</f>
        <v>#REF!</v>
      </c>
      <c r="AN147" s="186" t="e">
        <f>+'Proyectos Base digitable'!#REF!</f>
        <v>#REF!</v>
      </c>
      <c r="AO147" s="186" t="e">
        <f>+'Proyectos Base digitable'!#REF!</f>
        <v>#REF!</v>
      </c>
      <c r="AP147" s="186" t="e">
        <f>+'Proyectos Base digitable'!#REF!</f>
        <v>#REF!</v>
      </c>
      <c r="AQ147" s="186" t="e">
        <f>+'Proyectos Base digitable'!#REF!</f>
        <v>#REF!</v>
      </c>
      <c r="AR147" s="186" t="e">
        <f>+'Proyectos Base digitable'!#REF!</f>
        <v>#REF!</v>
      </c>
      <c r="AS147" s="186" t="e">
        <f>+'Proyectos Base digitable'!#REF!</f>
        <v>#REF!</v>
      </c>
      <c r="AT147" s="187" t="e">
        <f>+'Proyectos Base digitable'!#REF!</f>
        <v>#REF!</v>
      </c>
      <c r="AU147" s="56" t="e">
        <f>+'Proyectos Base digitable'!#REF!</f>
        <v>#REF!</v>
      </c>
      <c r="AV147" s="56" t="e">
        <f>+'Proyectos Base digitable'!#REF!</f>
        <v>#REF!</v>
      </c>
      <c r="AW147" s="56" t="e">
        <f>+'Proyectos Base digitable'!#REF!</f>
        <v>#REF!</v>
      </c>
      <c r="AX147" s="56" t="e">
        <f>+'Proyectos Base digitable'!#REF!</f>
        <v>#REF!</v>
      </c>
      <c r="AY147" s="56" t="e">
        <f>+'Proyectos Base digitable'!#REF!</f>
        <v>#REF!</v>
      </c>
      <c r="AZ147" s="188" t="e">
        <f>+'Proyectos Base digitable'!#REF!</f>
        <v>#REF!</v>
      </c>
      <c r="BA147" s="188" t="e">
        <f>+'Proyectos Base digitable'!#REF!</f>
        <v>#REF!</v>
      </c>
    </row>
    <row r="148" spans="1:53" ht="12.5">
      <c r="A148" s="60" t="e">
        <f>+'Proyectos Base digitable'!#REF!</f>
        <v>#REF!</v>
      </c>
      <c r="B148" s="56" t="e">
        <f>+'Proyectos Base digitable'!#REF!</f>
        <v>#REF!</v>
      </c>
      <c r="C148" s="56" t="e">
        <f>+'Proyectos Base digitable'!#REF!</f>
        <v>#REF!</v>
      </c>
      <c r="D148" s="56" t="e">
        <f>+'Proyectos Base digitable'!#REF!</f>
        <v>#REF!</v>
      </c>
      <c r="E148" s="56" t="e">
        <f>+'Proyectos Base digitable'!#REF!</f>
        <v>#REF!</v>
      </c>
      <c r="F148" s="56" t="e">
        <f>+'Proyectos Base digitable'!#REF!</f>
        <v>#REF!</v>
      </c>
      <c r="G148" s="57" t="e">
        <f>+'Proyectos Base digitable'!#REF!</f>
        <v>#REF!</v>
      </c>
      <c r="H148" s="56" t="e">
        <f>+'Proyectos Base digitable'!#REF!</f>
        <v>#REF!</v>
      </c>
      <c r="I148" s="56" t="e">
        <f>+'Proyectos Base digitable'!#REF!</f>
        <v>#REF!</v>
      </c>
      <c r="J148" s="56" t="e">
        <f>+'Proyectos Base digitable'!#REF!</f>
        <v>#REF!</v>
      </c>
      <c r="K148" s="56" t="e">
        <f>+'Proyectos Base digitable'!#REF!</f>
        <v>#REF!</v>
      </c>
      <c r="L148" s="56" t="e">
        <f>+'Proyectos Base digitable'!#REF!</f>
        <v>#REF!</v>
      </c>
      <c r="M148" s="56" t="e">
        <f>+'Proyectos Base digitable'!#REF!</f>
        <v>#REF!</v>
      </c>
      <c r="N148" s="52" t="e">
        <f>+'Proyectos Base digitable'!#REF!</f>
        <v>#REF!</v>
      </c>
      <c r="O148" s="52" t="e">
        <f>+'Proyectos Base digitable'!#REF!</f>
        <v>#REF!</v>
      </c>
      <c r="P148" s="185" t="e">
        <f>+'Proyectos Base digitable'!#REF!</f>
        <v>#REF!</v>
      </c>
      <c r="Q148" s="58" t="e">
        <f>+'Proyectos Base digitable'!#REF!</f>
        <v>#REF!</v>
      </c>
      <c r="R148" s="58" t="e">
        <f>+'Proyectos Base digitable'!#REF!</f>
        <v>#REF!</v>
      </c>
      <c r="S148" s="58" t="e">
        <f>+'Proyectos Base digitable'!#REF!</f>
        <v>#REF!</v>
      </c>
      <c r="T148" s="58" t="e">
        <f>+'Proyectos Base digitable'!#REF!</f>
        <v>#REF!</v>
      </c>
      <c r="U148" s="63" t="e">
        <f>'Proyectos Base digitable'!#REF!</f>
        <v>#REF!</v>
      </c>
      <c r="V148" s="63" t="e">
        <f>'Proyectos Base digitable'!#REF!</f>
        <v>#REF!</v>
      </c>
      <c r="W148" s="63" t="e">
        <f>'Proyectos Base digitable'!#REF!</f>
        <v>#REF!</v>
      </c>
      <c r="X148" s="63" t="e">
        <f>'Proyectos Base digitable'!#REF!</f>
        <v>#REF!</v>
      </c>
      <c r="Y148" s="63" t="e">
        <f>'Proyectos Base digitable'!#REF!</f>
        <v>#REF!</v>
      </c>
      <c r="Z148" s="58" t="e">
        <f>+'Proyectos Base digitable'!#REF!</f>
        <v>#REF!</v>
      </c>
      <c r="AA148" s="58" t="e">
        <f>+'Proyectos Base digitable'!#REF!</f>
        <v>#REF!</v>
      </c>
      <c r="AB148" s="63" t="e">
        <f>'Proyectos Base digitable'!#REF!</f>
        <v>#REF!</v>
      </c>
      <c r="AC148" s="56" t="e">
        <f>+'Proyectos Base digitable'!#REF!</f>
        <v>#REF!</v>
      </c>
      <c r="AD148" s="52" t="e">
        <f>+'Proyectos Base digitable'!#REF!</f>
        <v>#REF!</v>
      </c>
      <c r="AE148" s="52" t="e">
        <f>+'Proyectos Base digitable'!#REF!</f>
        <v>#REF!</v>
      </c>
      <c r="AF148" s="52" t="e">
        <f>+'Proyectos Base digitable'!#REF!</f>
        <v>#REF!</v>
      </c>
      <c r="AG148" s="56" t="e">
        <f>+'Proyectos Base digitable'!#REF!</f>
        <v>#REF!</v>
      </c>
      <c r="AH148" s="52" t="e">
        <f>+'Proyectos Base digitable'!#REF!</f>
        <v>#REF!</v>
      </c>
      <c r="AI148" s="52" t="e">
        <f>+'Proyectos Base digitable'!#REF!</f>
        <v>#REF!</v>
      </c>
      <c r="AJ148" s="59" t="e">
        <f>+'Proyectos Base digitable'!#REF!</f>
        <v>#REF!</v>
      </c>
      <c r="AK148" s="186" t="e">
        <f>+'Proyectos Base digitable'!#REF!</f>
        <v>#REF!</v>
      </c>
      <c r="AL148" s="186" t="e">
        <f>+'Proyectos Base digitable'!#REF!</f>
        <v>#REF!</v>
      </c>
      <c r="AM148" s="186" t="e">
        <f>+'Proyectos Base digitable'!#REF!</f>
        <v>#REF!</v>
      </c>
      <c r="AN148" s="186" t="e">
        <f>+'Proyectos Base digitable'!#REF!</f>
        <v>#REF!</v>
      </c>
      <c r="AO148" s="186" t="e">
        <f>+'Proyectos Base digitable'!#REF!</f>
        <v>#REF!</v>
      </c>
      <c r="AP148" s="186" t="e">
        <f>+'Proyectos Base digitable'!#REF!</f>
        <v>#REF!</v>
      </c>
      <c r="AQ148" s="186" t="e">
        <f>+'Proyectos Base digitable'!#REF!</f>
        <v>#REF!</v>
      </c>
      <c r="AR148" s="186" t="e">
        <f>+'Proyectos Base digitable'!#REF!</f>
        <v>#REF!</v>
      </c>
      <c r="AS148" s="186" t="e">
        <f>+'Proyectos Base digitable'!#REF!</f>
        <v>#REF!</v>
      </c>
      <c r="AT148" s="187" t="e">
        <f>+'Proyectos Base digitable'!#REF!</f>
        <v>#REF!</v>
      </c>
      <c r="AU148" s="56" t="e">
        <f>+'Proyectos Base digitable'!#REF!</f>
        <v>#REF!</v>
      </c>
      <c r="AV148" s="56" t="e">
        <f>+'Proyectos Base digitable'!#REF!</f>
        <v>#REF!</v>
      </c>
      <c r="AW148" s="56" t="e">
        <f>+'Proyectos Base digitable'!#REF!</f>
        <v>#REF!</v>
      </c>
      <c r="AX148" s="56" t="e">
        <f>+'Proyectos Base digitable'!#REF!</f>
        <v>#REF!</v>
      </c>
      <c r="AY148" s="56" t="e">
        <f>+'Proyectos Base digitable'!#REF!</f>
        <v>#REF!</v>
      </c>
      <c r="AZ148" s="188" t="e">
        <f>+'Proyectos Base digitable'!#REF!</f>
        <v>#REF!</v>
      </c>
      <c r="BA148" s="188" t="e">
        <f>+'Proyectos Base digitable'!#REF!</f>
        <v>#REF!</v>
      </c>
    </row>
    <row r="149" spans="1:53" ht="12.5">
      <c r="A149" s="60" t="e">
        <f>+'Proyectos Base digitable'!#REF!</f>
        <v>#REF!</v>
      </c>
      <c r="B149" s="56" t="e">
        <f>+'Proyectos Base digitable'!#REF!</f>
        <v>#REF!</v>
      </c>
      <c r="C149" s="56" t="e">
        <f>+'Proyectos Base digitable'!#REF!</f>
        <v>#REF!</v>
      </c>
      <c r="D149" s="56" t="e">
        <f>+'Proyectos Base digitable'!#REF!</f>
        <v>#REF!</v>
      </c>
      <c r="E149" s="56" t="e">
        <f>+'Proyectos Base digitable'!#REF!</f>
        <v>#REF!</v>
      </c>
      <c r="F149" s="56" t="e">
        <f>+'Proyectos Base digitable'!#REF!</f>
        <v>#REF!</v>
      </c>
      <c r="G149" s="57" t="e">
        <f>+'Proyectos Base digitable'!#REF!</f>
        <v>#REF!</v>
      </c>
      <c r="H149" s="56" t="e">
        <f>+'Proyectos Base digitable'!#REF!</f>
        <v>#REF!</v>
      </c>
      <c r="I149" s="56" t="e">
        <f>+'Proyectos Base digitable'!#REF!</f>
        <v>#REF!</v>
      </c>
      <c r="J149" s="56" t="e">
        <f>+'Proyectos Base digitable'!#REF!</f>
        <v>#REF!</v>
      </c>
      <c r="K149" s="56" t="e">
        <f>+'Proyectos Base digitable'!#REF!</f>
        <v>#REF!</v>
      </c>
      <c r="L149" s="56" t="e">
        <f>+'Proyectos Base digitable'!#REF!</f>
        <v>#REF!</v>
      </c>
      <c r="M149" s="56" t="e">
        <f>+'Proyectos Base digitable'!#REF!</f>
        <v>#REF!</v>
      </c>
      <c r="N149" s="52" t="e">
        <f>+'Proyectos Base digitable'!#REF!</f>
        <v>#REF!</v>
      </c>
      <c r="O149" s="52" t="e">
        <f>+'Proyectos Base digitable'!#REF!</f>
        <v>#REF!</v>
      </c>
      <c r="P149" s="185" t="e">
        <f>+'Proyectos Base digitable'!#REF!</f>
        <v>#REF!</v>
      </c>
      <c r="Q149" s="58" t="e">
        <f>+'Proyectos Base digitable'!#REF!</f>
        <v>#REF!</v>
      </c>
      <c r="R149" s="58" t="e">
        <f>+'Proyectos Base digitable'!#REF!</f>
        <v>#REF!</v>
      </c>
      <c r="S149" s="58" t="e">
        <f>+'Proyectos Base digitable'!#REF!</f>
        <v>#REF!</v>
      </c>
      <c r="T149" s="58" t="e">
        <f>+'Proyectos Base digitable'!#REF!</f>
        <v>#REF!</v>
      </c>
      <c r="U149" s="63" t="e">
        <f>'Proyectos Base digitable'!#REF!</f>
        <v>#REF!</v>
      </c>
      <c r="V149" s="63" t="e">
        <f>'Proyectos Base digitable'!#REF!</f>
        <v>#REF!</v>
      </c>
      <c r="W149" s="63" t="e">
        <f>'Proyectos Base digitable'!#REF!</f>
        <v>#REF!</v>
      </c>
      <c r="X149" s="63" t="e">
        <f>'Proyectos Base digitable'!#REF!</f>
        <v>#REF!</v>
      </c>
      <c r="Y149" s="63" t="e">
        <f>'Proyectos Base digitable'!#REF!</f>
        <v>#REF!</v>
      </c>
      <c r="Z149" s="58" t="e">
        <f>+'Proyectos Base digitable'!#REF!</f>
        <v>#REF!</v>
      </c>
      <c r="AA149" s="58" t="e">
        <f>+'Proyectos Base digitable'!#REF!</f>
        <v>#REF!</v>
      </c>
      <c r="AB149" s="63" t="e">
        <f>'Proyectos Base digitable'!#REF!</f>
        <v>#REF!</v>
      </c>
      <c r="AC149" s="56" t="e">
        <f>+'Proyectos Base digitable'!#REF!</f>
        <v>#REF!</v>
      </c>
      <c r="AD149" s="52" t="e">
        <f>+'Proyectos Base digitable'!#REF!</f>
        <v>#REF!</v>
      </c>
      <c r="AE149" s="52" t="e">
        <f>+'Proyectos Base digitable'!#REF!</f>
        <v>#REF!</v>
      </c>
      <c r="AF149" s="52" t="e">
        <f>+'Proyectos Base digitable'!#REF!</f>
        <v>#REF!</v>
      </c>
      <c r="AG149" s="56" t="e">
        <f>+'Proyectos Base digitable'!#REF!</f>
        <v>#REF!</v>
      </c>
      <c r="AH149" s="52" t="e">
        <f>+'Proyectos Base digitable'!#REF!</f>
        <v>#REF!</v>
      </c>
      <c r="AI149" s="52" t="e">
        <f>+'Proyectos Base digitable'!#REF!</f>
        <v>#REF!</v>
      </c>
      <c r="AJ149" s="59" t="e">
        <f>+'Proyectos Base digitable'!#REF!</f>
        <v>#REF!</v>
      </c>
      <c r="AK149" s="186" t="e">
        <f>+'Proyectos Base digitable'!#REF!</f>
        <v>#REF!</v>
      </c>
      <c r="AL149" s="186" t="e">
        <f>+'Proyectos Base digitable'!#REF!</f>
        <v>#REF!</v>
      </c>
      <c r="AM149" s="186" t="e">
        <f>+'Proyectos Base digitable'!#REF!</f>
        <v>#REF!</v>
      </c>
      <c r="AN149" s="186" t="e">
        <f>+'Proyectos Base digitable'!#REF!</f>
        <v>#REF!</v>
      </c>
      <c r="AO149" s="186" t="e">
        <f>+'Proyectos Base digitable'!#REF!</f>
        <v>#REF!</v>
      </c>
      <c r="AP149" s="186" t="e">
        <f>+'Proyectos Base digitable'!#REF!</f>
        <v>#REF!</v>
      </c>
      <c r="AQ149" s="186" t="e">
        <f>+'Proyectos Base digitable'!#REF!</f>
        <v>#REF!</v>
      </c>
      <c r="AR149" s="186" t="e">
        <f>+'Proyectos Base digitable'!#REF!</f>
        <v>#REF!</v>
      </c>
      <c r="AS149" s="186" t="e">
        <f>+'Proyectos Base digitable'!#REF!</f>
        <v>#REF!</v>
      </c>
      <c r="AT149" s="187" t="e">
        <f>+'Proyectos Base digitable'!#REF!</f>
        <v>#REF!</v>
      </c>
      <c r="AU149" s="56" t="e">
        <f>+'Proyectos Base digitable'!#REF!</f>
        <v>#REF!</v>
      </c>
      <c r="AV149" s="56" t="e">
        <f>+'Proyectos Base digitable'!#REF!</f>
        <v>#REF!</v>
      </c>
      <c r="AW149" s="56" t="e">
        <f>+'Proyectos Base digitable'!#REF!</f>
        <v>#REF!</v>
      </c>
      <c r="AX149" s="56" t="e">
        <f>+'Proyectos Base digitable'!#REF!</f>
        <v>#REF!</v>
      </c>
      <c r="AY149" s="56" t="e">
        <f>+'Proyectos Base digitable'!#REF!</f>
        <v>#REF!</v>
      </c>
      <c r="AZ149" s="188" t="e">
        <f>+'Proyectos Base digitable'!#REF!</f>
        <v>#REF!</v>
      </c>
      <c r="BA149" s="188" t="e">
        <f>+'Proyectos Base digitable'!#REF!</f>
        <v>#REF!</v>
      </c>
    </row>
    <row r="150" spans="1:53" ht="12.5">
      <c r="A150" s="60" t="e">
        <f>+'Proyectos Base digitable'!#REF!</f>
        <v>#REF!</v>
      </c>
      <c r="B150" s="56" t="e">
        <f>+'Proyectos Base digitable'!#REF!</f>
        <v>#REF!</v>
      </c>
      <c r="C150" s="56" t="e">
        <f>+'Proyectos Base digitable'!#REF!</f>
        <v>#REF!</v>
      </c>
      <c r="D150" s="56" t="e">
        <f>+'Proyectos Base digitable'!#REF!</f>
        <v>#REF!</v>
      </c>
      <c r="E150" s="56" t="e">
        <f>+'Proyectos Base digitable'!#REF!</f>
        <v>#REF!</v>
      </c>
      <c r="F150" s="56" t="e">
        <f>+'Proyectos Base digitable'!#REF!</f>
        <v>#REF!</v>
      </c>
      <c r="G150" s="57" t="e">
        <f>+'Proyectos Base digitable'!#REF!</f>
        <v>#REF!</v>
      </c>
      <c r="H150" s="56" t="e">
        <f>+'Proyectos Base digitable'!#REF!</f>
        <v>#REF!</v>
      </c>
      <c r="I150" s="56" t="e">
        <f>+'Proyectos Base digitable'!#REF!</f>
        <v>#REF!</v>
      </c>
      <c r="J150" s="56" t="e">
        <f>+'Proyectos Base digitable'!#REF!</f>
        <v>#REF!</v>
      </c>
      <c r="K150" s="56" t="e">
        <f>+'Proyectos Base digitable'!#REF!</f>
        <v>#REF!</v>
      </c>
      <c r="L150" s="56" t="e">
        <f>+'Proyectos Base digitable'!#REF!</f>
        <v>#REF!</v>
      </c>
      <c r="M150" s="56" t="e">
        <f>+'Proyectos Base digitable'!#REF!</f>
        <v>#REF!</v>
      </c>
      <c r="N150" s="52" t="e">
        <f>+'Proyectos Base digitable'!#REF!</f>
        <v>#REF!</v>
      </c>
      <c r="O150" s="52" t="e">
        <f>+'Proyectos Base digitable'!#REF!</f>
        <v>#REF!</v>
      </c>
      <c r="P150" s="185" t="e">
        <f>+'Proyectos Base digitable'!#REF!</f>
        <v>#REF!</v>
      </c>
      <c r="Q150" s="58" t="e">
        <f>+'Proyectos Base digitable'!#REF!</f>
        <v>#REF!</v>
      </c>
      <c r="R150" s="58" t="e">
        <f>+'Proyectos Base digitable'!#REF!</f>
        <v>#REF!</v>
      </c>
      <c r="S150" s="58" t="e">
        <f>+'Proyectos Base digitable'!#REF!</f>
        <v>#REF!</v>
      </c>
      <c r="T150" s="58" t="e">
        <f>+'Proyectos Base digitable'!#REF!</f>
        <v>#REF!</v>
      </c>
      <c r="U150" s="63" t="e">
        <f>'Proyectos Base digitable'!#REF!</f>
        <v>#REF!</v>
      </c>
      <c r="V150" s="63" t="e">
        <f>'Proyectos Base digitable'!#REF!</f>
        <v>#REF!</v>
      </c>
      <c r="W150" s="63" t="e">
        <f>'Proyectos Base digitable'!#REF!</f>
        <v>#REF!</v>
      </c>
      <c r="X150" s="63" t="e">
        <f>'Proyectos Base digitable'!#REF!</f>
        <v>#REF!</v>
      </c>
      <c r="Y150" s="63" t="e">
        <f>'Proyectos Base digitable'!#REF!</f>
        <v>#REF!</v>
      </c>
      <c r="Z150" s="58" t="e">
        <f>+'Proyectos Base digitable'!#REF!</f>
        <v>#REF!</v>
      </c>
      <c r="AA150" s="58" t="e">
        <f>+'Proyectos Base digitable'!#REF!</f>
        <v>#REF!</v>
      </c>
      <c r="AB150" s="63" t="e">
        <f>'Proyectos Base digitable'!#REF!</f>
        <v>#REF!</v>
      </c>
      <c r="AC150" s="56" t="e">
        <f>+'Proyectos Base digitable'!#REF!</f>
        <v>#REF!</v>
      </c>
      <c r="AD150" s="52" t="e">
        <f>+'Proyectos Base digitable'!#REF!</f>
        <v>#REF!</v>
      </c>
      <c r="AE150" s="52" t="e">
        <f>+'Proyectos Base digitable'!#REF!</f>
        <v>#REF!</v>
      </c>
      <c r="AF150" s="52" t="e">
        <f>+'Proyectos Base digitable'!#REF!</f>
        <v>#REF!</v>
      </c>
      <c r="AG150" s="56" t="e">
        <f>+'Proyectos Base digitable'!#REF!</f>
        <v>#REF!</v>
      </c>
      <c r="AH150" s="52" t="e">
        <f>+'Proyectos Base digitable'!#REF!</f>
        <v>#REF!</v>
      </c>
      <c r="AI150" s="52" t="e">
        <f>+'Proyectos Base digitable'!#REF!</f>
        <v>#REF!</v>
      </c>
      <c r="AJ150" s="59" t="e">
        <f>+'Proyectos Base digitable'!#REF!</f>
        <v>#REF!</v>
      </c>
      <c r="AK150" s="186" t="e">
        <f>+'Proyectos Base digitable'!#REF!</f>
        <v>#REF!</v>
      </c>
      <c r="AL150" s="186" t="e">
        <f>+'Proyectos Base digitable'!#REF!</f>
        <v>#REF!</v>
      </c>
      <c r="AM150" s="186" t="e">
        <f>+'Proyectos Base digitable'!#REF!</f>
        <v>#REF!</v>
      </c>
      <c r="AN150" s="186" t="e">
        <f>+'Proyectos Base digitable'!#REF!</f>
        <v>#REF!</v>
      </c>
      <c r="AO150" s="186" t="e">
        <f>+'Proyectos Base digitable'!#REF!</f>
        <v>#REF!</v>
      </c>
      <c r="AP150" s="186" t="e">
        <f>+'Proyectos Base digitable'!#REF!</f>
        <v>#REF!</v>
      </c>
      <c r="AQ150" s="186" t="e">
        <f>+'Proyectos Base digitable'!#REF!</f>
        <v>#REF!</v>
      </c>
      <c r="AR150" s="186" t="e">
        <f>+'Proyectos Base digitable'!#REF!</f>
        <v>#REF!</v>
      </c>
      <c r="AS150" s="186" t="e">
        <f>+'Proyectos Base digitable'!#REF!</f>
        <v>#REF!</v>
      </c>
      <c r="AT150" s="187" t="e">
        <f>+'Proyectos Base digitable'!#REF!</f>
        <v>#REF!</v>
      </c>
      <c r="AU150" s="56" t="e">
        <f>+'Proyectos Base digitable'!#REF!</f>
        <v>#REF!</v>
      </c>
      <c r="AV150" s="56" t="e">
        <f>+'Proyectos Base digitable'!#REF!</f>
        <v>#REF!</v>
      </c>
      <c r="AW150" s="56" t="e">
        <f>+'Proyectos Base digitable'!#REF!</f>
        <v>#REF!</v>
      </c>
      <c r="AX150" s="56" t="e">
        <f>+'Proyectos Base digitable'!#REF!</f>
        <v>#REF!</v>
      </c>
      <c r="AY150" s="56" t="e">
        <f>+'Proyectos Base digitable'!#REF!</f>
        <v>#REF!</v>
      </c>
      <c r="AZ150" s="188" t="e">
        <f>+'Proyectos Base digitable'!#REF!</f>
        <v>#REF!</v>
      </c>
      <c r="BA150" s="188" t="e">
        <f>+'Proyectos Base digitable'!#REF!</f>
        <v>#REF!</v>
      </c>
    </row>
    <row r="151" spans="1:53" ht="12.5">
      <c r="A151" s="60" t="e">
        <f>+'Proyectos Base digitable'!#REF!</f>
        <v>#REF!</v>
      </c>
      <c r="B151" s="56" t="e">
        <f>+'Proyectos Base digitable'!#REF!</f>
        <v>#REF!</v>
      </c>
      <c r="C151" s="56" t="e">
        <f>+'Proyectos Base digitable'!#REF!</f>
        <v>#REF!</v>
      </c>
      <c r="D151" s="56" t="e">
        <f>+'Proyectos Base digitable'!#REF!</f>
        <v>#REF!</v>
      </c>
      <c r="E151" s="56" t="e">
        <f>+'Proyectos Base digitable'!#REF!</f>
        <v>#REF!</v>
      </c>
      <c r="F151" s="56" t="e">
        <f>+'Proyectos Base digitable'!#REF!</f>
        <v>#REF!</v>
      </c>
      <c r="G151" s="57" t="e">
        <f>+'Proyectos Base digitable'!#REF!</f>
        <v>#REF!</v>
      </c>
      <c r="H151" s="56" t="e">
        <f>+'Proyectos Base digitable'!#REF!</f>
        <v>#REF!</v>
      </c>
      <c r="I151" s="56" t="e">
        <f>+'Proyectos Base digitable'!#REF!</f>
        <v>#REF!</v>
      </c>
      <c r="J151" s="56" t="e">
        <f>+'Proyectos Base digitable'!#REF!</f>
        <v>#REF!</v>
      </c>
      <c r="K151" s="56" t="e">
        <f>+'Proyectos Base digitable'!#REF!</f>
        <v>#REF!</v>
      </c>
      <c r="L151" s="56" t="e">
        <f>+'Proyectos Base digitable'!#REF!</f>
        <v>#REF!</v>
      </c>
      <c r="M151" s="56" t="e">
        <f>+'Proyectos Base digitable'!#REF!</f>
        <v>#REF!</v>
      </c>
      <c r="N151" s="52" t="e">
        <f>+'Proyectos Base digitable'!#REF!</f>
        <v>#REF!</v>
      </c>
      <c r="O151" s="52" t="e">
        <f>+'Proyectos Base digitable'!#REF!</f>
        <v>#REF!</v>
      </c>
      <c r="P151" s="185" t="e">
        <f>+'Proyectos Base digitable'!#REF!</f>
        <v>#REF!</v>
      </c>
      <c r="Q151" s="58" t="e">
        <f>+'Proyectos Base digitable'!#REF!</f>
        <v>#REF!</v>
      </c>
      <c r="R151" s="58" t="e">
        <f>+'Proyectos Base digitable'!#REF!</f>
        <v>#REF!</v>
      </c>
      <c r="S151" s="58" t="e">
        <f>+'Proyectos Base digitable'!#REF!</f>
        <v>#REF!</v>
      </c>
      <c r="T151" s="58" t="e">
        <f>+'Proyectos Base digitable'!#REF!</f>
        <v>#REF!</v>
      </c>
      <c r="U151" s="63" t="e">
        <f>'Proyectos Base digitable'!#REF!</f>
        <v>#REF!</v>
      </c>
      <c r="V151" s="63" t="e">
        <f>'Proyectos Base digitable'!#REF!</f>
        <v>#REF!</v>
      </c>
      <c r="W151" s="63" t="e">
        <f>'Proyectos Base digitable'!#REF!</f>
        <v>#REF!</v>
      </c>
      <c r="X151" s="63" t="e">
        <f>'Proyectos Base digitable'!#REF!</f>
        <v>#REF!</v>
      </c>
      <c r="Y151" s="63" t="e">
        <f>'Proyectos Base digitable'!#REF!</f>
        <v>#REF!</v>
      </c>
      <c r="Z151" s="58" t="e">
        <f>+'Proyectos Base digitable'!#REF!</f>
        <v>#REF!</v>
      </c>
      <c r="AA151" s="58" t="e">
        <f>+'Proyectos Base digitable'!#REF!</f>
        <v>#REF!</v>
      </c>
      <c r="AB151" s="63" t="e">
        <f>'Proyectos Base digitable'!#REF!</f>
        <v>#REF!</v>
      </c>
      <c r="AC151" s="56" t="e">
        <f>+'Proyectos Base digitable'!#REF!</f>
        <v>#REF!</v>
      </c>
      <c r="AD151" s="52" t="e">
        <f>+'Proyectos Base digitable'!#REF!</f>
        <v>#REF!</v>
      </c>
      <c r="AE151" s="52" t="e">
        <f>+'Proyectos Base digitable'!#REF!</f>
        <v>#REF!</v>
      </c>
      <c r="AF151" s="52" t="e">
        <f>+'Proyectos Base digitable'!#REF!</f>
        <v>#REF!</v>
      </c>
      <c r="AG151" s="56" t="e">
        <f>+'Proyectos Base digitable'!#REF!</f>
        <v>#REF!</v>
      </c>
      <c r="AH151" s="52" t="e">
        <f>+'Proyectos Base digitable'!#REF!</f>
        <v>#REF!</v>
      </c>
      <c r="AI151" s="52" t="e">
        <f>+'Proyectos Base digitable'!#REF!</f>
        <v>#REF!</v>
      </c>
      <c r="AJ151" s="59" t="e">
        <f>+'Proyectos Base digitable'!#REF!</f>
        <v>#REF!</v>
      </c>
      <c r="AK151" s="186" t="e">
        <f>+'Proyectos Base digitable'!#REF!</f>
        <v>#REF!</v>
      </c>
      <c r="AL151" s="186" t="e">
        <f>+'Proyectos Base digitable'!#REF!</f>
        <v>#REF!</v>
      </c>
      <c r="AM151" s="186" t="e">
        <f>+'Proyectos Base digitable'!#REF!</f>
        <v>#REF!</v>
      </c>
      <c r="AN151" s="186" t="e">
        <f>+'Proyectos Base digitable'!#REF!</f>
        <v>#REF!</v>
      </c>
      <c r="AO151" s="186" t="e">
        <f>+'Proyectos Base digitable'!#REF!</f>
        <v>#REF!</v>
      </c>
      <c r="AP151" s="186" t="e">
        <f>+'Proyectos Base digitable'!#REF!</f>
        <v>#REF!</v>
      </c>
      <c r="AQ151" s="186" t="e">
        <f>+'Proyectos Base digitable'!#REF!</f>
        <v>#REF!</v>
      </c>
      <c r="AR151" s="186" t="e">
        <f>+'Proyectos Base digitable'!#REF!</f>
        <v>#REF!</v>
      </c>
      <c r="AS151" s="186" t="e">
        <f>+'Proyectos Base digitable'!#REF!</f>
        <v>#REF!</v>
      </c>
      <c r="AT151" s="187" t="e">
        <f>+'Proyectos Base digitable'!#REF!</f>
        <v>#REF!</v>
      </c>
      <c r="AU151" s="56" t="e">
        <f>+'Proyectos Base digitable'!#REF!</f>
        <v>#REF!</v>
      </c>
      <c r="AV151" s="56" t="e">
        <f>+'Proyectos Base digitable'!#REF!</f>
        <v>#REF!</v>
      </c>
      <c r="AW151" s="56" t="e">
        <f>+'Proyectos Base digitable'!#REF!</f>
        <v>#REF!</v>
      </c>
      <c r="AX151" s="56" t="e">
        <f>+'Proyectos Base digitable'!#REF!</f>
        <v>#REF!</v>
      </c>
      <c r="AY151" s="56" t="e">
        <f>+'Proyectos Base digitable'!#REF!</f>
        <v>#REF!</v>
      </c>
      <c r="AZ151" s="188" t="e">
        <f>+'Proyectos Base digitable'!#REF!</f>
        <v>#REF!</v>
      </c>
      <c r="BA151" s="188" t="e">
        <f>+'Proyectos Base digitable'!#REF!</f>
        <v>#REF!</v>
      </c>
    </row>
    <row r="152" spans="1:53" ht="12.5">
      <c r="A152" s="60" t="e">
        <f>+'Proyectos Base digitable'!#REF!</f>
        <v>#REF!</v>
      </c>
      <c r="B152" s="56" t="e">
        <f>+'Proyectos Base digitable'!#REF!</f>
        <v>#REF!</v>
      </c>
      <c r="C152" s="56" t="e">
        <f>+'Proyectos Base digitable'!#REF!</f>
        <v>#REF!</v>
      </c>
      <c r="D152" s="56" t="e">
        <f>+'Proyectos Base digitable'!#REF!</f>
        <v>#REF!</v>
      </c>
      <c r="E152" s="56" t="e">
        <f>+'Proyectos Base digitable'!#REF!</f>
        <v>#REF!</v>
      </c>
      <c r="F152" s="56" t="e">
        <f>+'Proyectos Base digitable'!#REF!</f>
        <v>#REF!</v>
      </c>
      <c r="G152" s="57" t="e">
        <f>+'Proyectos Base digitable'!#REF!</f>
        <v>#REF!</v>
      </c>
      <c r="H152" s="56" t="e">
        <f>+'Proyectos Base digitable'!#REF!</f>
        <v>#REF!</v>
      </c>
      <c r="I152" s="56" t="e">
        <f>+'Proyectos Base digitable'!#REF!</f>
        <v>#REF!</v>
      </c>
      <c r="J152" s="56" t="e">
        <f>+'Proyectos Base digitable'!#REF!</f>
        <v>#REF!</v>
      </c>
      <c r="K152" s="56" t="e">
        <f>+'Proyectos Base digitable'!#REF!</f>
        <v>#REF!</v>
      </c>
      <c r="L152" s="56" t="e">
        <f>+'Proyectos Base digitable'!#REF!</f>
        <v>#REF!</v>
      </c>
      <c r="M152" s="56" t="e">
        <f>+'Proyectos Base digitable'!#REF!</f>
        <v>#REF!</v>
      </c>
      <c r="N152" s="52" t="e">
        <f>+'Proyectos Base digitable'!#REF!</f>
        <v>#REF!</v>
      </c>
      <c r="O152" s="52" t="e">
        <f>+'Proyectos Base digitable'!#REF!</f>
        <v>#REF!</v>
      </c>
      <c r="P152" s="185" t="e">
        <f>+'Proyectos Base digitable'!#REF!</f>
        <v>#REF!</v>
      </c>
      <c r="Q152" s="58" t="e">
        <f>+'Proyectos Base digitable'!#REF!</f>
        <v>#REF!</v>
      </c>
      <c r="R152" s="58" t="e">
        <f>+'Proyectos Base digitable'!#REF!</f>
        <v>#REF!</v>
      </c>
      <c r="S152" s="58" t="e">
        <f>+'Proyectos Base digitable'!#REF!</f>
        <v>#REF!</v>
      </c>
      <c r="T152" s="58" t="e">
        <f>+'Proyectos Base digitable'!#REF!</f>
        <v>#REF!</v>
      </c>
      <c r="U152" s="63" t="e">
        <f>'Proyectos Base digitable'!#REF!</f>
        <v>#REF!</v>
      </c>
      <c r="V152" s="63" t="e">
        <f>'Proyectos Base digitable'!#REF!</f>
        <v>#REF!</v>
      </c>
      <c r="W152" s="63" t="e">
        <f>'Proyectos Base digitable'!#REF!</f>
        <v>#REF!</v>
      </c>
      <c r="X152" s="63" t="e">
        <f>'Proyectos Base digitable'!#REF!</f>
        <v>#REF!</v>
      </c>
      <c r="Y152" s="63" t="e">
        <f>'Proyectos Base digitable'!#REF!</f>
        <v>#REF!</v>
      </c>
      <c r="Z152" s="58" t="e">
        <f>+'Proyectos Base digitable'!#REF!</f>
        <v>#REF!</v>
      </c>
      <c r="AA152" s="58" t="e">
        <f>+'Proyectos Base digitable'!#REF!</f>
        <v>#REF!</v>
      </c>
      <c r="AB152" s="63" t="e">
        <f>'Proyectos Base digitable'!#REF!</f>
        <v>#REF!</v>
      </c>
      <c r="AC152" s="56" t="e">
        <f>+'Proyectos Base digitable'!#REF!</f>
        <v>#REF!</v>
      </c>
      <c r="AD152" s="52" t="e">
        <f>+'Proyectos Base digitable'!#REF!</f>
        <v>#REF!</v>
      </c>
      <c r="AE152" s="52" t="e">
        <f>+'Proyectos Base digitable'!#REF!</f>
        <v>#REF!</v>
      </c>
      <c r="AF152" s="52" t="e">
        <f>+'Proyectos Base digitable'!#REF!</f>
        <v>#REF!</v>
      </c>
      <c r="AG152" s="56" t="e">
        <f>+'Proyectos Base digitable'!#REF!</f>
        <v>#REF!</v>
      </c>
      <c r="AH152" s="52" t="e">
        <f>+'Proyectos Base digitable'!#REF!</f>
        <v>#REF!</v>
      </c>
      <c r="AI152" s="52" t="e">
        <f>+'Proyectos Base digitable'!#REF!</f>
        <v>#REF!</v>
      </c>
      <c r="AJ152" s="59" t="e">
        <f>+'Proyectos Base digitable'!#REF!</f>
        <v>#REF!</v>
      </c>
      <c r="AK152" s="186" t="e">
        <f>+'Proyectos Base digitable'!#REF!</f>
        <v>#REF!</v>
      </c>
      <c r="AL152" s="186" t="e">
        <f>+'Proyectos Base digitable'!#REF!</f>
        <v>#REF!</v>
      </c>
      <c r="AM152" s="186" t="e">
        <f>+'Proyectos Base digitable'!#REF!</f>
        <v>#REF!</v>
      </c>
      <c r="AN152" s="186" t="e">
        <f>+'Proyectos Base digitable'!#REF!</f>
        <v>#REF!</v>
      </c>
      <c r="AO152" s="186" t="e">
        <f>+'Proyectos Base digitable'!#REF!</f>
        <v>#REF!</v>
      </c>
      <c r="AP152" s="186" t="e">
        <f>+'Proyectos Base digitable'!#REF!</f>
        <v>#REF!</v>
      </c>
      <c r="AQ152" s="186" t="e">
        <f>+'Proyectos Base digitable'!#REF!</f>
        <v>#REF!</v>
      </c>
      <c r="AR152" s="186" t="e">
        <f>+'Proyectos Base digitable'!#REF!</f>
        <v>#REF!</v>
      </c>
      <c r="AS152" s="186" t="e">
        <f>+'Proyectos Base digitable'!#REF!</f>
        <v>#REF!</v>
      </c>
      <c r="AT152" s="187" t="e">
        <f>+'Proyectos Base digitable'!#REF!</f>
        <v>#REF!</v>
      </c>
      <c r="AU152" s="56" t="e">
        <f>+'Proyectos Base digitable'!#REF!</f>
        <v>#REF!</v>
      </c>
      <c r="AV152" s="56" t="e">
        <f>+'Proyectos Base digitable'!#REF!</f>
        <v>#REF!</v>
      </c>
      <c r="AW152" s="56" t="e">
        <f>+'Proyectos Base digitable'!#REF!</f>
        <v>#REF!</v>
      </c>
      <c r="AX152" s="56" t="e">
        <f>+'Proyectos Base digitable'!#REF!</f>
        <v>#REF!</v>
      </c>
      <c r="AY152" s="56" t="e">
        <f>+'Proyectos Base digitable'!#REF!</f>
        <v>#REF!</v>
      </c>
      <c r="AZ152" s="188" t="e">
        <f>+'Proyectos Base digitable'!#REF!</f>
        <v>#REF!</v>
      </c>
      <c r="BA152" s="188" t="e">
        <f>+'Proyectos Base digitable'!#REF!</f>
        <v>#REF!</v>
      </c>
    </row>
    <row r="153" spans="1:53" ht="12.5">
      <c r="A153" s="60" t="e">
        <f>+'Proyectos Base digitable'!#REF!</f>
        <v>#REF!</v>
      </c>
      <c r="B153" s="56" t="e">
        <f>+'Proyectos Base digitable'!#REF!</f>
        <v>#REF!</v>
      </c>
      <c r="C153" s="56" t="e">
        <f>+'Proyectos Base digitable'!#REF!</f>
        <v>#REF!</v>
      </c>
      <c r="D153" s="56" t="e">
        <f>+'Proyectos Base digitable'!#REF!</f>
        <v>#REF!</v>
      </c>
      <c r="E153" s="56" t="e">
        <f>+'Proyectos Base digitable'!#REF!</f>
        <v>#REF!</v>
      </c>
      <c r="F153" s="56" t="e">
        <f>+'Proyectos Base digitable'!#REF!</f>
        <v>#REF!</v>
      </c>
      <c r="G153" s="57" t="e">
        <f>+'Proyectos Base digitable'!#REF!</f>
        <v>#REF!</v>
      </c>
      <c r="H153" s="56" t="e">
        <f>+'Proyectos Base digitable'!#REF!</f>
        <v>#REF!</v>
      </c>
      <c r="I153" s="56" t="e">
        <f>+'Proyectos Base digitable'!#REF!</f>
        <v>#REF!</v>
      </c>
      <c r="J153" s="56" t="e">
        <f>+'Proyectos Base digitable'!#REF!</f>
        <v>#REF!</v>
      </c>
      <c r="K153" s="56" t="e">
        <f>+'Proyectos Base digitable'!#REF!</f>
        <v>#REF!</v>
      </c>
      <c r="L153" s="56" t="e">
        <f>+'Proyectos Base digitable'!#REF!</f>
        <v>#REF!</v>
      </c>
      <c r="M153" s="56" t="e">
        <f>+'Proyectos Base digitable'!#REF!</f>
        <v>#REF!</v>
      </c>
      <c r="N153" s="52" t="e">
        <f>+'Proyectos Base digitable'!#REF!</f>
        <v>#REF!</v>
      </c>
      <c r="O153" s="52" t="e">
        <f>+'Proyectos Base digitable'!#REF!</f>
        <v>#REF!</v>
      </c>
      <c r="P153" s="185" t="e">
        <f>+'Proyectos Base digitable'!#REF!</f>
        <v>#REF!</v>
      </c>
      <c r="Q153" s="58" t="e">
        <f>+'Proyectos Base digitable'!#REF!</f>
        <v>#REF!</v>
      </c>
      <c r="R153" s="58" t="e">
        <f>+'Proyectos Base digitable'!#REF!</f>
        <v>#REF!</v>
      </c>
      <c r="S153" s="58" t="e">
        <f>+'Proyectos Base digitable'!#REF!</f>
        <v>#REF!</v>
      </c>
      <c r="T153" s="58" t="e">
        <f>+'Proyectos Base digitable'!#REF!</f>
        <v>#REF!</v>
      </c>
      <c r="U153" s="63" t="e">
        <f>'Proyectos Base digitable'!#REF!</f>
        <v>#REF!</v>
      </c>
      <c r="V153" s="63" t="e">
        <f>'Proyectos Base digitable'!#REF!</f>
        <v>#REF!</v>
      </c>
      <c r="W153" s="63" t="e">
        <f>'Proyectos Base digitable'!#REF!</f>
        <v>#REF!</v>
      </c>
      <c r="X153" s="63" t="e">
        <f>'Proyectos Base digitable'!#REF!</f>
        <v>#REF!</v>
      </c>
      <c r="Y153" s="63" t="e">
        <f>'Proyectos Base digitable'!#REF!</f>
        <v>#REF!</v>
      </c>
      <c r="Z153" s="58" t="e">
        <f>+'Proyectos Base digitable'!#REF!</f>
        <v>#REF!</v>
      </c>
      <c r="AA153" s="58" t="e">
        <f>+'Proyectos Base digitable'!#REF!</f>
        <v>#REF!</v>
      </c>
      <c r="AB153" s="63" t="e">
        <f>'Proyectos Base digitable'!#REF!</f>
        <v>#REF!</v>
      </c>
      <c r="AC153" s="56" t="e">
        <f>+'Proyectos Base digitable'!#REF!</f>
        <v>#REF!</v>
      </c>
      <c r="AD153" s="52" t="e">
        <f>+'Proyectos Base digitable'!#REF!</f>
        <v>#REF!</v>
      </c>
      <c r="AE153" s="52" t="e">
        <f>+'Proyectos Base digitable'!#REF!</f>
        <v>#REF!</v>
      </c>
      <c r="AF153" s="52" t="e">
        <f>+'Proyectos Base digitable'!#REF!</f>
        <v>#REF!</v>
      </c>
      <c r="AG153" s="56" t="e">
        <f>+'Proyectos Base digitable'!#REF!</f>
        <v>#REF!</v>
      </c>
      <c r="AH153" s="52" t="e">
        <f>+'Proyectos Base digitable'!#REF!</f>
        <v>#REF!</v>
      </c>
      <c r="AI153" s="52" t="e">
        <f>+'Proyectos Base digitable'!#REF!</f>
        <v>#REF!</v>
      </c>
      <c r="AJ153" s="59" t="e">
        <f>+'Proyectos Base digitable'!#REF!</f>
        <v>#REF!</v>
      </c>
      <c r="AK153" s="186" t="e">
        <f>+'Proyectos Base digitable'!#REF!</f>
        <v>#REF!</v>
      </c>
      <c r="AL153" s="186" t="e">
        <f>+'Proyectos Base digitable'!#REF!</f>
        <v>#REF!</v>
      </c>
      <c r="AM153" s="186" t="e">
        <f>+'Proyectos Base digitable'!#REF!</f>
        <v>#REF!</v>
      </c>
      <c r="AN153" s="186" t="e">
        <f>+'Proyectos Base digitable'!#REF!</f>
        <v>#REF!</v>
      </c>
      <c r="AO153" s="186" t="e">
        <f>+'Proyectos Base digitable'!#REF!</f>
        <v>#REF!</v>
      </c>
      <c r="AP153" s="186" t="e">
        <f>+'Proyectos Base digitable'!#REF!</f>
        <v>#REF!</v>
      </c>
      <c r="AQ153" s="186" t="e">
        <f>+'Proyectos Base digitable'!#REF!</f>
        <v>#REF!</v>
      </c>
      <c r="AR153" s="186" t="e">
        <f>+'Proyectos Base digitable'!#REF!</f>
        <v>#REF!</v>
      </c>
      <c r="AS153" s="186" t="e">
        <f>+'Proyectos Base digitable'!#REF!</f>
        <v>#REF!</v>
      </c>
      <c r="AT153" s="187" t="e">
        <f>+'Proyectos Base digitable'!#REF!</f>
        <v>#REF!</v>
      </c>
      <c r="AU153" s="56" t="e">
        <f>+'Proyectos Base digitable'!#REF!</f>
        <v>#REF!</v>
      </c>
      <c r="AV153" s="56" t="e">
        <f>+'Proyectos Base digitable'!#REF!</f>
        <v>#REF!</v>
      </c>
      <c r="AW153" s="56" t="e">
        <f>+'Proyectos Base digitable'!#REF!</f>
        <v>#REF!</v>
      </c>
      <c r="AX153" s="56" t="e">
        <f>+'Proyectos Base digitable'!#REF!</f>
        <v>#REF!</v>
      </c>
      <c r="AY153" s="56" t="e">
        <f>+'Proyectos Base digitable'!#REF!</f>
        <v>#REF!</v>
      </c>
      <c r="AZ153" s="188" t="e">
        <f>+'Proyectos Base digitable'!#REF!</f>
        <v>#REF!</v>
      </c>
      <c r="BA153" s="188" t="e">
        <f>+'Proyectos Base digitable'!#REF!</f>
        <v>#REF!</v>
      </c>
    </row>
    <row r="154" spans="1:53" ht="12.5">
      <c r="A154" s="60" t="e">
        <f>+'Proyectos Base digitable'!#REF!</f>
        <v>#REF!</v>
      </c>
      <c r="B154" s="56" t="e">
        <f>+'Proyectos Base digitable'!#REF!</f>
        <v>#REF!</v>
      </c>
      <c r="C154" s="56" t="e">
        <f>+'Proyectos Base digitable'!#REF!</f>
        <v>#REF!</v>
      </c>
      <c r="D154" s="56" t="e">
        <f>+'Proyectos Base digitable'!#REF!</f>
        <v>#REF!</v>
      </c>
      <c r="E154" s="56" t="e">
        <f>+'Proyectos Base digitable'!#REF!</f>
        <v>#REF!</v>
      </c>
      <c r="F154" s="56" t="e">
        <f>+'Proyectos Base digitable'!#REF!</f>
        <v>#REF!</v>
      </c>
      <c r="G154" s="57" t="e">
        <f>+'Proyectos Base digitable'!#REF!</f>
        <v>#REF!</v>
      </c>
      <c r="H154" s="56" t="e">
        <f>+'Proyectos Base digitable'!#REF!</f>
        <v>#REF!</v>
      </c>
      <c r="I154" s="56" t="e">
        <f>+'Proyectos Base digitable'!#REF!</f>
        <v>#REF!</v>
      </c>
      <c r="J154" s="56" t="e">
        <f>+'Proyectos Base digitable'!#REF!</f>
        <v>#REF!</v>
      </c>
      <c r="K154" s="56" t="e">
        <f>+'Proyectos Base digitable'!#REF!</f>
        <v>#REF!</v>
      </c>
      <c r="L154" s="56" t="e">
        <f>+'Proyectos Base digitable'!#REF!</f>
        <v>#REF!</v>
      </c>
      <c r="M154" s="56" t="e">
        <f>+'Proyectos Base digitable'!#REF!</f>
        <v>#REF!</v>
      </c>
      <c r="N154" s="52" t="e">
        <f>+'Proyectos Base digitable'!#REF!</f>
        <v>#REF!</v>
      </c>
      <c r="O154" s="52" t="e">
        <f>+'Proyectos Base digitable'!#REF!</f>
        <v>#REF!</v>
      </c>
      <c r="P154" s="185" t="e">
        <f>+'Proyectos Base digitable'!#REF!</f>
        <v>#REF!</v>
      </c>
      <c r="Q154" s="58" t="e">
        <f>+'Proyectos Base digitable'!#REF!</f>
        <v>#REF!</v>
      </c>
      <c r="R154" s="58" t="e">
        <f>+'Proyectos Base digitable'!#REF!</f>
        <v>#REF!</v>
      </c>
      <c r="S154" s="58" t="e">
        <f>+'Proyectos Base digitable'!#REF!</f>
        <v>#REF!</v>
      </c>
      <c r="T154" s="58" t="e">
        <f>+'Proyectos Base digitable'!#REF!</f>
        <v>#REF!</v>
      </c>
      <c r="U154" s="63" t="e">
        <f>'Proyectos Base digitable'!#REF!</f>
        <v>#REF!</v>
      </c>
      <c r="V154" s="63" t="e">
        <f>'Proyectos Base digitable'!#REF!</f>
        <v>#REF!</v>
      </c>
      <c r="W154" s="63" t="e">
        <f>'Proyectos Base digitable'!#REF!</f>
        <v>#REF!</v>
      </c>
      <c r="X154" s="63" t="e">
        <f>'Proyectos Base digitable'!#REF!</f>
        <v>#REF!</v>
      </c>
      <c r="Y154" s="63" t="e">
        <f>'Proyectos Base digitable'!#REF!</f>
        <v>#REF!</v>
      </c>
      <c r="Z154" s="58" t="e">
        <f>+'Proyectos Base digitable'!#REF!</f>
        <v>#REF!</v>
      </c>
      <c r="AA154" s="58" t="e">
        <f>+'Proyectos Base digitable'!#REF!</f>
        <v>#REF!</v>
      </c>
      <c r="AB154" s="63" t="e">
        <f>'Proyectos Base digitable'!#REF!</f>
        <v>#REF!</v>
      </c>
      <c r="AC154" s="56" t="e">
        <f>+'Proyectos Base digitable'!#REF!</f>
        <v>#REF!</v>
      </c>
      <c r="AD154" s="52" t="e">
        <f>+'Proyectos Base digitable'!#REF!</f>
        <v>#REF!</v>
      </c>
      <c r="AE154" s="52" t="e">
        <f>+'Proyectos Base digitable'!#REF!</f>
        <v>#REF!</v>
      </c>
      <c r="AF154" s="52" t="e">
        <f>+'Proyectos Base digitable'!#REF!</f>
        <v>#REF!</v>
      </c>
      <c r="AG154" s="56" t="e">
        <f>+'Proyectos Base digitable'!#REF!</f>
        <v>#REF!</v>
      </c>
      <c r="AH154" s="52" t="e">
        <f>+'Proyectos Base digitable'!#REF!</f>
        <v>#REF!</v>
      </c>
      <c r="AI154" s="52" t="e">
        <f>+'Proyectos Base digitable'!#REF!</f>
        <v>#REF!</v>
      </c>
      <c r="AJ154" s="59" t="e">
        <f>+'Proyectos Base digitable'!#REF!</f>
        <v>#REF!</v>
      </c>
      <c r="AK154" s="186" t="e">
        <f>+'Proyectos Base digitable'!#REF!</f>
        <v>#REF!</v>
      </c>
      <c r="AL154" s="186" t="e">
        <f>+'Proyectos Base digitable'!#REF!</f>
        <v>#REF!</v>
      </c>
      <c r="AM154" s="186" t="e">
        <f>+'Proyectos Base digitable'!#REF!</f>
        <v>#REF!</v>
      </c>
      <c r="AN154" s="186" t="e">
        <f>+'Proyectos Base digitable'!#REF!</f>
        <v>#REF!</v>
      </c>
      <c r="AO154" s="186" t="e">
        <f>+'Proyectos Base digitable'!#REF!</f>
        <v>#REF!</v>
      </c>
      <c r="AP154" s="186" t="e">
        <f>+'Proyectos Base digitable'!#REF!</f>
        <v>#REF!</v>
      </c>
      <c r="AQ154" s="186" t="e">
        <f>+'Proyectos Base digitable'!#REF!</f>
        <v>#REF!</v>
      </c>
      <c r="AR154" s="186" t="e">
        <f>+'Proyectos Base digitable'!#REF!</f>
        <v>#REF!</v>
      </c>
      <c r="AS154" s="186" t="e">
        <f>+'Proyectos Base digitable'!#REF!</f>
        <v>#REF!</v>
      </c>
      <c r="AT154" s="187" t="e">
        <f>+'Proyectos Base digitable'!#REF!</f>
        <v>#REF!</v>
      </c>
      <c r="AU154" s="56" t="e">
        <f>+'Proyectos Base digitable'!#REF!</f>
        <v>#REF!</v>
      </c>
      <c r="AV154" s="56" t="e">
        <f>+'Proyectos Base digitable'!#REF!</f>
        <v>#REF!</v>
      </c>
      <c r="AW154" s="56" t="e">
        <f>+'Proyectos Base digitable'!#REF!</f>
        <v>#REF!</v>
      </c>
      <c r="AX154" s="56" t="e">
        <f>+'Proyectos Base digitable'!#REF!</f>
        <v>#REF!</v>
      </c>
      <c r="AY154" s="56" t="e">
        <f>+'Proyectos Base digitable'!#REF!</f>
        <v>#REF!</v>
      </c>
      <c r="AZ154" s="188" t="e">
        <f>+'Proyectos Base digitable'!#REF!</f>
        <v>#REF!</v>
      </c>
      <c r="BA154" s="188" t="e">
        <f>+'Proyectos Base digitable'!#REF!</f>
        <v>#REF!</v>
      </c>
    </row>
    <row r="155" spans="1:53" ht="12.5">
      <c r="A155" s="60" t="e">
        <f>+'Proyectos Base digitable'!#REF!</f>
        <v>#REF!</v>
      </c>
      <c r="B155" s="56" t="e">
        <f>+'Proyectos Base digitable'!#REF!</f>
        <v>#REF!</v>
      </c>
      <c r="C155" s="56" t="e">
        <f>+'Proyectos Base digitable'!#REF!</f>
        <v>#REF!</v>
      </c>
      <c r="D155" s="56" t="e">
        <f>+'Proyectos Base digitable'!#REF!</f>
        <v>#REF!</v>
      </c>
      <c r="E155" s="56" t="e">
        <f>+'Proyectos Base digitable'!#REF!</f>
        <v>#REF!</v>
      </c>
      <c r="F155" s="56" t="e">
        <f>+'Proyectos Base digitable'!#REF!</f>
        <v>#REF!</v>
      </c>
      <c r="G155" s="57" t="e">
        <f>+'Proyectos Base digitable'!#REF!</f>
        <v>#REF!</v>
      </c>
      <c r="H155" s="56" t="e">
        <f>+'Proyectos Base digitable'!#REF!</f>
        <v>#REF!</v>
      </c>
      <c r="I155" s="56" t="e">
        <f>+'Proyectos Base digitable'!#REF!</f>
        <v>#REF!</v>
      </c>
      <c r="J155" s="56" t="e">
        <f>+'Proyectos Base digitable'!#REF!</f>
        <v>#REF!</v>
      </c>
      <c r="K155" s="56" t="e">
        <f>+'Proyectos Base digitable'!#REF!</f>
        <v>#REF!</v>
      </c>
      <c r="L155" s="56" t="e">
        <f>+'Proyectos Base digitable'!#REF!</f>
        <v>#REF!</v>
      </c>
      <c r="M155" s="56" t="e">
        <f>+'Proyectos Base digitable'!#REF!</f>
        <v>#REF!</v>
      </c>
      <c r="N155" s="52" t="e">
        <f>+'Proyectos Base digitable'!#REF!</f>
        <v>#REF!</v>
      </c>
      <c r="O155" s="52" t="e">
        <f>+'Proyectos Base digitable'!#REF!</f>
        <v>#REF!</v>
      </c>
      <c r="P155" s="185" t="e">
        <f>+'Proyectos Base digitable'!#REF!</f>
        <v>#REF!</v>
      </c>
      <c r="Q155" s="58" t="e">
        <f>+'Proyectos Base digitable'!#REF!</f>
        <v>#REF!</v>
      </c>
      <c r="R155" s="58" t="e">
        <f>+'Proyectos Base digitable'!#REF!</f>
        <v>#REF!</v>
      </c>
      <c r="S155" s="58" t="e">
        <f>+'Proyectos Base digitable'!#REF!</f>
        <v>#REF!</v>
      </c>
      <c r="T155" s="58" t="e">
        <f>+'Proyectos Base digitable'!#REF!</f>
        <v>#REF!</v>
      </c>
      <c r="U155" s="63" t="e">
        <f>'Proyectos Base digitable'!#REF!</f>
        <v>#REF!</v>
      </c>
      <c r="V155" s="63" t="e">
        <f>'Proyectos Base digitable'!#REF!</f>
        <v>#REF!</v>
      </c>
      <c r="W155" s="63" t="e">
        <f>'Proyectos Base digitable'!#REF!</f>
        <v>#REF!</v>
      </c>
      <c r="X155" s="63" t="e">
        <f>'Proyectos Base digitable'!#REF!</f>
        <v>#REF!</v>
      </c>
      <c r="Y155" s="63" t="e">
        <f>'Proyectos Base digitable'!#REF!</f>
        <v>#REF!</v>
      </c>
      <c r="Z155" s="58" t="e">
        <f>+'Proyectos Base digitable'!#REF!</f>
        <v>#REF!</v>
      </c>
      <c r="AA155" s="58" t="e">
        <f>+'Proyectos Base digitable'!#REF!</f>
        <v>#REF!</v>
      </c>
      <c r="AB155" s="63" t="e">
        <f>'Proyectos Base digitable'!#REF!</f>
        <v>#REF!</v>
      </c>
      <c r="AC155" s="56" t="e">
        <f>+'Proyectos Base digitable'!#REF!</f>
        <v>#REF!</v>
      </c>
      <c r="AD155" s="52" t="e">
        <f>+'Proyectos Base digitable'!#REF!</f>
        <v>#REF!</v>
      </c>
      <c r="AE155" s="52" t="e">
        <f>+'Proyectos Base digitable'!#REF!</f>
        <v>#REF!</v>
      </c>
      <c r="AF155" s="52" t="e">
        <f>+'Proyectos Base digitable'!#REF!</f>
        <v>#REF!</v>
      </c>
      <c r="AG155" s="56" t="e">
        <f>+'Proyectos Base digitable'!#REF!</f>
        <v>#REF!</v>
      </c>
      <c r="AH155" s="52" t="e">
        <f>+'Proyectos Base digitable'!#REF!</f>
        <v>#REF!</v>
      </c>
      <c r="AI155" s="52" t="e">
        <f>+'Proyectos Base digitable'!#REF!</f>
        <v>#REF!</v>
      </c>
      <c r="AJ155" s="59" t="e">
        <f>+'Proyectos Base digitable'!#REF!</f>
        <v>#REF!</v>
      </c>
      <c r="AK155" s="186" t="e">
        <f>+'Proyectos Base digitable'!#REF!</f>
        <v>#REF!</v>
      </c>
      <c r="AL155" s="186" t="e">
        <f>+'Proyectos Base digitable'!#REF!</f>
        <v>#REF!</v>
      </c>
      <c r="AM155" s="186" t="e">
        <f>+'Proyectos Base digitable'!#REF!</f>
        <v>#REF!</v>
      </c>
      <c r="AN155" s="186" t="e">
        <f>+'Proyectos Base digitable'!#REF!</f>
        <v>#REF!</v>
      </c>
      <c r="AO155" s="186" t="e">
        <f>+'Proyectos Base digitable'!#REF!</f>
        <v>#REF!</v>
      </c>
      <c r="AP155" s="186" t="e">
        <f>+'Proyectos Base digitable'!#REF!</f>
        <v>#REF!</v>
      </c>
      <c r="AQ155" s="186" t="e">
        <f>+'Proyectos Base digitable'!#REF!</f>
        <v>#REF!</v>
      </c>
      <c r="AR155" s="186" t="e">
        <f>+'Proyectos Base digitable'!#REF!</f>
        <v>#REF!</v>
      </c>
      <c r="AS155" s="186" t="e">
        <f>+'Proyectos Base digitable'!#REF!</f>
        <v>#REF!</v>
      </c>
      <c r="AT155" s="187" t="e">
        <f>+'Proyectos Base digitable'!#REF!</f>
        <v>#REF!</v>
      </c>
      <c r="AU155" s="56" t="e">
        <f>+'Proyectos Base digitable'!#REF!</f>
        <v>#REF!</v>
      </c>
      <c r="AV155" s="56" t="e">
        <f>+'Proyectos Base digitable'!#REF!</f>
        <v>#REF!</v>
      </c>
      <c r="AW155" s="56" t="e">
        <f>+'Proyectos Base digitable'!#REF!</f>
        <v>#REF!</v>
      </c>
      <c r="AX155" s="56" t="e">
        <f>+'Proyectos Base digitable'!#REF!</f>
        <v>#REF!</v>
      </c>
      <c r="AY155" s="56" t="e">
        <f>+'Proyectos Base digitable'!#REF!</f>
        <v>#REF!</v>
      </c>
      <c r="AZ155" s="188" t="e">
        <f>+'Proyectos Base digitable'!#REF!</f>
        <v>#REF!</v>
      </c>
      <c r="BA155" s="188" t="e">
        <f>+'Proyectos Base digitable'!#REF!</f>
        <v>#REF!</v>
      </c>
    </row>
    <row r="156" spans="1:53" ht="12.5">
      <c r="A156" s="60" t="e">
        <f>+'Proyectos Base digitable'!#REF!</f>
        <v>#REF!</v>
      </c>
      <c r="B156" s="56" t="e">
        <f>+'Proyectos Base digitable'!#REF!</f>
        <v>#REF!</v>
      </c>
      <c r="C156" s="56" t="e">
        <f>+'Proyectos Base digitable'!#REF!</f>
        <v>#REF!</v>
      </c>
      <c r="D156" s="56" t="e">
        <f>+'Proyectos Base digitable'!#REF!</f>
        <v>#REF!</v>
      </c>
      <c r="E156" s="56" t="e">
        <f>+'Proyectos Base digitable'!#REF!</f>
        <v>#REF!</v>
      </c>
      <c r="F156" s="56" t="e">
        <f>+'Proyectos Base digitable'!#REF!</f>
        <v>#REF!</v>
      </c>
      <c r="G156" s="57" t="e">
        <f>+'Proyectos Base digitable'!#REF!</f>
        <v>#REF!</v>
      </c>
      <c r="H156" s="56" t="e">
        <f>+'Proyectos Base digitable'!#REF!</f>
        <v>#REF!</v>
      </c>
      <c r="I156" s="56" t="e">
        <f>+'Proyectos Base digitable'!#REF!</f>
        <v>#REF!</v>
      </c>
      <c r="J156" s="56" t="e">
        <f>+'Proyectos Base digitable'!#REF!</f>
        <v>#REF!</v>
      </c>
      <c r="K156" s="56" t="e">
        <f>+'Proyectos Base digitable'!#REF!</f>
        <v>#REF!</v>
      </c>
      <c r="L156" s="56" t="e">
        <f>+'Proyectos Base digitable'!#REF!</f>
        <v>#REF!</v>
      </c>
      <c r="M156" s="56" t="e">
        <f>+'Proyectos Base digitable'!#REF!</f>
        <v>#REF!</v>
      </c>
      <c r="N156" s="52" t="e">
        <f>+'Proyectos Base digitable'!#REF!</f>
        <v>#REF!</v>
      </c>
      <c r="O156" s="52" t="e">
        <f>+'Proyectos Base digitable'!#REF!</f>
        <v>#REF!</v>
      </c>
      <c r="P156" s="185" t="e">
        <f>+'Proyectos Base digitable'!#REF!</f>
        <v>#REF!</v>
      </c>
      <c r="Q156" s="58" t="e">
        <f>+'Proyectos Base digitable'!#REF!</f>
        <v>#REF!</v>
      </c>
      <c r="R156" s="58" t="e">
        <f>+'Proyectos Base digitable'!#REF!</f>
        <v>#REF!</v>
      </c>
      <c r="S156" s="58" t="e">
        <f>+'Proyectos Base digitable'!#REF!</f>
        <v>#REF!</v>
      </c>
      <c r="T156" s="58" t="e">
        <f>+'Proyectos Base digitable'!#REF!</f>
        <v>#REF!</v>
      </c>
      <c r="U156" s="63" t="e">
        <f>'Proyectos Base digitable'!#REF!</f>
        <v>#REF!</v>
      </c>
      <c r="V156" s="63" t="e">
        <f>'Proyectos Base digitable'!#REF!</f>
        <v>#REF!</v>
      </c>
      <c r="W156" s="63" t="e">
        <f>'Proyectos Base digitable'!#REF!</f>
        <v>#REF!</v>
      </c>
      <c r="X156" s="63" t="e">
        <f>'Proyectos Base digitable'!#REF!</f>
        <v>#REF!</v>
      </c>
      <c r="Y156" s="63" t="e">
        <f>'Proyectos Base digitable'!#REF!</f>
        <v>#REF!</v>
      </c>
      <c r="Z156" s="58" t="e">
        <f>+'Proyectos Base digitable'!#REF!</f>
        <v>#REF!</v>
      </c>
      <c r="AA156" s="58" t="e">
        <f>+'Proyectos Base digitable'!#REF!</f>
        <v>#REF!</v>
      </c>
      <c r="AB156" s="63" t="e">
        <f>'Proyectos Base digitable'!#REF!</f>
        <v>#REF!</v>
      </c>
      <c r="AC156" s="56" t="e">
        <f>+'Proyectos Base digitable'!#REF!</f>
        <v>#REF!</v>
      </c>
      <c r="AD156" s="52" t="e">
        <f>+'Proyectos Base digitable'!#REF!</f>
        <v>#REF!</v>
      </c>
      <c r="AE156" s="52" t="e">
        <f>+'Proyectos Base digitable'!#REF!</f>
        <v>#REF!</v>
      </c>
      <c r="AF156" s="52" t="e">
        <f>+'Proyectos Base digitable'!#REF!</f>
        <v>#REF!</v>
      </c>
      <c r="AG156" s="56" t="e">
        <f>+'Proyectos Base digitable'!#REF!</f>
        <v>#REF!</v>
      </c>
      <c r="AH156" s="52" t="e">
        <f>+'Proyectos Base digitable'!#REF!</f>
        <v>#REF!</v>
      </c>
      <c r="AI156" s="52" t="e">
        <f>+'Proyectos Base digitable'!#REF!</f>
        <v>#REF!</v>
      </c>
      <c r="AJ156" s="59" t="e">
        <f>+'Proyectos Base digitable'!#REF!</f>
        <v>#REF!</v>
      </c>
      <c r="AK156" s="186" t="e">
        <f>+'Proyectos Base digitable'!#REF!</f>
        <v>#REF!</v>
      </c>
      <c r="AL156" s="186" t="e">
        <f>+'Proyectos Base digitable'!#REF!</f>
        <v>#REF!</v>
      </c>
      <c r="AM156" s="186" t="e">
        <f>+'Proyectos Base digitable'!#REF!</f>
        <v>#REF!</v>
      </c>
      <c r="AN156" s="186" t="e">
        <f>+'Proyectos Base digitable'!#REF!</f>
        <v>#REF!</v>
      </c>
      <c r="AO156" s="186" t="e">
        <f>+'Proyectos Base digitable'!#REF!</f>
        <v>#REF!</v>
      </c>
      <c r="AP156" s="186" t="e">
        <f>+'Proyectos Base digitable'!#REF!</f>
        <v>#REF!</v>
      </c>
      <c r="AQ156" s="186" t="e">
        <f>+'Proyectos Base digitable'!#REF!</f>
        <v>#REF!</v>
      </c>
      <c r="AR156" s="186" t="e">
        <f>+'Proyectos Base digitable'!#REF!</f>
        <v>#REF!</v>
      </c>
      <c r="AS156" s="186" t="e">
        <f>+'Proyectos Base digitable'!#REF!</f>
        <v>#REF!</v>
      </c>
      <c r="AT156" s="187" t="e">
        <f>+'Proyectos Base digitable'!#REF!</f>
        <v>#REF!</v>
      </c>
      <c r="AU156" s="56" t="e">
        <f>+'Proyectos Base digitable'!#REF!</f>
        <v>#REF!</v>
      </c>
      <c r="AV156" s="56" t="e">
        <f>+'Proyectos Base digitable'!#REF!</f>
        <v>#REF!</v>
      </c>
      <c r="AW156" s="56" t="e">
        <f>+'Proyectos Base digitable'!#REF!</f>
        <v>#REF!</v>
      </c>
      <c r="AX156" s="56" t="e">
        <f>+'Proyectos Base digitable'!#REF!</f>
        <v>#REF!</v>
      </c>
      <c r="AY156" s="56" t="e">
        <f>+'Proyectos Base digitable'!#REF!</f>
        <v>#REF!</v>
      </c>
      <c r="AZ156" s="188" t="e">
        <f>+'Proyectos Base digitable'!#REF!</f>
        <v>#REF!</v>
      </c>
      <c r="BA156" s="188" t="e">
        <f>+'Proyectos Base digitable'!#REF!</f>
        <v>#REF!</v>
      </c>
    </row>
    <row r="157" spans="1:53" ht="12.5">
      <c r="A157" s="60" t="e">
        <f>+'Proyectos Base digitable'!#REF!</f>
        <v>#REF!</v>
      </c>
      <c r="B157" s="56" t="e">
        <f>+'Proyectos Base digitable'!#REF!</f>
        <v>#REF!</v>
      </c>
      <c r="C157" s="56" t="e">
        <f>+'Proyectos Base digitable'!#REF!</f>
        <v>#REF!</v>
      </c>
      <c r="D157" s="56" t="e">
        <f>+'Proyectos Base digitable'!#REF!</f>
        <v>#REF!</v>
      </c>
      <c r="E157" s="56" t="e">
        <f>+'Proyectos Base digitable'!#REF!</f>
        <v>#REF!</v>
      </c>
      <c r="F157" s="56" t="e">
        <f>+'Proyectos Base digitable'!#REF!</f>
        <v>#REF!</v>
      </c>
      <c r="G157" s="57" t="e">
        <f>+'Proyectos Base digitable'!#REF!</f>
        <v>#REF!</v>
      </c>
      <c r="H157" s="56" t="e">
        <f>+'Proyectos Base digitable'!#REF!</f>
        <v>#REF!</v>
      </c>
      <c r="I157" s="56" t="e">
        <f>+'Proyectos Base digitable'!#REF!</f>
        <v>#REF!</v>
      </c>
      <c r="J157" s="56" t="e">
        <f>+'Proyectos Base digitable'!#REF!</f>
        <v>#REF!</v>
      </c>
      <c r="K157" s="56" t="e">
        <f>+'Proyectos Base digitable'!#REF!</f>
        <v>#REF!</v>
      </c>
      <c r="L157" s="56" t="e">
        <f>+'Proyectos Base digitable'!#REF!</f>
        <v>#REF!</v>
      </c>
      <c r="M157" s="56" t="e">
        <f>+'Proyectos Base digitable'!#REF!</f>
        <v>#REF!</v>
      </c>
      <c r="N157" s="52" t="e">
        <f>+'Proyectos Base digitable'!#REF!</f>
        <v>#REF!</v>
      </c>
      <c r="O157" s="52" t="e">
        <f>+'Proyectos Base digitable'!#REF!</f>
        <v>#REF!</v>
      </c>
      <c r="P157" s="185" t="e">
        <f>+'Proyectos Base digitable'!#REF!</f>
        <v>#REF!</v>
      </c>
      <c r="Q157" s="58" t="e">
        <f>+'Proyectos Base digitable'!#REF!</f>
        <v>#REF!</v>
      </c>
      <c r="R157" s="58" t="e">
        <f>+'Proyectos Base digitable'!#REF!</f>
        <v>#REF!</v>
      </c>
      <c r="S157" s="58" t="e">
        <f>+'Proyectos Base digitable'!#REF!</f>
        <v>#REF!</v>
      </c>
      <c r="T157" s="58" t="e">
        <f>+'Proyectos Base digitable'!#REF!</f>
        <v>#REF!</v>
      </c>
      <c r="U157" s="63" t="e">
        <f>'Proyectos Base digitable'!#REF!</f>
        <v>#REF!</v>
      </c>
      <c r="V157" s="63" t="e">
        <f>'Proyectos Base digitable'!#REF!</f>
        <v>#REF!</v>
      </c>
      <c r="W157" s="63" t="e">
        <f>'Proyectos Base digitable'!#REF!</f>
        <v>#REF!</v>
      </c>
      <c r="X157" s="63" t="e">
        <f>'Proyectos Base digitable'!#REF!</f>
        <v>#REF!</v>
      </c>
      <c r="Y157" s="63" t="e">
        <f>'Proyectos Base digitable'!#REF!</f>
        <v>#REF!</v>
      </c>
      <c r="Z157" s="58" t="e">
        <f>+'Proyectos Base digitable'!#REF!</f>
        <v>#REF!</v>
      </c>
      <c r="AA157" s="58" t="e">
        <f>+'Proyectos Base digitable'!#REF!</f>
        <v>#REF!</v>
      </c>
      <c r="AB157" s="63" t="e">
        <f>'Proyectos Base digitable'!#REF!</f>
        <v>#REF!</v>
      </c>
      <c r="AC157" s="56" t="e">
        <f>+'Proyectos Base digitable'!#REF!</f>
        <v>#REF!</v>
      </c>
      <c r="AD157" s="52" t="e">
        <f>+'Proyectos Base digitable'!#REF!</f>
        <v>#REF!</v>
      </c>
      <c r="AE157" s="52" t="e">
        <f>+'Proyectos Base digitable'!#REF!</f>
        <v>#REF!</v>
      </c>
      <c r="AF157" s="52" t="e">
        <f>+'Proyectos Base digitable'!#REF!</f>
        <v>#REF!</v>
      </c>
      <c r="AG157" s="56" t="e">
        <f>+'Proyectos Base digitable'!#REF!</f>
        <v>#REF!</v>
      </c>
      <c r="AH157" s="52" t="e">
        <f>+'Proyectos Base digitable'!#REF!</f>
        <v>#REF!</v>
      </c>
      <c r="AI157" s="52" t="e">
        <f>+'Proyectos Base digitable'!#REF!</f>
        <v>#REF!</v>
      </c>
      <c r="AJ157" s="59" t="e">
        <f>+'Proyectos Base digitable'!#REF!</f>
        <v>#REF!</v>
      </c>
      <c r="AK157" s="186" t="e">
        <f>+'Proyectos Base digitable'!#REF!</f>
        <v>#REF!</v>
      </c>
      <c r="AL157" s="186" t="e">
        <f>+'Proyectos Base digitable'!#REF!</f>
        <v>#REF!</v>
      </c>
      <c r="AM157" s="186" t="e">
        <f>+'Proyectos Base digitable'!#REF!</f>
        <v>#REF!</v>
      </c>
      <c r="AN157" s="186" t="e">
        <f>+'Proyectos Base digitable'!#REF!</f>
        <v>#REF!</v>
      </c>
      <c r="AO157" s="186" t="e">
        <f>+'Proyectos Base digitable'!#REF!</f>
        <v>#REF!</v>
      </c>
      <c r="AP157" s="186" t="e">
        <f>+'Proyectos Base digitable'!#REF!</f>
        <v>#REF!</v>
      </c>
      <c r="AQ157" s="186" t="e">
        <f>+'Proyectos Base digitable'!#REF!</f>
        <v>#REF!</v>
      </c>
      <c r="AR157" s="186" t="e">
        <f>+'Proyectos Base digitable'!#REF!</f>
        <v>#REF!</v>
      </c>
      <c r="AS157" s="186" t="e">
        <f>+'Proyectos Base digitable'!#REF!</f>
        <v>#REF!</v>
      </c>
      <c r="AT157" s="187" t="e">
        <f>+'Proyectos Base digitable'!#REF!</f>
        <v>#REF!</v>
      </c>
      <c r="AU157" s="56" t="e">
        <f>+'Proyectos Base digitable'!#REF!</f>
        <v>#REF!</v>
      </c>
      <c r="AV157" s="56" t="e">
        <f>+'Proyectos Base digitable'!#REF!</f>
        <v>#REF!</v>
      </c>
      <c r="AW157" s="56" t="e">
        <f>+'Proyectos Base digitable'!#REF!</f>
        <v>#REF!</v>
      </c>
      <c r="AX157" s="56" t="e">
        <f>+'Proyectos Base digitable'!#REF!</f>
        <v>#REF!</v>
      </c>
      <c r="AY157" s="56" t="e">
        <f>+'Proyectos Base digitable'!#REF!</f>
        <v>#REF!</v>
      </c>
      <c r="AZ157" s="188" t="e">
        <f>+'Proyectos Base digitable'!#REF!</f>
        <v>#REF!</v>
      </c>
      <c r="BA157" s="188" t="e">
        <f>+'Proyectos Base digitable'!#REF!</f>
        <v>#REF!</v>
      </c>
    </row>
    <row r="158" spans="1:53" ht="12.5">
      <c r="A158" s="60" t="e">
        <f>+'Proyectos Base digitable'!#REF!</f>
        <v>#REF!</v>
      </c>
      <c r="B158" s="56" t="e">
        <f>+'Proyectos Base digitable'!#REF!</f>
        <v>#REF!</v>
      </c>
      <c r="C158" s="56" t="e">
        <f>+'Proyectos Base digitable'!#REF!</f>
        <v>#REF!</v>
      </c>
      <c r="D158" s="56" t="e">
        <f>+'Proyectos Base digitable'!#REF!</f>
        <v>#REF!</v>
      </c>
      <c r="E158" s="56" t="e">
        <f>+'Proyectos Base digitable'!#REF!</f>
        <v>#REF!</v>
      </c>
      <c r="F158" s="56" t="e">
        <f>+'Proyectos Base digitable'!#REF!</f>
        <v>#REF!</v>
      </c>
      <c r="G158" s="57" t="e">
        <f>+'Proyectos Base digitable'!#REF!</f>
        <v>#REF!</v>
      </c>
      <c r="H158" s="56" t="e">
        <f>+'Proyectos Base digitable'!#REF!</f>
        <v>#REF!</v>
      </c>
      <c r="I158" s="56" t="e">
        <f>+'Proyectos Base digitable'!#REF!</f>
        <v>#REF!</v>
      </c>
      <c r="J158" s="56" t="e">
        <f>+'Proyectos Base digitable'!#REF!</f>
        <v>#REF!</v>
      </c>
      <c r="K158" s="56" t="e">
        <f>+'Proyectos Base digitable'!#REF!</f>
        <v>#REF!</v>
      </c>
      <c r="L158" s="56" t="e">
        <f>+'Proyectos Base digitable'!#REF!</f>
        <v>#REF!</v>
      </c>
      <c r="M158" s="56" t="e">
        <f>+'Proyectos Base digitable'!#REF!</f>
        <v>#REF!</v>
      </c>
      <c r="N158" s="52" t="e">
        <f>+'Proyectos Base digitable'!#REF!</f>
        <v>#REF!</v>
      </c>
      <c r="O158" s="52" t="e">
        <f>+'Proyectos Base digitable'!#REF!</f>
        <v>#REF!</v>
      </c>
      <c r="P158" s="185" t="e">
        <f>+'Proyectos Base digitable'!#REF!</f>
        <v>#REF!</v>
      </c>
      <c r="Q158" s="58" t="e">
        <f>+'Proyectos Base digitable'!#REF!</f>
        <v>#REF!</v>
      </c>
      <c r="R158" s="58" t="e">
        <f>+'Proyectos Base digitable'!#REF!</f>
        <v>#REF!</v>
      </c>
      <c r="S158" s="58" t="e">
        <f>+'Proyectos Base digitable'!#REF!</f>
        <v>#REF!</v>
      </c>
      <c r="T158" s="58" t="e">
        <f>+'Proyectos Base digitable'!#REF!</f>
        <v>#REF!</v>
      </c>
      <c r="U158" s="63" t="e">
        <f>'Proyectos Base digitable'!#REF!</f>
        <v>#REF!</v>
      </c>
      <c r="V158" s="63" t="e">
        <f>'Proyectos Base digitable'!#REF!</f>
        <v>#REF!</v>
      </c>
      <c r="W158" s="63" t="e">
        <f>'Proyectos Base digitable'!#REF!</f>
        <v>#REF!</v>
      </c>
      <c r="X158" s="63" t="e">
        <f>'Proyectos Base digitable'!#REF!</f>
        <v>#REF!</v>
      </c>
      <c r="Y158" s="63" t="e">
        <f>'Proyectos Base digitable'!#REF!</f>
        <v>#REF!</v>
      </c>
      <c r="Z158" s="58" t="e">
        <f>+'Proyectos Base digitable'!#REF!</f>
        <v>#REF!</v>
      </c>
      <c r="AA158" s="58" t="e">
        <f>+'Proyectos Base digitable'!#REF!</f>
        <v>#REF!</v>
      </c>
      <c r="AB158" s="63" t="e">
        <f>'Proyectos Base digitable'!#REF!</f>
        <v>#REF!</v>
      </c>
      <c r="AC158" s="56" t="e">
        <f>+'Proyectos Base digitable'!#REF!</f>
        <v>#REF!</v>
      </c>
      <c r="AD158" s="52" t="e">
        <f>+'Proyectos Base digitable'!#REF!</f>
        <v>#REF!</v>
      </c>
      <c r="AE158" s="52" t="e">
        <f>+'Proyectos Base digitable'!#REF!</f>
        <v>#REF!</v>
      </c>
      <c r="AF158" s="52" t="e">
        <f>+'Proyectos Base digitable'!#REF!</f>
        <v>#REF!</v>
      </c>
      <c r="AG158" s="56" t="e">
        <f>+'Proyectos Base digitable'!#REF!</f>
        <v>#REF!</v>
      </c>
      <c r="AH158" s="52" t="e">
        <f>+'Proyectos Base digitable'!#REF!</f>
        <v>#REF!</v>
      </c>
      <c r="AI158" s="52" t="e">
        <f>+'Proyectos Base digitable'!#REF!</f>
        <v>#REF!</v>
      </c>
      <c r="AJ158" s="59" t="e">
        <f>+'Proyectos Base digitable'!#REF!</f>
        <v>#REF!</v>
      </c>
      <c r="AK158" s="186" t="e">
        <f>+'Proyectos Base digitable'!#REF!</f>
        <v>#REF!</v>
      </c>
      <c r="AL158" s="186" t="e">
        <f>+'Proyectos Base digitable'!#REF!</f>
        <v>#REF!</v>
      </c>
      <c r="AM158" s="186" t="e">
        <f>+'Proyectos Base digitable'!#REF!</f>
        <v>#REF!</v>
      </c>
      <c r="AN158" s="186" t="e">
        <f>+'Proyectos Base digitable'!#REF!</f>
        <v>#REF!</v>
      </c>
      <c r="AO158" s="186" t="e">
        <f>+'Proyectos Base digitable'!#REF!</f>
        <v>#REF!</v>
      </c>
      <c r="AP158" s="186" t="e">
        <f>+'Proyectos Base digitable'!#REF!</f>
        <v>#REF!</v>
      </c>
      <c r="AQ158" s="186" t="e">
        <f>+'Proyectos Base digitable'!#REF!</f>
        <v>#REF!</v>
      </c>
      <c r="AR158" s="186" t="e">
        <f>+'Proyectos Base digitable'!#REF!</f>
        <v>#REF!</v>
      </c>
      <c r="AS158" s="186" t="e">
        <f>+'Proyectos Base digitable'!#REF!</f>
        <v>#REF!</v>
      </c>
      <c r="AT158" s="187" t="e">
        <f>+'Proyectos Base digitable'!#REF!</f>
        <v>#REF!</v>
      </c>
      <c r="AU158" s="56" t="e">
        <f>+'Proyectos Base digitable'!#REF!</f>
        <v>#REF!</v>
      </c>
      <c r="AV158" s="56" t="e">
        <f>+'Proyectos Base digitable'!#REF!</f>
        <v>#REF!</v>
      </c>
      <c r="AW158" s="56" t="e">
        <f>+'Proyectos Base digitable'!#REF!</f>
        <v>#REF!</v>
      </c>
      <c r="AX158" s="56" t="e">
        <f>+'Proyectos Base digitable'!#REF!</f>
        <v>#REF!</v>
      </c>
      <c r="AY158" s="56" t="e">
        <f>+'Proyectos Base digitable'!#REF!</f>
        <v>#REF!</v>
      </c>
      <c r="AZ158" s="188" t="e">
        <f>+'Proyectos Base digitable'!#REF!</f>
        <v>#REF!</v>
      </c>
      <c r="BA158" s="188" t="e">
        <f>+'Proyectos Base digitable'!#REF!</f>
        <v>#REF!</v>
      </c>
    </row>
    <row r="159" spans="1:53" ht="12.5">
      <c r="A159" s="60" t="e">
        <f>+'Proyectos Base digitable'!#REF!</f>
        <v>#REF!</v>
      </c>
      <c r="B159" s="56" t="e">
        <f>+'Proyectos Base digitable'!#REF!</f>
        <v>#REF!</v>
      </c>
      <c r="C159" s="56" t="e">
        <f>+'Proyectos Base digitable'!#REF!</f>
        <v>#REF!</v>
      </c>
      <c r="D159" s="56" t="e">
        <f>+'Proyectos Base digitable'!#REF!</f>
        <v>#REF!</v>
      </c>
      <c r="E159" s="56" t="e">
        <f>+'Proyectos Base digitable'!#REF!</f>
        <v>#REF!</v>
      </c>
      <c r="F159" s="56" t="e">
        <f>+'Proyectos Base digitable'!#REF!</f>
        <v>#REF!</v>
      </c>
      <c r="G159" s="57" t="e">
        <f>+'Proyectos Base digitable'!#REF!</f>
        <v>#REF!</v>
      </c>
      <c r="H159" s="56" t="e">
        <f>+'Proyectos Base digitable'!#REF!</f>
        <v>#REF!</v>
      </c>
      <c r="I159" s="56" t="e">
        <f>+'Proyectos Base digitable'!#REF!</f>
        <v>#REF!</v>
      </c>
      <c r="J159" s="56" t="e">
        <f>+'Proyectos Base digitable'!#REF!</f>
        <v>#REF!</v>
      </c>
      <c r="K159" s="56" t="e">
        <f>+'Proyectos Base digitable'!#REF!</f>
        <v>#REF!</v>
      </c>
      <c r="L159" s="56" t="e">
        <f>+'Proyectos Base digitable'!#REF!</f>
        <v>#REF!</v>
      </c>
      <c r="M159" s="56" t="e">
        <f>+'Proyectos Base digitable'!#REF!</f>
        <v>#REF!</v>
      </c>
      <c r="N159" s="52" t="e">
        <f>+'Proyectos Base digitable'!#REF!</f>
        <v>#REF!</v>
      </c>
      <c r="O159" s="52" t="e">
        <f>+'Proyectos Base digitable'!#REF!</f>
        <v>#REF!</v>
      </c>
      <c r="P159" s="185" t="e">
        <f>+'Proyectos Base digitable'!#REF!</f>
        <v>#REF!</v>
      </c>
      <c r="Q159" s="58" t="e">
        <f>+'Proyectos Base digitable'!#REF!</f>
        <v>#REF!</v>
      </c>
      <c r="R159" s="58" t="e">
        <f>+'Proyectos Base digitable'!#REF!</f>
        <v>#REF!</v>
      </c>
      <c r="S159" s="58" t="e">
        <f>+'Proyectos Base digitable'!#REF!</f>
        <v>#REF!</v>
      </c>
      <c r="T159" s="58" t="e">
        <f>+'Proyectos Base digitable'!#REF!</f>
        <v>#REF!</v>
      </c>
      <c r="U159" s="63" t="e">
        <f>'Proyectos Base digitable'!#REF!</f>
        <v>#REF!</v>
      </c>
      <c r="V159" s="63" t="e">
        <f>'Proyectos Base digitable'!#REF!</f>
        <v>#REF!</v>
      </c>
      <c r="W159" s="63" t="e">
        <f>'Proyectos Base digitable'!#REF!</f>
        <v>#REF!</v>
      </c>
      <c r="X159" s="63" t="e">
        <f>'Proyectos Base digitable'!#REF!</f>
        <v>#REF!</v>
      </c>
      <c r="Y159" s="63" t="e">
        <f>'Proyectos Base digitable'!#REF!</f>
        <v>#REF!</v>
      </c>
      <c r="Z159" s="58" t="e">
        <f>+'Proyectos Base digitable'!#REF!</f>
        <v>#REF!</v>
      </c>
      <c r="AA159" s="58" t="e">
        <f>+'Proyectos Base digitable'!#REF!</f>
        <v>#REF!</v>
      </c>
      <c r="AB159" s="63" t="e">
        <f>'Proyectos Base digitable'!#REF!</f>
        <v>#REF!</v>
      </c>
      <c r="AC159" s="56" t="e">
        <f>+'Proyectos Base digitable'!#REF!</f>
        <v>#REF!</v>
      </c>
      <c r="AD159" s="52" t="e">
        <f>+'Proyectos Base digitable'!#REF!</f>
        <v>#REF!</v>
      </c>
      <c r="AE159" s="52" t="e">
        <f>+'Proyectos Base digitable'!#REF!</f>
        <v>#REF!</v>
      </c>
      <c r="AF159" s="52" t="e">
        <f>+'Proyectos Base digitable'!#REF!</f>
        <v>#REF!</v>
      </c>
      <c r="AG159" s="56" t="e">
        <f>+'Proyectos Base digitable'!#REF!</f>
        <v>#REF!</v>
      </c>
      <c r="AH159" s="52" t="e">
        <f>+'Proyectos Base digitable'!#REF!</f>
        <v>#REF!</v>
      </c>
      <c r="AI159" s="52" t="e">
        <f>+'Proyectos Base digitable'!#REF!</f>
        <v>#REF!</v>
      </c>
      <c r="AJ159" s="59" t="e">
        <f>+'Proyectos Base digitable'!#REF!</f>
        <v>#REF!</v>
      </c>
      <c r="AK159" s="186" t="e">
        <f>+'Proyectos Base digitable'!#REF!</f>
        <v>#REF!</v>
      </c>
      <c r="AL159" s="186" t="e">
        <f>+'Proyectos Base digitable'!#REF!</f>
        <v>#REF!</v>
      </c>
      <c r="AM159" s="186" t="e">
        <f>+'Proyectos Base digitable'!#REF!</f>
        <v>#REF!</v>
      </c>
      <c r="AN159" s="186" t="e">
        <f>+'Proyectos Base digitable'!#REF!</f>
        <v>#REF!</v>
      </c>
      <c r="AO159" s="186" t="e">
        <f>+'Proyectos Base digitable'!#REF!</f>
        <v>#REF!</v>
      </c>
      <c r="AP159" s="186" t="e">
        <f>+'Proyectos Base digitable'!#REF!</f>
        <v>#REF!</v>
      </c>
      <c r="AQ159" s="186" t="e">
        <f>+'Proyectos Base digitable'!#REF!</f>
        <v>#REF!</v>
      </c>
      <c r="AR159" s="186" t="e">
        <f>+'Proyectos Base digitable'!#REF!</f>
        <v>#REF!</v>
      </c>
      <c r="AS159" s="186" t="e">
        <f>+'Proyectos Base digitable'!#REF!</f>
        <v>#REF!</v>
      </c>
      <c r="AT159" s="187" t="e">
        <f>+'Proyectos Base digitable'!#REF!</f>
        <v>#REF!</v>
      </c>
      <c r="AU159" s="56" t="e">
        <f>+'Proyectos Base digitable'!#REF!</f>
        <v>#REF!</v>
      </c>
      <c r="AV159" s="56" t="e">
        <f>+'Proyectos Base digitable'!#REF!</f>
        <v>#REF!</v>
      </c>
      <c r="AW159" s="56" t="e">
        <f>+'Proyectos Base digitable'!#REF!</f>
        <v>#REF!</v>
      </c>
      <c r="AX159" s="56" t="e">
        <f>+'Proyectos Base digitable'!#REF!</f>
        <v>#REF!</v>
      </c>
      <c r="AY159" s="56" t="e">
        <f>+'Proyectos Base digitable'!#REF!</f>
        <v>#REF!</v>
      </c>
      <c r="AZ159" s="188" t="e">
        <f>+'Proyectos Base digitable'!#REF!</f>
        <v>#REF!</v>
      </c>
      <c r="BA159" s="188" t="e">
        <f>+'Proyectos Base digitable'!#REF!</f>
        <v>#REF!</v>
      </c>
    </row>
    <row r="160" spans="1:53" ht="12.5">
      <c r="A160" s="60" t="e">
        <f>+'Proyectos Base digitable'!#REF!</f>
        <v>#REF!</v>
      </c>
      <c r="B160" s="56" t="e">
        <f>+'Proyectos Base digitable'!#REF!</f>
        <v>#REF!</v>
      </c>
      <c r="C160" s="56" t="e">
        <f>+'Proyectos Base digitable'!#REF!</f>
        <v>#REF!</v>
      </c>
      <c r="D160" s="56" t="e">
        <f>+'Proyectos Base digitable'!#REF!</f>
        <v>#REF!</v>
      </c>
      <c r="E160" s="56" t="e">
        <f>+'Proyectos Base digitable'!#REF!</f>
        <v>#REF!</v>
      </c>
      <c r="F160" s="56" t="e">
        <f>+'Proyectos Base digitable'!#REF!</f>
        <v>#REF!</v>
      </c>
      <c r="G160" s="57" t="e">
        <f>+'Proyectos Base digitable'!#REF!</f>
        <v>#REF!</v>
      </c>
      <c r="H160" s="56" t="e">
        <f>+'Proyectos Base digitable'!#REF!</f>
        <v>#REF!</v>
      </c>
      <c r="I160" s="56" t="e">
        <f>+'Proyectos Base digitable'!#REF!</f>
        <v>#REF!</v>
      </c>
      <c r="J160" s="56" t="e">
        <f>+'Proyectos Base digitable'!#REF!</f>
        <v>#REF!</v>
      </c>
      <c r="K160" s="56" t="e">
        <f>+'Proyectos Base digitable'!#REF!</f>
        <v>#REF!</v>
      </c>
      <c r="L160" s="56" t="e">
        <f>+'Proyectos Base digitable'!#REF!</f>
        <v>#REF!</v>
      </c>
      <c r="M160" s="56" t="e">
        <f>+'Proyectos Base digitable'!#REF!</f>
        <v>#REF!</v>
      </c>
      <c r="N160" s="52" t="e">
        <f>+'Proyectos Base digitable'!#REF!</f>
        <v>#REF!</v>
      </c>
      <c r="O160" s="52" t="e">
        <f>+'Proyectos Base digitable'!#REF!</f>
        <v>#REF!</v>
      </c>
      <c r="P160" s="185" t="e">
        <f>+'Proyectos Base digitable'!#REF!</f>
        <v>#REF!</v>
      </c>
      <c r="Q160" s="58" t="e">
        <f>+'Proyectos Base digitable'!#REF!</f>
        <v>#REF!</v>
      </c>
      <c r="R160" s="58" t="e">
        <f>+'Proyectos Base digitable'!#REF!</f>
        <v>#REF!</v>
      </c>
      <c r="S160" s="58" t="e">
        <f>+'Proyectos Base digitable'!#REF!</f>
        <v>#REF!</v>
      </c>
      <c r="T160" s="58" t="e">
        <f>+'Proyectos Base digitable'!#REF!</f>
        <v>#REF!</v>
      </c>
      <c r="U160" s="63" t="e">
        <f>'Proyectos Base digitable'!#REF!</f>
        <v>#REF!</v>
      </c>
      <c r="V160" s="63" t="e">
        <f>'Proyectos Base digitable'!#REF!</f>
        <v>#REF!</v>
      </c>
      <c r="W160" s="63" t="e">
        <f>'Proyectos Base digitable'!#REF!</f>
        <v>#REF!</v>
      </c>
      <c r="X160" s="63" t="e">
        <f>'Proyectos Base digitable'!#REF!</f>
        <v>#REF!</v>
      </c>
      <c r="Y160" s="63" t="e">
        <f>'Proyectos Base digitable'!#REF!</f>
        <v>#REF!</v>
      </c>
      <c r="Z160" s="58" t="e">
        <f>+'Proyectos Base digitable'!#REF!</f>
        <v>#REF!</v>
      </c>
      <c r="AA160" s="58" t="e">
        <f>+'Proyectos Base digitable'!#REF!</f>
        <v>#REF!</v>
      </c>
      <c r="AB160" s="63" t="e">
        <f>'Proyectos Base digitable'!#REF!</f>
        <v>#REF!</v>
      </c>
      <c r="AC160" s="56" t="e">
        <f>+'Proyectos Base digitable'!#REF!</f>
        <v>#REF!</v>
      </c>
      <c r="AD160" s="52" t="e">
        <f>+'Proyectos Base digitable'!#REF!</f>
        <v>#REF!</v>
      </c>
      <c r="AE160" s="52" t="e">
        <f>+'Proyectos Base digitable'!#REF!</f>
        <v>#REF!</v>
      </c>
      <c r="AF160" s="52" t="e">
        <f>+'Proyectos Base digitable'!#REF!</f>
        <v>#REF!</v>
      </c>
      <c r="AG160" s="56" t="e">
        <f>+'Proyectos Base digitable'!#REF!</f>
        <v>#REF!</v>
      </c>
      <c r="AH160" s="52" t="e">
        <f>+'Proyectos Base digitable'!#REF!</f>
        <v>#REF!</v>
      </c>
      <c r="AI160" s="52" t="e">
        <f>+'Proyectos Base digitable'!#REF!</f>
        <v>#REF!</v>
      </c>
      <c r="AJ160" s="59" t="e">
        <f>+'Proyectos Base digitable'!#REF!</f>
        <v>#REF!</v>
      </c>
      <c r="AK160" s="186" t="e">
        <f>+'Proyectos Base digitable'!#REF!</f>
        <v>#REF!</v>
      </c>
      <c r="AL160" s="186" t="e">
        <f>+'Proyectos Base digitable'!#REF!</f>
        <v>#REF!</v>
      </c>
      <c r="AM160" s="186" t="e">
        <f>+'Proyectos Base digitable'!#REF!</f>
        <v>#REF!</v>
      </c>
      <c r="AN160" s="186" t="e">
        <f>+'Proyectos Base digitable'!#REF!</f>
        <v>#REF!</v>
      </c>
      <c r="AO160" s="186" t="e">
        <f>+'Proyectos Base digitable'!#REF!</f>
        <v>#REF!</v>
      </c>
      <c r="AP160" s="186" t="e">
        <f>+'Proyectos Base digitable'!#REF!</f>
        <v>#REF!</v>
      </c>
      <c r="AQ160" s="186" t="e">
        <f>+'Proyectos Base digitable'!#REF!</f>
        <v>#REF!</v>
      </c>
      <c r="AR160" s="186" t="e">
        <f>+'Proyectos Base digitable'!#REF!</f>
        <v>#REF!</v>
      </c>
      <c r="AS160" s="186" t="e">
        <f>+'Proyectos Base digitable'!#REF!</f>
        <v>#REF!</v>
      </c>
      <c r="AT160" s="187" t="e">
        <f>+'Proyectos Base digitable'!#REF!</f>
        <v>#REF!</v>
      </c>
      <c r="AU160" s="56" t="e">
        <f>+'Proyectos Base digitable'!#REF!</f>
        <v>#REF!</v>
      </c>
      <c r="AV160" s="56" t="e">
        <f>+'Proyectos Base digitable'!#REF!</f>
        <v>#REF!</v>
      </c>
      <c r="AW160" s="56" t="e">
        <f>+'Proyectos Base digitable'!#REF!</f>
        <v>#REF!</v>
      </c>
      <c r="AX160" s="56" t="e">
        <f>+'Proyectos Base digitable'!#REF!</f>
        <v>#REF!</v>
      </c>
      <c r="AY160" s="56" t="e">
        <f>+'Proyectos Base digitable'!#REF!</f>
        <v>#REF!</v>
      </c>
      <c r="AZ160" s="188" t="e">
        <f>+'Proyectos Base digitable'!#REF!</f>
        <v>#REF!</v>
      </c>
      <c r="BA160" s="188" t="e">
        <f>+'Proyectos Base digitable'!#REF!</f>
        <v>#REF!</v>
      </c>
    </row>
    <row r="161" spans="1:53" ht="12.5">
      <c r="A161" s="60" t="e">
        <f>+'Proyectos Base digitable'!#REF!</f>
        <v>#REF!</v>
      </c>
      <c r="B161" s="56" t="e">
        <f>+'Proyectos Base digitable'!#REF!</f>
        <v>#REF!</v>
      </c>
      <c r="C161" s="56" t="e">
        <f>+'Proyectos Base digitable'!#REF!</f>
        <v>#REF!</v>
      </c>
      <c r="D161" s="56" t="e">
        <f>+'Proyectos Base digitable'!#REF!</f>
        <v>#REF!</v>
      </c>
      <c r="E161" s="56" t="e">
        <f>+'Proyectos Base digitable'!#REF!</f>
        <v>#REF!</v>
      </c>
      <c r="F161" s="56" t="e">
        <f>+'Proyectos Base digitable'!#REF!</f>
        <v>#REF!</v>
      </c>
      <c r="G161" s="57" t="e">
        <f>+'Proyectos Base digitable'!#REF!</f>
        <v>#REF!</v>
      </c>
      <c r="H161" s="56" t="e">
        <f>+'Proyectos Base digitable'!#REF!</f>
        <v>#REF!</v>
      </c>
      <c r="I161" s="56" t="e">
        <f>+'Proyectos Base digitable'!#REF!</f>
        <v>#REF!</v>
      </c>
      <c r="J161" s="56" t="e">
        <f>+'Proyectos Base digitable'!#REF!</f>
        <v>#REF!</v>
      </c>
      <c r="K161" s="56" t="e">
        <f>+'Proyectos Base digitable'!#REF!</f>
        <v>#REF!</v>
      </c>
      <c r="L161" s="56" t="e">
        <f>+'Proyectos Base digitable'!#REF!</f>
        <v>#REF!</v>
      </c>
      <c r="M161" s="56" t="e">
        <f>+'Proyectos Base digitable'!#REF!</f>
        <v>#REF!</v>
      </c>
      <c r="N161" s="52" t="e">
        <f>+'Proyectos Base digitable'!#REF!</f>
        <v>#REF!</v>
      </c>
      <c r="O161" s="52" t="e">
        <f>+'Proyectos Base digitable'!#REF!</f>
        <v>#REF!</v>
      </c>
      <c r="P161" s="185" t="e">
        <f>+'Proyectos Base digitable'!#REF!</f>
        <v>#REF!</v>
      </c>
      <c r="Q161" s="58" t="e">
        <f>+'Proyectos Base digitable'!#REF!</f>
        <v>#REF!</v>
      </c>
      <c r="R161" s="58" t="e">
        <f>+'Proyectos Base digitable'!#REF!</f>
        <v>#REF!</v>
      </c>
      <c r="S161" s="58" t="e">
        <f>+'Proyectos Base digitable'!#REF!</f>
        <v>#REF!</v>
      </c>
      <c r="T161" s="58" t="e">
        <f>+'Proyectos Base digitable'!#REF!</f>
        <v>#REF!</v>
      </c>
      <c r="U161" s="63" t="e">
        <f>'Proyectos Base digitable'!#REF!</f>
        <v>#REF!</v>
      </c>
      <c r="V161" s="63" t="e">
        <f>'Proyectos Base digitable'!#REF!</f>
        <v>#REF!</v>
      </c>
      <c r="W161" s="63" t="e">
        <f>'Proyectos Base digitable'!#REF!</f>
        <v>#REF!</v>
      </c>
      <c r="X161" s="63" t="e">
        <f>'Proyectos Base digitable'!#REF!</f>
        <v>#REF!</v>
      </c>
      <c r="Y161" s="63" t="e">
        <f>'Proyectos Base digitable'!#REF!</f>
        <v>#REF!</v>
      </c>
      <c r="Z161" s="58" t="e">
        <f>+'Proyectos Base digitable'!#REF!</f>
        <v>#REF!</v>
      </c>
      <c r="AA161" s="58" t="e">
        <f>+'Proyectos Base digitable'!#REF!</f>
        <v>#REF!</v>
      </c>
      <c r="AB161" s="63" t="e">
        <f>'Proyectos Base digitable'!#REF!</f>
        <v>#REF!</v>
      </c>
      <c r="AC161" s="56" t="e">
        <f>+'Proyectos Base digitable'!#REF!</f>
        <v>#REF!</v>
      </c>
      <c r="AD161" s="52" t="e">
        <f>+'Proyectos Base digitable'!#REF!</f>
        <v>#REF!</v>
      </c>
      <c r="AE161" s="52" t="e">
        <f>+'Proyectos Base digitable'!#REF!</f>
        <v>#REF!</v>
      </c>
      <c r="AF161" s="52" t="e">
        <f>+'Proyectos Base digitable'!#REF!</f>
        <v>#REF!</v>
      </c>
      <c r="AG161" s="56" t="e">
        <f>+'Proyectos Base digitable'!#REF!</f>
        <v>#REF!</v>
      </c>
      <c r="AH161" s="52" t="e">
        <f>+'Proyectos Base digitable'!#REF!</f>
        <v>#REF!</v>
      </c>
      <c r="AI161" s="52" t="e">
        <f>+'Proyectos Base digitable'!#REF!</f>
        <v>#REF!</v>
      </c>
      <c r="AJ161" s="59" t="e">
        <f>+'Proyectos Base digitable'!#REF!</f>
        <v>#REF!</v>
      </c>
      <c r="AK161" s="186" t="e">
        <f>+'Proyectos Base digitable'!#REF!</f>
        <v>#REF!</v>
      </c>
      <c r="AL161" s="186" t="e">
        <f>+'Proyectos Base digitable'!#REF!</f>
        <v>#REF!</v>
      </c>
      <c r="AM161" s="186" t="e">
        <f>+'Proyectos Base digitable'!#REF!</f>
        <v>#REF!</v>
      </c>
      <c r="AN161" s="186" t="e">
        <f>+'Proyectos Base digitable'!#REF!</f>
        <v>#REF!</v>
      </c>
      <c r="AO161" s="186" t="e">
        <f>+'Proyectos Base digitable'!#REF!</f>
        <v>#REF!</v>
      </c>
      <c r="AP161" s="186" t="e">
        <f>+'Proyectos Base digitable'!#REF!</f>
        <v>#REF!</v>
      </c>
      <c r="AQ161" s="186" t="e">
        <f>+'Proyectos Base digitable'!#REF!</f>
        <v>#REF!</v>
      </c>
      <c r="AR161" s="186" t="e">
        <f>+'Proyectos Base digitable'!#REF!</f>
        <v>#REF!</v>
      </c>
      <c r="AS161" s="186" t="e">
        <f>+'Proyectos Base digitable'!#REF!</f>
        <v>#REF!</v>
      </c>
      <c r="AT161" s="187" t="e">
        <f>+'Proyectos Base digitable'!#REF!</f>
        <v>#REF!</v>
      </c>
      <c r="AU161" s="56" t="e">
        <f>+'Proyectos Base digitable'!#REF!</f>
        <v>#REF!</v>
      </c>
      <c r="AV161" s="56" t="e">
        <f>+'Proyectos Base digitable'!#REF!</f>
        <v>#REF!</v>
      </c>
      <c r="AW161" s="56" t="e">
        <f>+'Proyectos Base digitable'!#REF!</f>
        <v>#REF!</v>
      </c>
      <c r="AX161" s="56" t="e">
        <f>+'Proyectos Base digitable'!#REF!</f>
        <v>#REF!</v>
      </c>
      <c r="AY161" s="56" t="e">
        <f>+'Proyectos Base digitable'!#REF!</f>
        <v>#REF!</v>
      </c>
      <c r="AZ161" s="188" t="e">
        <f>+'Proyectos Base digitable'!#REF!</f>
        <v>#REF!</v>
      </c>
      <c r="BA161" s="188" t="e">
        <f>+'Proyectos Base digitable'!#REF!</f>
        <v>#REF!</v>
      </c>
    </row>
    <row r="162" spans="1:53" ht="12.5">
      <c r="A162" s="60" t="e">
        <f>+'Proyectos Base digitable'!#REF!</f>
        <v>#REF!</v>
      </c>
      <c r="B162" s="56" t="e">
        <f>+'Proyectos Base digitable'!#REF!</f>
        <v>#REF!</v>
      </c>
      <c r="C162" s="56" t="e">
        <f>+'Proyectos Base digitable'!#REF!</f>
        <v>#REF!</v>
      </c>
      <c r="D162" s="56" t="e">
        <f>+'Proyectos Base digitable'!#REF!</f>
        <v>#REF!</v>
      </c>
      <c r="E162" s="56" t="e">
        <f>+'Proyectos Base digitable'!#REF!</f>
        <v>#REF!</v>
      </c>
      <c r="F162" s="56" t="e">
        <f>+'Proyectos Base digitable'!#REF!</f>
        <v>#REF!</v>
      </c>
      <c r="G162" s="57" t="e">
        <f>+'Proyectos Base digitable'!#REF!</f>
        <v>#REF!</v>
      </c>
      <c r="H162" s="56" t="e">
        <f>+'Proyectos Base digitable'!#REF!</f>
        <v>#REF!</v>
      </c>
      <c r="I162" s="56" t="e">
        <f>+'Proyectos Base digitable'!#REF!</f>
        <v>#REF!</v>
      </c>
      <c r="J162" s="56" t="e">
        <f>+'Proyectos Base digitable'!#REF!</f>
        <v>#REF!</v>
      </c>
      <c r="K162" s="56" t="e">
        <f>+'Proyectos Base digitable'!#REF!</f>
        <v>#REF!</v>
      </c>
      <c r="L162" s="56" t="e">
        <f>+'Proyectos Base digitable'!#REF!</f>
        <v>#REF!</v>
      </c>
      <c r="M162" s="56" t="e">
        <f>+'Proyectos Base digitable'!#REF!</f>
        <v>#REF!</v>
      </c>
      <c r="N162" s="52" t="e">
        <f>+'Proyectos Base digitable'!#REF!</f>
        <v>#REF!</v>
      </c>
      <c r="O162" s="52" t="e">
        <f>+'Proyectos Base digitable'!#REF!</f>
        <v>#REF!</v>
      </c>
      <c r="P162" s="185" t="e">
        <f>+'Proyectos Base digitable'!#REF!</f>
        <v>#REF!</v>
      </c>
      <c r="Q162" s="58" t="e">
        <f>+'Proyectos Base digitable'!#REF!</f>
        <v>#REF!</v>
      </c>
      <c r="R162" s="58" t="e">
        <f>+'Proyectos Base digitable'!#REF!</f>
        <v>#REF!</v>
      </c>
      <c r="S162" s="58" t="e">
        <f>+'Proyectos Base digitable'!#REF!</f>
        <v>#REF!</v>
      </c>
      <c r="T162" s="58" t="e">
        <f>+'Proyectos Base digitable'!#REF!</f>
        <v>#REF!</v>
      </c>
      <c r="U162" s="63" t="e">
        <f>'Proyectos Base digitable'!#REF!</f>
        <v>#REF!</v>
      </c>
      <c r="V162" s="63" t="e">
        <f>'Proyectos Base digitable'!#REF!</f>
        <v>#REF!</v>
      </c>
      <c r="W162" s="63" t="e">
        <f>'Proyectos Base digitable'!#REF!</f>
        <v>#REF!</v>
      </c>
      <c r="X162" s="63" t="e">
        <f>'Proyectos Base digitable'!#REF!</f>
        <v>#REF!</v>
      </c>
      <c r="Y162" s="63" t="e">
        <f>'Proyectos Base digitable'!#REF!</f>
        <v>#REF!</v>
      </c>
      <c r="Z162" s="58" t="e">
        <f>+'Proyectos Base digitable'!#REF!</f>
        <v>#REF!</v>
      </c>
      <c r="AA162" s="58" t="e">
        <f>+'Proyectos Base digitable'!#REF!</f>
        <v>#REF!</v>
      </c>
      <c r="AB162" s="63" t="e">
        <f>'Proyectos Base digitable'!#REF!</f>
        <v>#REF!</v>
      </c>
      <c r="AC162" s="56" t="e">
        <f>+'Proyectos Base digitable'!#REF!</f>
        <v>#REF!</v>
      </c>
      <c r="AD162" s="52" t="e">
        <f>+'Proyectos Base digitable'!#REF!</f>
        <v>#REF!</v>
      </c>
      <c r="AE162" s="52" t="e">
        <f>+'Proyectos Base digitable'!#REF!</f>
        <v>#REF!</v>
      </c>
      <c r="AF162" s="52" t="e">
        <f>+'Proyectos Base digitable'!#REF!</f>
        <v>#REF!</v>
      </c>
      <c r="AG162" s="56" t="e">
        <f>+'Proyectos Base digitable'!#REF!</f>
        <v>#REF!</v>
      </c>
      <c r="AH162" s="52" t="e">
        <f>+'Proyectos Base digitable'!#REF!</f>
        <v>#REF!</v>
      </c>
      <c r="AI162" s="52" t="e">
        <f>+'Proyectos Base digitable'!#REF!</f>
        <v>#REF!</v>
      </c>
      <c r="AJ162" s="59" t="e">
        <f>+'Proyectos Base digitable'!#REF!</f>
        <v>#REF!</v>
      </c>
      <c r="AK162" s="186" t="e">
        <f>+'Proyectos Base digitable'!#REF!</f>
        <v>#REF!</v>
      </c>
      <c r="AL162" s="186" t="e">
        <f>+'Proyectos Base digitable'!#REF!</f>
        <v>#REF!</v>
      </c>
      <c r="AM162" s="186" t="e">
        <f>+'Proyectos Base digitable'!#REF!</f>
        <v>#REF!</v>
      </c>
      <c r="AN162" s="186" t="e">
        <f>+'Proyectos Base digitable'!#REF!</f>
        <v>#REF!</v>
      </c>
      <c r="AO162" s="186" t="e">
        <f>+'Proyectos Base digitable'!#REF!</f>
        <v>#REF!</v>
      </c>
      <c r="AP162" s="186" t="e">
        <f>+'Proyectos Base digitable'!#REF!</f>
        <v>#REF!</v>
      </c>
      <c r="AQ162" s="186" t="e">
        <f>+'Proyectos Base digitable'!#REF!</f>
        <v>#REF!</v>
      </c>
      <c r="AR162" s="186" t="e">
        <f>+'Proyectos Base digitable'!#REF!</f>
        <v>#REF!</v>
      </c>
      <c r="AS162" s="186" t="e">
        <f>+'Proyectos Base digitable'!#REF!</f>
        <v>#REF!</v>
      </c>
      <c r="AT162" s="187" t="e">
        <f>+'Proyectos Base digitable'!#REF!</f>
        <v>#REF!</v>
      </c>
      <c r="AU162" s="56" t="e">
        <f>+'Proyectos Base digitable'!#REF!</f>
        <v>#REF!</v>
      </c>
      <c r="AV162" s="56" t="e">
        <f>+'Proyectos Base digitable'!#REF!</f>
        <v>#REF!</v>
      </c>
      <c r="AW162" s="56" t="e">
        <f>+'Proyectos Base digitable'!#REF!</f>
        <v>#REF!</v>
      </c>
      <c r="AX162" s="56" t="e">
        <f>+'Proyectos Base digitable'!#REF!</f>
        <v>#REF!</v>
      </c>
      <c r="AY162" s="56" t="e">
        <f>+'Proyectos Base digitable'!#REF!</f>
        <v>#REF!</v>
      </c>
      <c r="AZ162" s="188" t="e">
        <f>+'Proyectos Base digitable'!#REF!</f>
        <v>#REF!</v>
      </c>
      <c r="BA162" s="188" t="e">
        <f>+'Proyectos Base digitable'!#REF!</f>
        <v>#REF!</v>
      </c>
    </row>
    <row r="163" spans="1:53" ht="12.5">
      <c r="A163" s="60" t="e">
        <f>+'Proyectos Base digitable'!#REF!</f>
        <v>#REF!</v>
      </c>
      <c r="B163" s="56" t="e">
        <f>+'Proyectos Base digitable'!#REF!</f>
        <v>#REF!</v>
      </c>
      <c r="C163" s="56" t="e">
        <f>+'Proyectos Base digitable'!#REF!</f>
        <v>#REF!</v>
      </c>
      <c r="D163" s="56" t="e">
        <f>+'Proyectos Base digitable'!#REF!</f>
        <v>#REF!</v>
      </c>
      <c r="E163" s="56" t="e">
        <f>+'Proyectos Base digitable'!#REF!</f>
        <v>#REF!</v>
      </c>
      <c r="F163" s="56" t="e">
        <f>+'Proyectos Base digitable'!#REF!</f>
        <v>#REF!</v>
      </c>
      <c r="G163" s="57" t="e">
        <f>+'Proyectos Base digitable'!#REF!</f>
        <v>#REF!</v>
      </c>
      <c r="H163" s="56" t="e">
        <f>+'Proyectos Base digitable'!#REF!</f>
        <v>#REF!</v>
      </c>
      <c r="I163" s="56" t="e">
        <f>+'Proyectos Base digitable'!#REF!</f>
        <v>#REF!</v>
      </c>
      <c r="J163" s="56" t="e">
        <f>+'Proyectos Base digitable'!#REF!</f>
        <v>#REF!</v>
      </c>
      <c r="K163" s="56" t="e">
        <f>+'Proyectos Base digitable'!#REF!</f>
        <v>#REF!</v>
      </c>
      <c r="L163" s="56" t="e">
        <f>+'Proyectos Base digitable'!#REF!</f>
        <v>#REF!</v>
      </c>
      <c r="M163" s="56" t="e">
        <f>+'Proyectos Base digitable'!#REF!</f>
        <v>#REF!</v>
      </c>
      <c r="N163" s="52" t="e">
        <f>+'Proyectos Base digitable'!#REF!</f>
        <v>#REF!</v>
      </c>
      <c r="O163" s="52" t="e">
        <f>+'Proyectos Base digitable'!#REF!</f>
        <v>#REF!</v>
      </c>
      <c r="P163" s="185" t="e">
        <f>+'Proyectos Base digitable'!#REF!</f>
        <v>#REF!</v>
      </c>
      <c r="Q163" s="58" t="e">
        <f>+'Proyectos Base digitable'!#REF!</f>
        <v>#REF!</v>
      </c>
      <c r="R163" s="58" t="e">
        <f>+'Proyectos Base digitable'!#REF!</f>
        <v>#REF!</v>
      </c>
      <c r="S163" s="58" t="e">
        <f>+'Proyectos Base digitable'!#REF!</f>
        <v>#REF!</v>
      </c>
      <c r="T163" s="58" t="e">
        <f>+'Proyectos Base digitable'!#REF!</f>
        <v>#REF!</v>
      </c>
      <c r="U163" s="63" t="e">
        <f>'Proyectos Base digitable'!#REF!</f>
        <v>#REF!</v>
      </c>
      <c r="V163" s="63" t="e">
        <f>'Proyectos Base digitable'!#REF!</f>
        <v>#REF!</v>
      </c>
      <c r="W163" s="63" t="e">
        <f>'Proyectos Base digitable'!#REF!</f>
        <v>#REF!</v>
      </c>
      <c r="X163" s="63" t="e">
        <f>'Proyectos Base digitable'!#REF!</f>
        <v>#REF!</v>
      </c>
      <c r="Y163" s="63" t="e">
        <f>'Proyectos Base digitable'!#REF!</f>
        <v>#REF!</v>
      </c>
      <c r="Z163" s="58" t="e">
        <f>+'Proyectos Base digitable'!#REF!</f>
        <v>#REF!</v>
      </c>
      <c r="AA163" s="58" t="e">
        <f>+'Proyectos Base digitable'!#REF!</f>
        <v>#REF!</v>
      </c>
      <c r="AB163" s="63" t="e">
        <f>'Proyectos Base digitable'!#REF!</f>
        <v>#REF!</v>
      </c>
      <c r="AC163" s="56" t="e">
        <f>+'Proyectos Base digitable'!#REF!</f>
        <v>#REF!</v>
      </c>
      <c r="AD163" s="52" t="e">
        <f>+'Proyectos Base digitable'!#REF!</f>
        <v>#REF!</v>
      </c>
      <c r="AE163" s="52" t="e">
        <f>+'Proyectos Base digitable'!#REF!</f>
        <v>#REF!</v>
      </c>
      <c r="AF163" s="52" t="e">
        <f>+'Proyectos Base digitable'!#REF!</f>
        <v>#REF!</v>
      </c>
      <c r="AG163" s="56" t="e">
        <f>+'Proyectos Base digitable'!#REF!</f>
        <v>#REF!</v>
      </c>
      <c r="AH163" s="52" t="e">
        <f>+'Proyectos Base digitable'!#REF!</f>
        <v>#REF!</v>
      </c>
      <c r="AI163" s="52" t="e">
        <f>+'Proyectos Base digitable'!#REF!</f>
        <v>#REF!</v>
      </c>
      <c r="AJ163" s="59" t="e">
        <f>+'Proyectos Base digitable'!#REF!</f>
        <v>#REF!</v>
      </c>
      <c r="AK163" s="186" t="e">
        <f>+'Proyectos Base digitable'!#REF!</f>
        <v>#REF!</v>
      </c>
      <c r="AL163" s="186" t="e">
        <f>+'Proyectos Base digitable'!#REF!</f>
        <v>#REF!</v>
      </c>
      <c r="AM163" s="186" t="e">
        <f>+'Proyectos Base digitable'!#REF!</f>
        <v>#REF!</v>
      </c>
      <c r="AN163" s="186" t="e">
        <f>+'Proyectos Base digitable'!#REF!</f>
        <v>#REF!</v>
      </c>
      <c r="AO163" s="186" t="e">
        <f>+'Proyectos Base digitable'!#REF!</f>
        <v>#REF!</v>
      </c>
      <c r="AP163" s="186" t="e">
        <f>+'Proyectos Base digitable'!#REF!</f>
        <v>#REF!</v>
      </c>
      <c r="AQ163" s="186" t="e">
        <f>+'Proyectos Base digitable'!#REF!</f>
        <v>#REF!</v>
      </c>
      <c r="AR163" s="186" t="e">
        <f>+'Proyectos Base digitable'!#REF!</f>
        <v>#REF!</v>
      </c>
      <c r="AS163" s="186" t="e">
        <f>+'Proyectos Base digitable'!#REF!</f>
        <v>#REF!</v>
      </c>
      <c r="AT163" s="187" t="e">
        <f>+'Proyectos Base digitable'!#REF!</f>
        <v>#REF!</v>
      </c>
      <c r="AU163" s="56" t="e">
        <f>+'Proyectos Base digitable'!#REF!</f>
        <v>#REF!</v>
      </c>
      <c r="AV163" s="56" t="e">
        <f>+'Proyectos Base digitable'!#REF!</f>
        <v>#REF!</v>
      </c>
      <c r="AW163" s="56" t="e">
        <f>+'Proyectos Base digitable'!#REF!</f>
        <v>#REF!</v>
      </c>
      <c r="AX163" s="56" t="e">
        <f>+'Proyectos Base digitable'!#REF!</f>
        <v>#REF!</v>
      </c>
      <c r="AY163" s="56" t="e">
        <f>+'Proyectos Base digitable'!#REF!</f>
        <v>#REF!</v>
      </c>
      <c r="AZ163" s="188" t="e">
        <f>+'Proyectos Base digitable'!#REF!</f>
        <v>#REF!</v>
      </c>
      <c r="BA163" s="188" t="e">
        <f>+'Proyectos Base digitable'!#REF!</f>
        <v>#REF!</v>
      </c>
    </row>
    <row r="164" spans="1:53" ht="12.5">
      <c r="A164" s="60" t="e">
        <f>+'Proyectos Base digitable'!#REF!</f>
        <v>#REF!</v>
      </c>
      <c r="B164" s="56" t="e">
        <f>+'Proyectos Base digitable'!#REF!</f>
        <v>#REF!</v>
      </c>
      <c r="C164" s="56" t="e">
        <f>+'Proyectos Base digitable'!#REF!</f>
        <v>#REF!</v>
      </c>
      <c r="D164" s="56" t="e">
        <f>+'Proyectos Base digitable'!#REF!</f>
        <v>#REF!</v>
      </c>
      <c r="E164" s="56" t="e">
        <f>+'Proyectos Base digitable'!#REF!</f>
        <v>#REF!</v>
      </c>
      <c r="F164" s="56" t="e">
        <f>+'Proyectos Base digitable'!#REF!</f>
        <v>#REF!</v>
      </c>
      <c r="G164" s="57" t="e">
        <f>+'Proyectos Base digitable'!#REF!</f>
        <v>#REF!</v>
      </c>
      <c r="H164" s="56" t="e">
        <f>+'Proyectos Base digitable'!#REF!</f>
        <v>#REF!</v>
      </c>
      <c r="I164" s="56" t="e">
        <f>+'Proyectos Base digitable'!#REF!</f>
        <v>#REF!</v>
      </c>
      <c r="J164" s="56" t="e">
        <f>+'Proyectos Base digitable'!#REF!</f>
        <v>#REF!</v>
      </c>
      <c r="K164" s="56" t="e">
        <f>+'Proyectos Base digitable'!#REF!</f>
        <v>#REF!</v>
      </c>
      <c r="L164" s="56" t="e">
        <f>+'Proyectos Base digitable'!#REF!</f>
        <v>#REF!</v>
      </c>
      <c r="M164" s="56" t="e">
        <f>+'Proyectos Base digitable'!#REF!</f>
        <v>#REF!</v>
      </c>
      <c r="N164" s="52" t="e">
        <f>+'Proyectos Base digitable'!#REF!</f>
        <v>#REF!</v>
      </c>
      <c r="O164" s="52" t="e">
        <f>+'Proyectos Base digitable'!#REF!</f>
        <v>#REF!</v>
      </c>
      <c r="P164" s="185" t="e">
        <f>+'Proyectos Base digitable'!#REF!</f>
        <v>#REF!</v>
      </c>
      <c r="Q164" s="58" t="e">
        <f>+'Proyectos Base digitable'!#REF!</f>
        <v>#REF!</v>
      </c>
      <c r="R164" s="58" t="e">
        <f>+'Proyectos Base digitable'!#REF!</f>
        <v>#REF!</v>
      </c>
      <c r="S164" s="58" t="e">
        <f>+'Proyectos Base digitable'!#REF!</f>
        <v>#REF!</v>
      </c>
      <c r="T164" s="58" t="e">
        <f>+'Proyectos Base digitable'!#REF!</f>
        <v>#REF!</v>
      </c>
      <c r="U164" s="63" t="e">
        <f>'Proyectos Base digitable'!#REF!</f>
        <v>#REF!</v>
      </c>
      <c r="V164" s="63" t="e">
        <f>'Proyectos Base digitable'!#REF!</f>
        <v>#REF!</v>
      </c>
      <c r="W164" s="63" t="e">
        <f>'Proyectos Base digitable'!#REF!</f>
        <v>#REF!</v>
      </c>
      <c r="X164" s="63" t="e">
        <f>'Proyectos Base digitable'!#REF!</f>
        <v>#REF!</v>
      </c>
      <c r="Y164" s="63" t="e">
        <f>'Proyectos Base digitable'!#REF!</f>
        <v>#REF!</v>
      </c>
      <c r="Z164" s="58" t="e">
        <f>+'Proyectos Base digitable'!#REF!</f>
        <v>#REF!</v>
      </c>
      <c r="AA164" s="58" t="e">
        <f>+'Proyectos Base digitable'!#REF!</f>
        <v>#REF!</v>
      </c>
      <c r="AB164" s="63" t="e">
        <f>'Proyectos Base digitable'!#REF!</f>
        <v>#REF!</v>
      </c>
      <c r="AC164" s="56" t="e">
        <f>+'Proyectos Base digitable'!#REF!</f>
        <v>#REF!</v>
      </c>
      <c r="AD164" s="52" t="e">
        <f>+'Proyectos Base digitable'!#REF!</f>
        <v>#REF!</v>
      </c>
      <c r="AE164" s="52" t="e">
        <f>+'Proyectos Base digitable'!#REF!</f>
        <v>#REF!</v>
      </c>
      <c r="AF164" s="52" t="e">
        <f>+'Proyectos Base digitable'!#REF!</f>
        <v>#REF!</v>
      </c>
      <c r="AG164" s="56" t="e">
        <f>+'Proyectos Base digitable'!#REF!</f>
        <v>#REF!</v>
      </c>
      <c r="AH164" s="52" t="e">
        <f>+'Proyectos Base digitable'!#REF!</f>
        <v>#REF!</v>
      </c>
      <c r="AI164" s="52" t="e">
        <f>+'Proyectos Base digitable'!#REF!</f>
        <v>#REF!</v>
      </c>
      <c r="AJ164" s="59" t="e">
        <f>+'Proyectos Base digitable'!#REF!</f>
        <v>#REF!</v>
      </c>
      <c r="AK164" s="186" t="e">
        <f>+'Proyectos Base digitable'!#REF!</f>
        <v>#REF!</v>
      </c>
      <c r="AL164" s="186" t="e">
        <f>+'Proyectos Base digitable'!#REF!</f>
        <v>#REF!</v>
      </c>
      <c r="AM164" s="186" t="e">
        <f>+'Proyectos Base digitable'!#REF!</f>
        <v>#REF!</v>
      </c>
      <c r="AN164" s="186" t="e">
        <f>+'Proyectos Base digitable'!#REF!</f>
        <v>#REF!</v>
      </c>
      <c r="AO164" s="186" t="e">
        <f>+'Proyectos Base digitable'!#REF!</f>
        <v>#REF!</v>
      </c>
      <c r="AP164" s="186" t="e">
        <f>+'Proyectos Base digitable'!#REF!</f>
        <v>#REF!</v>
      </c>
      <c r="AQ164" s="186" t="e">
        <f>+'Proyectos Base digitable'!#REF!</f>
        <v>#REF!</v>
      </c>
      <c r="AR164" s="186" t="e">
        <f>+'Proyectos Base digitable'!#REF!</f>
        <v>#REF!</v>
      </c>
      <c r="AS164" s="186" t="e">
        <f>+'Proyectos Base digitable'!#REF!</f>
        <v>#REF!</v>
      </c>
      <c r="AT164" s="187" t="e">
        <f>+'Proyectos Base digitable'!#REF!</f>
        <v>#REF!</v>
      </c>
      <c r="AU164" s="56" t="e">
        <f>+'Proyectos Base digitable'!#REF!</f>
        <v>#REF!</v>
      </c>
      <c r="AV164" s="56" t="e">
        <f>+'Proyectos Base digitable'!#REF!</f>
        <v>#REF!</v>
      </c>
      <c r="AW164" s="56" t="e">
        <f>+'Proyectos Base digitable'!#REF!</f>
        <v>#REF!</v>
      </c>
      <c r="AX164" s="56" t="e">
        <f>+'Proyectos Base digitable'!#REF!</f>
        <v>#REF!</v>
      </c>
      <c r="AY164" s="56" t="e">
        <f>+'Proyectos Base digitable'!#REF!</f>
        <v>#REF!</v>
      </c>
      <c r="AZ164" s="188" t="e">
        <f>+'Proyectos Base digitable'!#REF!</f>
        <v>#REF!</v>
      </c>
      <c r="BA164" s="188" t="e">
        <f>+'Proyectos Base digitable'!#REF!</f>
        <v>#REF!</v>
      </c>
    </row>
    <row r="165" spans="1:53" ht="12.5">
      <c r="A165" s="60" t="e">
        <f>+'Proyectos Base digitable'!#REF!</f>
        <v>#REF!</v>
      </c>
      <c r="B165" s="56" t="e">
        <f>+'Proyectos Base digitable'!#REF!</f>
        <v>#REF!</v>
      </c>
      <c r="C165" s="56" t="e">
        <f>+'Proyectos Base digitable'!#REF!</f>
        <v>#REF!</v>
      </c>
      <c r="D165" s="56" t="e">
        <f>+'Proyectos Base digitable'!#REF!</f>
        <v>#REF!</v>
      </c>
      <c r="E165" s="56" t="e">
        <f>+'Proyectos Base digitable'!#REF!</f>
        <v>#REF!</v>
      </c>
      <c r="F165" s="56" t="e">
        <f>+'Proyectos Base digitable'!#REF!</f>
        <v>#REF!</v>
      </c>
      <c r="G165" s="57" t="e">
        <f>+'Proyectos Base digitable'!#REF!</f>
        <v>#REF!</v>
      </c>
      <c r="H165" s="56" t="e">
        <f>+'Proyectos Base digitable'!#REF!</f>
        <v>#REF!</v>
      </c>
      <c r="I165" s="56" t="e">
        <f>+'Proyectos Base digitable'!#REF!</f>
        <v>#REF!</v>
      </c>
      <c r="J165" s="56" t="e">
        <f>+'Proyectos Base digitable'!#REF!</f>
        <v>#REF!</v>
      </c>
      <c r="K165" s="56" t="e">
        <f>+'Proyectos Base digitable'!#REF!</f>
        <v>#REF!</v>
      </c>
      <c r="L165" s="56" t="e">
        <f>+'Proyectos Base digitable'!#REF!</f>
        <v>#REF!</v>
      </c>
      <c r="M165" s="56" t="e">
        <f>+'Proyectos Base digitable'!#REF!</f>
        <v>#REF!</v>
      </c>
      <c r="N165" s="52" t="e">
        <f>+'Proyectos Base digitable'!#REF!</f>
        <v>#REF!</v>
      </c>
      <c r="O165" s="52" t="e">
        <f>+'Proyectos Base digitable'!#REF!</f>
        <v>#REF!</v>
      </c>
      <c r="P165" s="185" t="e">
        <f>+'Proyectos Base digitable'!#REF!</f>
        <v>#REF!</v>
      </c>
      <c r="Q165" s="58" t="e">
        <f>+'Proyectos Base digitable'!#REF!</f>
        <v>#REF!</v>
      </c>
      <c r="R165" s="58" t="e">
        <f>+'Proyectos Base digitable'!#REF!</f>
        <v>#REF!</v>
      </c>
      <c r="S165" s="58" t="e">
        <f>+'Proyectos Base digitable'!#REF!</f>
        <v>#REF!</v>
      </c>
      <c r="T165" s="58" t="e">
        <f>+'Proyectos Base digitable'!#REF!</f>
        <v>#REF!</v>
      </c>
      <c r="U165" s="63" t="e">
        <f>'Proyectos Base digitable'!#REF!</f>
        <v>#REF!</v>
      </c>
      <c r="V165" s="63" t="e">
        <f>'Proyectos Base digitable'!#REF!</f>
        <v>#REF!</v>
      </c>
      <c r="W165" s="63" t="e">
        <f>'Proyectos Base digitable'!#REF!</f>
        <v>#REF!</v>
      </c>
      <c r="X165" s="63" t="e">
        <f>'Proyectos Base digitable'!#REF!</f>
        <v>#REF!</v>
      </c>
      <c r="Y165" s="63" t="e">
        <f>'Proyectos Base digitable'!#REF!</f>
        <v>#REF!</v>
      </c>
      <c r="Z165" s="58" t="e">
        <f>+'Proyectos Base digitable'!#REF!</f>
        <v>#REF!</v>
      </c>
      <c r="AA165" s="58" t="e">
        <f>+'Proyectos Base digitable'!#REF!</f>
        <v>#REF!</v>
      </c>
      <c r="AB165" s="63" t="e">
        <f>'Proyectos Base digitable'!#REF!</f>
        <v>#REF!</v>
      </c>
      <c r="AC165" s="56" t="e">
        <f>+'Proyectos Base digitable'!#REF!</f>
        <v>#REF!</v>
      </c>
      <c r="AD165" s="52" t="e">
        <f>+'Proyectos Base digitable'!#REF!</f>
        <v>#REF!</v>
      </c>
      <c r="AE165" s="52" t="e">
        <f>+'Proyectos Base digitable'!#REF!</f>
        <v>#REF!</v>
      </c>
      <c r="AF165" s="52" t="e">
        <f>+'Proyectos Base digitable'!#REF!</f>
        <v>#REF!</v>
      </c>
      <c r="AG165" s="56" t="e">
        <f>+'Proyectos Base digitable'!#REF!</f>
        <v>#REF!</v>
      </c>
      <c r="AH165" s="52" t="e">
        <f>+'Proyectos Base digitable'!#REF!</f>
        <v>#REF!</v>
      </c>
      <c r="AI165" s="52" t="e">
        <f>+'Proyectos Base digitable'!#REF!</f>
        <v>#REF!</v>
      </c>
      <c r="AJ165" s="59" t="e">
        <f>+'Proyectos Base digitable'!#REF!</f>
        <v>#REF!</v>
      </c>
      <c r="AK165" s="186" t="e">
        <f>+'Proyectos Base digitable'!#REF!</f>
        <v>#REF!</v>
      </c>
      <c r="AL165" s="186" t="e">
        <f>+'Proyectos Base digitable'!#REF!</f>
        <v>#REF!</v>
      </c>
      <c r="AM165" s="186" t="e">
        <f>+'Proyectos Base digitable'!#REF!</f>
        <v>#REF!</v>
      </c>
      <c r="AN165" s="186" t="e">
        <f>+'Proyectos Base digitable'!#REF!</f>
        <v>#REF!</v>
      </c>
      <c r="AO165" s="186" t="e">
        <f>+'Proyectos Base digitable'!#REF!</f>
        <v>#REF!</v>
      </c>
      <c r="AP165" s="186" t="e">
        <f>+'Proyectos Base digitable'!#REF!</f>
        <v>#REF!</v>
      </c>
      <c r="AQ165" s="186" t="e">
        <f>+'Proyectos Base digitable'!#REF!</f>
        <v>#REF!</v>
      </c>
      <c r="AR165" s="186" t="e">
        <f>+'Proyectos Base digitable'!#REF!</f>
        <v>#REF!</v>
      </c>
      <c r="AS165" s="186" t="e">
        <f>+'Proyectos Base digitable'!#REF!</f>
        <v>#REF!</v>
      </c>
      <c r="AT165" s="187" t="e">
        <f>+'Proyectos Base digitable'!#REF!</f>
        <v>#REF!</v>
      </c>
      <c r="AU165" s="56" t="e">
        <f>+'Proyectos Base digitable'!#REF!</f>
        <v>#REF!</v>
      </c>
      <c r="AV165" s="56" t="e">
        <f>+'Proyectos Base digitable'!#REF!</f>
        <v>#REF!</v>
      </c>
      <c r="AW165" s="56" t="e">
        <f>+'Proyectos Base digitable'!#REF!</f>
        <v>#REF!</v>
      </c>
      <c r="AX165" s="56" t="e">
        <f>+'Proyectos Base digitable'!#REF!</f>
        <v>#REF!</v>
      </c>
      <c r="AY165" s="56" t="e">
        <f>+'Proyectos Base digitable'!#REF!</f>
        <v>#REF!</v>
      </c>
      <c r="AZ165" s="188" t="e">
        <f>+'Proyectos Base digitable'!#REF!</f>
        <v>#REF!</v>
      </c>
      <c r="BA165" s="188" t="e">
        <f>+'Proyectos Base digitable'!#REF!</f>
        <v>#REF!</v>
      </c>
    </row>
    <row r="166" spans="1:53" ht="12.5">
      <c r="A166" s="60" t="e">
        <f>+'Proyectos Base digitable'!#REF!</f>
        <v>#REF!</v>
      </c>
      <c r="B166" s="56" t="e">
        <f>+'Proyectos Base digitable'!#REF!</f>
        <v>#REF!</v>
      </c>
      <c r="C166" s="56" t="e">
        <f>+'Proyectos Base digitable'!#REF!</f>
        <v>#REF!</v>
      </c>
      <c r="D166" s="56" t="e">
        <f>+'Proyectos Base digitable'!#REF!</f>
        <v>#REF!</v>
      </c>
      <c r="E166" s="56" t="e">
        <f>+'Proyectos Base digitable'!#REF!</f>
        <v>#REF!</v>
      </c>
      <c r="F166" s="56" t="e">
        <f>+'Proyectos Base digitable'!#REF!</f>
        <v>#REF!</v>
      </c>
      <c r="G166" s="57" t="e">
        <f>+'Proyectos Base digitable'!#REF!</f>
        <v>#REF!</v>
      </c>
      <c r="H166" s="56" t="e">
        <f>+'Proyectos Base digitable'!#REF!</f>
        <v>#REF!</v>
      </c>
      <c r="I166" s="56" t="e">
        <f>+'Proyectos Base digitable'!#REF!</f>
        <v>#REF!</v>
      </c>
      <c r="J166" s="56" t="e">
        <f>+'Proyectos Base digitable'!#REF!</f>
        <v>#REF!</v>
      </c>
      <c r="K166" s="56" t="e">
        <f>+'Proyectos Base digitable'!#REF!</f>
        <v>#REF!</v>
      </c>
      <c r="L166" s="56" t="e">
        <f>+'Proyectos Base digitable'!#REF!</f>
        <v>#REF!</v>
      </c>
      <c r="M166" s="56" t="e">
        <f>+'Proyectos Base digitable'!#REF!</f>
        <v>#REF!</v>
      </c>
      <c r="N166" s="52" t="e">
        <f>+'Proyectos Base digitable'!#REF!</f>
        <v>#REF!</v>
      </c>
      <c r="O166" s="52" t="e">
        <f>+'Proyectos Base digitable'!#REF!</f>
        <v>#REF!</v>
      </c>
      <c r="P166" s="185" t="e">
        <f>+'Proyectos Base digitable'!#REF!</f>
        <v>#REF!</v>
      </c>
      <c r="Q166" s="58" t="e">
        <f>+'Proyectos Base digitable'!#REF!</f>
        <v>#REF!</v>
      </c>
      <c r="R166" s="58" t="e">
        <f>+'Proyectos Base digitable'!#REF!</f>
        <v>#REF!</v>
      </c>
      <c r="S166" s="58" t="e">
        <f>+'Proyectos Base digitable'!#REF!</f>
        <v>#REF!</v>
      </c>
      <c r="T166" s="58" t="e">
        <f>+'Proyectos Base digitable'!#REF!</f>
        <v>#REF!</v>
      </c>
      <c r="U166" s="63" t="e">
        <f>'Proyectos Base digitable'!#REF!</f>
        <v>#REF!</v>
      </c>
      <c r="V166" s="63" t="e">
        <f>'Proyectos Base digitable'!#REF!</f>
        <v>#REF!</v>
      </c>
      <c r="W166" s="63" t="e">
        <f>'Proyectos Base digitable'!#REF!</f>
        <v>#REF!</v>
      </c>
      <c r="X166" s="63" t="e">
        <f>'Proyectos Base digitable'!#REF!</f>
        <v>#REF!</v>
      </c>
      <c r="Y166" s="63" t="e">
        <f>'Proyectos Base digitable'!#REF!</f>
        <v>#REF!</v>
      </c>
      <c r="Z166" s="58" t="e">
        <f>+'Proyectos Base digitable'!#REF!</f>
        <v>#REF!</v>
      </c>
      <c r="AA166" s="58" t="e">
        <f>+'Proyectos Base digitable'!#REF!</f>
        <v>#REF!</v>
      </c>
      <c r="AB166" s="63" t="e">
        <f>'Proyectos Base digitable'!#REF!</f>
        <v>#REF!</v>
      </c>
      <c r="AC166" s="56" t="e">
        <f>+'Proyectos Base digitable'!#REF!</f>
        <v>#REF!</v>
      </c>
      <c r="AD166" s="52" t="e">
        <f>+'Proyectos Base digitable'!#REF!</f>
        <v>#REF!</v>
      </c>
      <c r="AE166" s="52" t="e">
        <f>+'Proyectos Base digitable'!#REF!</f>
        <v>#REF!</v>
      </c>
      <c r="AF166" s="52" t="e">
        <f>+'Proyectos Base digitable'!#REF!</f>
        <v>#REF!</v>
      </c>
      <c r="AG166" s="56" t="e">
        <f>+'Proyectos Base digitable'!#REF!</f>
        <v>#REF!</v>
      </c>
      <c r="AH166" s="52" t="e">
        <f>+'Proyectos Base digitable'!#REF!</f>
        <v>#REF!</v>
      </c>
      <c r="AI166" s="52" t="e">
        <f>+'Proyectos Base digitable'!#REF!</f>
        <v>#REF!</v>
      </c>
      <c r="AJ166" s="59" t="e">
        <f>+'Proyectos Base digitable'!#REF!</f>
        <v>#REF!</v>
      </c>
      <c r="AK166" s="186" t="e">
        <f>+'Proyectos Base digitable'!#REF!</f>
        <v>#REF!</v>
      </c>
      <c r="AL166" s="186" t="e">
        <f>+'Proyectos Base digitable'!#REF!</f>
        <v>#REF!</v>
      </c>
      <c r="AM166" s="186" t="e">
        <f>+'Proyectos Base digitable'!#REF!</f>
        <v>#REF!</v>
      </c>
      <c r="AN166" s="186" t="e">
        <f>+'Proyectos Base digitable'!#REF!</f>
        <v>#REF!</v>
      </c>
      <c r="AO166" s="186" t="e">
        <f>+'Proyectos Base digitable'!#REF!</f>
        <v>#REF!</v>
      </c>
      <c r="AP166" s="186" t="e">
        <f>+'Proyectos Base digitable'!#REF!</f>
        <v>#REF!</v>
      </c>
      <c r="AQ166" s="186" t="e">
        <f>+'Proyectos Base digitable'!#REF!</f>
        <v>#REF!</v>
      </c>
      <c r="AR166" s="186" t="e">
        <f>+'Proyectos Base digitable'!#REF!</f>
        <v>#REF!</v>
      </c>
      <c r="AS166" s="186" t="e">
        <f>+'Proyectos Base digitable'!#REF!</f>
        <v>#REF!</v>
      </c>
      <c r="AT166" s="187" t="e">
        <f>+'Proyectos Base digitable'!#REF!</f>
        <v>#REF!</v>
      </c>
      <c r="AU166" s="56" t="e">
        <f>+'Proyectos Base digitable'!#REF!</f>
        <v>#REF!</v>
      </c>
      <c r="AV166" s="56" t="e">
        <f>+'Proyectos Base digitable'!#REF!</f>
        <v>#REF!</v>
      </c>
      <c r="AW166" s="56" t="e">
        <f>+'Proyectos Base digitable'!#REF!</f>
        <v>#REF!</v>
      </c>
      <c r="AX166" s="56" t="e">
        <f>+'Proyectos Base digitable'!#REF!</f>
        <v>#REF!</v>
      </c>
      <c r="AY166" s="56" t="e">
        <f>+'Proyectos Base digitable'!#REF!</f>
        <v>#REF!</v>
      </c>
      <c r="AZ166" s="188" t="e">
        <f>+'Proyectos Base digitable'!#REF!</f>
        <v>#REF!</v>
      </c>
      <c r="BA166" s="188" t="e">
        <f>+'Proyectos Base digitable'!#REF!</f>
        <v>#REF!</v>
      </c>
    </row>
    <row r="167" spans="1:53" ht="12.5">
      <c r="A167" s="60" t="e">
        <f>+'Proyectos Base digitable'!#REF!</f>
        <v>#REF!</v>
      </c>
      <c r="B167" s="56" t="e">
        <f>+'Proyectos Base digitable'!#REF!</f>
        <v>#REF!</v>
      </c>
      <c r="C167" s="56" t="e">
        <f>+'Proyectos Base digitable'!#REF!</f>
        <v>#REF!</v>
      </c>
      <c r="D167" s="56" t="e">
        <f>+'Proyectos Base digitable'!#REF!</f>
        <v>#REF!</v>
      </c>
      <c r="E167" s="56" t="e">
        <f>+'Proyectos Base digitable'!#REF!</f>
        <v>#REF!</v>
      </c>
      <c r="F167" s="56" t="e">
        <f>+'Proyectos Base digitable'!#REF!</f>
        <v>#REF!</v>
      </c>
      <c r="G167" s="57" t="e">
        <f>+'Proyectos Base digitable'!#REF!</f>
        <v>#REF!</v>
      </c>
      <c r="H167" s="56" t="e">
        <f>+'Proyectos Base digitable'!#REF!</f>
        <v>#REF!</v>
      </c>
      <c r="I167" s="56" t="e">
        <f>+'Proyectos Base digitable'!#REF!</f>
        <v>#REF!</v>
      </c>
      <c r="J167" s="56" t="e">
        <f>+'Proyectos Base digitable'!#REF!</f>
        <v>#REF!</v>
      </c>
      <c r="K167" s="56" t="e">
        <f>+'Proyectos Base digitable'!#REF!</f>
        <v>#REF!</v>
      </c>
      <c r="L167" s="56" t="e">
        <f>+'Proyectos Base digitable'!#REF!</f>
        <v>#REF!</v>
      </c>
      <c r="M167" s="56" t="e">
        <f>+'Proyectos Base digitable'!#REF!</f>
        <v>#REF!</v>
      </c>
      <c r="N167" s="52" t="e">
        <f>+'Proyectos Base digitable'!#REF!</f>
        <v>#REF!</v>
      </c>
      <c r="O167" s="52" t="e">
        <f>+'Proyectos Base digitable'!#REF!</f>
        <v>#REF!</v>
      </c>
      <c r="P167" s="185" t="e">
        <f>+'Proyectos Base digitable'!#REF!</f>
        <v>#REF!</v>
      </c>
      <c r="Q167" s="58" t="e">
        <f>+'Proyectos Base digitable'!#REF!</f>
        <v>#REF!</v>
      </c>
      <c r="R167" s="58" t="e">
        <f>+'Proyectos Base digitable'!#REF!</f>
        <v>#REF!</v>
      </c>
      <c r="S167" s="58" t="e">
        <f>+'Proyectos Base digitable'!#REF!</f>
        <v>#REF!</v>
      </c>
      <c r="T167" s="58" t="e">
        <f>+'Proyectos Base digitable'!#REF!</f>
        <v>#REF!</v>
      </c>
      <c r="U167" s="63" t="e">
        <f>'Proyectos Base digitable'!#REF!</f>
        <v>#REF!</v>
      </c>
      <c r="V167" s="63" t="e">
        <f>'Proyectos Base digitable'!#REF!</f>
        <v>#REF!</v>
      </c>
      <c r="W167" s="63" t="e">
        <f>'Proyectos Base digitable'!#REF!</f>
        <v>#REF!</v>
      </c>
      <c r="X167" s="63" t="e">
        <f>'Proyectos Base digitable'!#REF!</f>
        <v>#REF!</v>
      </c>
      <c r="Y167" s="63" t="e">
        <f>'Proyectos Base digitable'!#REF!</f>
        <v>#REF!</v>
      </c>
      <c r="Z167" s="58" t="e">
        <f>+'Proyectos Base digitable'!#REF!</f>
        <v>#REF!</v>
      </c>
      <c r="AA167" s="58" t="e">
        <f>+'Proyectos Base digitable'!#REF!</f>
        <v>#REF!</v>
      </c>
      <c r="AB167" s="63" t="e">
        <f>'Proyectos Base digitable'!#REF!</f>
        <v>#REF!</v>
      </c>
      <c r="AC167" s="56" t="e">
        <f>+'Proyectos Base digitable'!#REF!</f>
        <v>#REF!</v>
      </c>
      <c r="AD167" s="52" t="e">
        <f>+'Proyectos Base digitable'!#REF!</f>
        <v>#REF!</v>
      </c>
      <c r="AE167" s="52" t="e">
        <f>+'Proyectos Base digitable'!#REF!</f>
        <v>#REF!</v>
      </c>
      <c r="AF167" s="52" t="e">
        <f>+'Proyectos Base digitable'!#REF!</f>
        <v>#REF!</v>
      </c>
      <c r="AG167" s="56" t="e">
        <f>+'Proyectos Base digitable'!#REF!</f>
        <v>#REF!</v>
      </c>
      <c r="AH167" s="52" t="e">
        <f>+'Proyectos Base digitable'!#REF!</f>
        <v>#REF!</v>
      </c>
      <c r="AI167" s="52" t="e">
        <f>+'Proyectos Base digitable'!#REF!</f>
        <v>#REF!</v>
      </c>
      <c r="AJ167" s="59" t="e">
        <f>+'Proyectos Base digitable'!#REF!</f>
        <v>#REF!</v>
      </c>
      <c r="AK167" s="186" t="e">
        <f>+'Proyectos Base digitable'!#REF!</f>
        <v>#REF!</v>
      </c>
      <c r="AL167" s="186" t="e">
        <f>+'Proyectos Base digitable'!#REF!</f>
        <v>#REF!</v>
      </c>
      <c r="AM167" s="186" t="e">
        <f>+'Proyectos Base digitable'!#REF!</f>
        <v>#REF!</v>
      </c>
      <c r="AN167" s="186" t="e">
        <f>+'Proyectos Base digitable'!#REF!</f>
        <v>#REF!</v>
      </c>
      <c r="AO167" s="186" t="e">
        <f>+'Proyectos Base digitable'!#REF!</f>
        <v>#REF!</v>
      </c>
      <c r="AP167" s="186" t="e">
        <f>+'Proyectos Base digitable'!#REF!</f>
        <v>#REF!</v>
      </c>
      <c r="AQ167" s="186" t="e">
        <f>+'Proyectos Base digitable'!#REF!</f>
        <v>#REF!</v>
      </c>
      <c r="AR167" s="186" t="e">
        <f>+'Proyectos Base digitable'!#REF!</f>
        <v>#REF!</v>
      </c>
      <c r="AS167" s="186" t="e">
        <f>+'Proyectos Base digitable'!#REF!</f>
        <v>#REF!</v>
      </c>
      <c r="AT167" s="187" t="e">
        <f>+'Proyectos Base digitable'!#REF!</f>
        <v>#REF!</v>
      </c>
      <c r="AU167" s="56" t="e">
        <f>+'Proyectos Base digitable'!#REF!</f>
        <v>#REF!</v>
      </c>
      <c r="AV167" s="56" t="e">
        <f>+'Proyectos Base digitable'!#REF!</f>
        <v>#REF!</v>
      </c>
      <c r="AW167" s="56" t="e">
        <f>+'Proyectos Base digitable'!#REF!</f>
        <v>#REF!</v>
      </c>
      <c r="AX167" s="56" t="e">
        <f>+'Proyectos Base digitable'!#REF!</f>
        <v>#REF!</v>
      </c>
      <c r="AY167" s="56" t="e">
        <f>+'Proyectos Base digitable'!#REF!</f>
        <v>#REF!</v>
      </c>
      <c r="AZ167" s="188" t="e">
        <f>+'Proyectos Base digitable'!#REF!</f>
        <v>#REF!</v>
      </c>
      <c r="BA167" s="188" t="e">
        <f>+'Proyectos Base digitable'!#REF!</f>
        <v>#REF!</v>
      </c>
    </row>
    <row r="168" spans="1:53" ht="12.5">
      <c r="A168" s="60" t="e">
        <f>+'Proyectos Base digitable'!#REF!</f>
        <v>#REF!</v>
      </c>
      <c r="B168" s="56" t="e">
        <f>+'Proyectos Base digitable'!#REF!</f>
        <v>#REF!</v>
      </c>
      <c r="C168" s="56" t="e">
        <f>+'Proyectos Base digitable'!#REF!</f>
        <v>#REF!</v>
      </c>
      <c r="D168" s="56" t="e">
        <f>+'Proyectos Base digitable'!#REF!</f>
        <v>#REF!</v>
      </c>
      <c r="E168" s="56" t="e">
        <f>+'Proyectos Base digitable'!#REF!</f>
        <v>#REF!</v>
      </c>
      <c r="F168" s="56" t="e">
        <f>+'Proyectos Base digitable'!#REF!</f>
        <v>#REF!</v>
      </c>
      <c r="G168" s="57" t="e">
        <f>+'Proyectos Base digitable'!#REF!</f>
        <v>#REF!</v>
      </c>
      <c r="H168" s="56" t="e">
        <f>+'Proyectos Base digitable'!#REF!</f>
        <v>#REF!</v>
      </c>
      <c r="I168" s="56" t="e">
        <f>+'Proyectos Base digitable'!#REF!</f>
        <v>#REF!</v>
      </c>
      <c r="J168" s="56" t="e">
        <f>+'Proyectos Base digitable'!#REF!</f>
        <v>#REF!</v>
      </c>
      <c r="K168" s="56" t="e">
        <f>+'Proyectos Base digitable'!#REF!</f>
        <v>#REF!</v>
      </c>
      <c r="L168" s="56" t="e">
        <f>+'Proyectos Base digitable'!#REF!</f>
        <v>#REF!</v>
      </c>
      <c r="M168" s="56" t="e">
        <f>+'Proyectos Base digitable'!#REF!</f>
        <v>#REF!</v>
      </c>
      <c r="N168" s="52" t="e">
        <f>+'Proyectos Base digitable'!#REF!</f>
        <v>#REF!</v>
      </c>
      <c r="O168" s="52" t="e">
        <f>+'Proyectos Base digitable'!#REF!</f>
        <v>#REF!</v>
      </c>
      <c r="P168" s="185" t="e">
        <f>+'Proyectos Base digitable'!#REF!</f>
        <v>#REF!</v>
      </c>
      <c r="Q168" s="58" t="e">
        <f>+'Proyectos Base digitable'!#REF!</f>
        <v>#REF!</v>
      </c>
      <c r="R168" s="58" t="e">
        <f>+'Proyectos Base digitable'!#REF!</f>
        <v>#REF!</v>
      </c>
      <c r="S168" s="58" t="e">
        <f>+'Proyectos Base digitable'!#REF!</f>
        <v>#REF!</v>
      </c>
      <c r="T168" s="58" t="e">
        <f>+'Proyectos Base digitable'!#REF!</f>
        <v>#REF!</v>
      </c>
      <c r="U168" s="63" t="e">
        <f>'Proyectos Base digitable'!#REF!</f>
        <v>#REF!</v>
      </c>
      <c r="V168" s="63" t="e">
        <f>'Proyectos Base digitable'!#REF!</f>
        <v>#REF!</v>
      </c>
      <c r="W168" s="63" t="e">
        <f>'Proyectos Base digitable'!#REF!</f>
        <v>#REF!</v>
      </c>
      <c r="X168" s="63" t="e">
        <f>'Proyectos Base digitable'!#REF!</f>
        <v>#REF!</v>
      </c>
      <c r="Y168" s="63" t="e">
        <f>'Proyectos Base digitable'!#REF!</f>
        <v>#REF!</v>
      </c>
      <c r="Z168" s="58" t="e">
        <f>+'Proyectos Base digitable'!#REF!</f>
        <v>#REF!</v>
      </c>
      <c r="AA168" s="58" t="e">
        <f>+'Proyectos Base digitable'!#REF!</f>
        <v>#REF!</v>
      </c>
      <c r="AB168" s="63" t="e">
        <f>'Proyectos Base digitable'!#REF!</f>
        <v>#REF!</v>
      </c>
      <c r="AC168" s="56" t="e">
        <f>+'Proyectos Base digitable'!#REF!</f>
        <v>#REF!</v>
      </c>
      <c r="AD168" s="52" t="e">
        <f>+'Proyectos Base digitable'!#REF!</f>
        <v>#REF!</v>
      </c>
      <c r="AE168" s="52" t="e">
        <f>+'Proyectos Base digitable'!#REF!</f>
        <v>#REF!</v>
      </c>
      <c r="AF168" s="52" t="e">
        <f>+'Proyectos Base digitable'!#REF!</f>
        <v>#REF!</v>
      </c>
      <c r="AG168" s="56" t="e">
        <f>+'Proyectos Base digitable'!#REF!</f>
        <v>#REF!</v>
      </c>
      <c r="AH168" s="52" t="e">
        <f>+'Proyectos Base digitable'!#REF!</f>
        <v>#REF!</v>
      </c>
      <c r="AI168" s="52" t="e">
        <f>+'Proyectos Base digitable'!#REF!</f>
        <v>#REF!</v>
      </c>
      <c r="AJ168" s="59" t="e">
        <f>+'Proyectos Base digitable'!#REF!</f>
        <v>#REF!</v>
      </c>
      <c r="AK168" s="186" t="e">
        <f>+'Proyectos Base digitable'!#REF!</f>
        <v>#REF!</v>
      </c>
      <c r="AL168" s="186" t="e">
        <f>+'Proyectos Base digitable'!#REF!</f>
        <v>#REF!</v>
      </c>
      <c r="AM168" s="186" t="e">
        <f>+'Proyectos Base digitable'!#REF!</f>
        <v>#REF!</v>
      </c>
      <c r="AN168" s="186" t="e">
        <f>+'Proyectos Base digitable'!#REF!</f>
        <v>#REF!</v>
      </c>
      <c r="AO168" s="186" t="e">
        <f>+'Proyectos Base digitable'!#REF!</f>
        <v>#REF!</v>
      </c>
      <c r="AP168" s="186" t="e">
        <f>+'Proyectos Base digitable'!#REF!</f>
        <v>#REF!</v>
      </c>
      <c r="AQ168" s="186" t="e">
        <f>+'Proyectos Base digitable'!#REF!</f>
        <v>#REF!</v>
      </c>
      <c r="AR168" s="186" t="e">
        <f>+'Proyectos Base digitable'!#REF!</f>
        <v>#REF!</v>
      </c>
      <c r="AS168" s="186" t="e">
        <f>+'Proyectos Base digitable'!#REF!</f>
        <v>#REF!</v>
      </c>
      <c r="AT168" s="187" t="e">
        <f>+'Proyectos Base digitable'!#REF!</f>
        <v>#REF!</v>
      </c>
      <c r="AU168" s="56" t="e">
        <f>+'Proyectos Base digitable'!#REF!</f>
        <v>#REF!</v>
      </c>
      <c r="AV168" s="56" t="e">
        <f>+'Proyectos Base digitable'!#REF!</f>
        <v>#REF!</v>
      </c>
      <c r="AW168" s="56" t="e">
        <f>+'Proyectos Base digitable'!#REF!</f>
        <v>#REF!</v>
      </c>
      <c r="AX168" s="56" t="e">
        <f>+'Proyectos Base digitable'!#REF!</f>
        <v>#REF!</v>
      </c>
      <c r="AY168" s="56" t="e">
        <f>+'Proyectos Base digitable'!#REF!</f>
        <v>#REF!</v>
      </c>
      <c r="AZ168" s="188" t="e">
        <f>+'Proyectos Base digitable'!#REF!</f>
        <v>#REF!</v>
      </c>
      <c r="BA168" s="188" t="e">
        <f>+'Proyectos Base digitable'!#REF!</f>
        <v>#REF!</v>
      </c>
    </row>
    <row r="169" spans="1:53" ht="12.5">
      <c r="A169" s="60" t="e">
        <f>+'Proyectos Base digitable'!#REF!</f>
        <v>#REF!</v>
      </c>
      <c r="B169" s="56" t="e">
        <f>+'Proyectos Base digitable'!#REF!</f>
        <v>#REF!</v>
      </c>
      <c r="C169" s="56" t="e">
        <f>+'Proyectos Base digitable'!#REF!</f>
        <v>#REF!</v>
      </c>
      <c r="D169" s="56" t="e">
        <f>+'Proyectos Base digitable'!#REF!</f>
        <v>#REF!</v>
      </c>
      <c r="E169" s="56" t="e">
        <f>+'Proyectos Base digitable'!#REF!</f>
        <v>#REF!</v>
      </c>
      <c r="F169" s="56" t="e">
        <f>+'Proyectos Base digitable'!#REF!</f>
        <v>#REF!</v>
      </c>
      <c r="G169" s="57" t="e">
        <f>+'Proyectos Base digitable'!#REF!</f>
        <v>#REF!</v>
      </c>
      <c r="H169" s="56" t="e">
        <f>+'Proyectos Base digitable'!#REF!</f>
        <v>#REF!</v>
      </c>
      <c r="I169" s="56" t="e">
        <f>+'Proyectos Base digitable'!#REF!</f>
        <v>#REF!</v>
      </c>
      <c r="J169" s="56" t="e">
        <f>+'Proyectos Base digitable'!#REF!</f>
        <v>#REF!</v>
      </c>
      <c r="K169" s="56" t="e">
        <f>+'Proyectos Base digitable'!#REF!</f>
        <v>#REF!</v>
      </c>
      <c r="L169" s="56" t="e">
        <f>+'Proyectos Base digitable'!#REF!</f>
        <v>#REF!</v>
      </c>
      <c r="M169" s="56" t="e">
        <f>+'Proyectos Base digitable'!#REF!</f>
        <v>#REF!</v>
      </c>
      <c r="N169" s="52" t="e">
        <f>+'Proyectos Base digitable'!#REF!</f>
        <v>#REF!</v>
      </c>
      <c r="O169" s="52" t="e">
        <f>+'Proyectos Base digitable'!#REF!</f>
        <v>#REF!</v>
      </c>
      <c r="P169" s="185" t="e">
        <f>+'Proyectos Base digitable'!#REF!</f>
        <v>#REF!</v>
      </c>
      <c r="Q169" s="58" t="e">
        <f>+'Proyectos Base digitable'!#REF!</f>
        <v>#REF!</v>
      </c>
      <c r="R169" s="58" t="e">
        <f>+'Proyectos Base digitable'!#REF!</f>
        <v>#REF!</v>
      </c>
      <c r="S169" s="58" t="e">
        <f>+'Proyectos Base digitable'!#REF!</f>
        <v>#REF!</v>
      </c>
      <c r="T169" s="58" t="e">
        <f>+'Proyectos Base digitable'!#REF!</f>
        <v>#REF!</v>
      </c>
      <c r="U169" s="63" t="e">
        <f>'Proyectos Base digitable'!#REF!</f>
        <v>#REF!</v>
      </c>
      <c r="V169" s="63" t="e">
        <f>'Proyectos Base digitable'!#REF!</f>
        <v>#REF!</v>
      </c>
      <c r="W169" s="63" t="e">
        <f>'Proyectos Base digitable'!#REF!</f>
        <v>#REF!</v>
      </c>
      <c r="X169" s="63" t="e">
        <f>'Proyectos Base digitable'!#REF!</f>
        <v>#REF!</v>
      </c>
      <c r="Y169" s="63" t="e">
        <f>'Proyectos Base digitable'!#REF!</f>
        <v>#REF!</v>
      </c>
      <c r="Z169" s="58" t="e">
        <f>+'Proyectos Base digitable'!#REF!</f>
        <v>#REF!</v>
      </c>
      <c r="AA169" s="58" t="e">
        <f>+'Proyectos Base digitable'!#REF!</f>
        <v>#REF!</v>
      </c>
      <c r="AB169" s="63" t="e">
        <f>'Proyectos Base digitable'!#REF!</f>
        <v>#REF!</v>
      </c>
      <c r="AC169" s="56" t="e">
        <f>+'Proyectos Base digitable'!#REF!</f>
        <v>#REF!</v>
      </c>
      <c r="AD169" s="52" t="e">
        <f>+'Proyectos Base digitable'!#REF!</f>
        <v>#REF!</v>
      </c>
      <c r="AE169" s="52" t="e">
        <f>+'Proyectos Base digitable'!#REF!</f>
        <v>#REF!</v>
      </c>
      <c r="AF169" s="52" t="e">
        <f>+'Proyectos Base digitable'!#REF!</f>
        <v>#REF!</v>
      </c>
      <c r="AG169" s="56" t="e">
        <f>+'Proyectos Base digitable'!#REF!</f>
        <v>#REF!</v>
      </c>
      <c r="AH169" s="52" t="e">
        <f>+'Proyectos Base digitable'!#REF!</f>
        <v>#REF!</v>
      </c>
      <c r="AI169" s="52" t="e">
        <f>+'Proyectos Base digitable'!#REF!</f>
        <v>#REF!</v>
      </c>
      <c r="AJ169" s="59" t="e">
        <f>+'Proyectos Base digitable'!#REF!</f>
        <v>#REF!</v>
      </c>
      <c r="AK169" s="186" t="e">
        <f>+'Proyectos Base digitable'!#REF!</f>
        <v>#REF!</v>
      </c>
      <c r="AL169" s="186" t="e">
        <f>+'Proyectos Base digitable'!#REF!</f>
        <v>#REF!</v>
      </c>
      <c r="AM169" s="186" t="e">
        <f>+'Proyectos Base digitable'!#REF!</f>
        <v>#REF!</v>
      </c>
      <c r="AN169" s="186" t="e">
        <f>+'Proyectos Base digitable'!#REF!</f>
        <v>#REF!</v>
      </c>
      <c r="AO169" s="186" t="e">
        <f>+'Proyectos Base digitable'!#REF!</f>
        <v>#REF!</v>
      </c>
      <c r="AP169" s="186" t="e">
        <f>+'Proyectos Base digitable'!#REF!</f>
        <v>#REF!</v>
      </c>
      <c r="AQ169" s="186" t="e">
        <f>+'Proyectos Base digitable'!#REF!</f>
        <v>#REF!</v>
      </c>
      <c r="AR169" s="186" t="e">
        <f>+'Proyectos Base digitable'!#REF!</f>
        <v>#REF!</v>
      </c>
      <c r="AS169" s="186" t="e">
        <f>+'Proyectos Base digitable'!#REF!</f>
        <v>#REF!</v>
      </c>
      <c r="AT169" s="187" t="e">
        <f>+'Proyectos Base digitable'!#REF!</f>
        <v>#REF!</v>
      </c>
      <c r="AU169" s="56" t="e">
        <f>+'Proyectos Base digitable'!#REF!</f>
        <v>#REF!</v>
      </c>
      <c r="AV169" s="56" t="e">
        <f>+'Proyectos Base digitable'!#REF!</f>
        <v>#REF!</v>
      </c>
      <c r="AW169" s="56" t="e">
        <f>+'Proyectos Base digitable'!#REF!</f>
        <v>#REF!</v>
      </c>
      <c r="AX169" s="56" t="e">
        <f>+'Proyectos Base digitable'!#REF!</f>
        <v>#REF!</v>
      </c>
      <c r="AY169" s="56" t="e">
        <f>+'Proyectos Base digitable'!#REF!</f>
        <v>#REF!</v>
      </c>
      <c r="AZ169" s="188" t="e">
        <f>+'Proyectos Base digitable'!#REF!</f>
        <v>#REF!</v>
      </c>
      <c r="BA169" s="188" t="e">
        <f>+'Proyectos Base digitable'!#REF!</f>
        <v>#REF!</v>
      </c>
    </row>
    <row r="170" spans="1:53" ht="12.5">
      <c r="A170" s="60" t="e">
        <f>+'Proyectos Base digitable'!#REF!</f>
        <v>#REF!</v>
      </c>
      <c r="B170" s="56" t="e">
        <f>+'Proyectos Base digitable'!#REF!</f>
        <v>#REF!</v>
      </c>
      <c r="C170" s="56" t="e">
        <f>+'Proyectos Base digitable'!#REF!</f>
        <v>#REF!</v>
      </c>
      <c r="D170" s="56" t="e">
        <f>+'Proyectos Base digitable'!#REF!</f>
        <v>#REF!</v>
      </c>
      <c r="E170" s="56" t="e">
        <f>+'Proyectos Base digitable'!#REF!</f>
        <v>#REF!</v>
      </c>
      <c r="F170" s="56" t="e">
        <f>+'Proyectos Base digitable'!#REF!</f>
        <v>#REF!</v>
      </c>
      <c r="G170" s="57" t="e">
        <f>+'Proyectos Base digitable'!#REF!</f>
        <v>#REF!</v>
      </c>
      <c r="H170" s="56" t="e">
        <f>+'Proyectos Base digitable'!#REF!</f>
        <v>#REF!</v>
      </c>
      <c r="I170" s="56" t="e">
        <f>+'Proyectos Base digitable'!#REF!</f>
        <v>#REF!</v>
      </c>
      <c r="J170" s="56" t="e">
        <f>+'Proyectos Base digitable'!#REF!</f>
        <v>#REF!</v>
      </c>
      <c r="K170" s="56" t="e">
        <f>+'Proyectos Base digitable'!#REF!</f>
        <v>#REF!</v>
      </c>
      <c r="L170" s="56" t="e">
        <f>+'Proyectos Base digitable'!#REF!</f>
        <v>#REF!</v>
      </c>
      <c r="M170" s="56" t="e">
        <f>+'Proyectos Base digitable'!#REF!</f>
        <v>#REF!</v>
      </c>
      <c r="N170" s="52" t="e">
        <f>+'Proyectos Base digitable'!#REF!</f>
        <v>#REF!</v>
      </c>
      <c r="O170" s="52" t="e">
        <f>+'Proyectos Base digitable'!#REF!</f>
        <v>#REF!</v>
      </c>
      <c r="P170" s="185" t="e">
        <f>+'Proyectos Base digitable'!#REF!</f>
        <v>#REF!</v>
      </c>
      <c r="Q170" s="58" t="e">
        <f>+'Proyectos Base digitable'!#REF!</f>
        <v>#REF!</v>
      </c>
      <c r="R170" s="58" t="e">
        <f>+'Proyectos Base digitable'!#REF!</f>
        <v>#REF!</v>
      </c>
      <c r="S170" s="58" t="e">
        <f>+'Proyectos Base digitable'!#REF!</f>
        <v>#REF!</v>
      </c>
      <c r="T170" s="58" t="e">
        <f>+'Proyectos Base digitable'!#REF!</f>
        <v>#REF!</v>
      </c>
      <c r="U170" s="63" t="e">
        <f>'Proyectos Base digitable'!#REF!</f>
        <v>#REF!</v>
      </c>
      <c r="V170" s="63" t="e">
        <f>'Proyectos Base digitable'!#REF!</f>
        <v>#REF!</v>
      </c>
      <c r="W170" s="63" t="e">
        <f>'Proyectos Base digitable'!#REF!</f>
        <v>#REF!</v>
      </c>
      <c r="X170" s="63" t="e">
        <f>'Proyectos Base digitable'!#REF!</f>
        <v>#REF!</v>
      </c>
      <c r="Y170" s="63" t="e">
        <f>'Proyectos Base digitable'!#REF!</f>
        <v>#REF!</v>
      </c>
      <c r="Z170" s="58" t="e">
        <f>+'Proyectos Base digitable'!#REF!</f>
        <v>#REF!</v>
      </c>
      <c r="AA170" s="58" t="e">
        <f>+'Proyectos Base digitable'!#REF!</f>
        <v>#REF!</v>
      </c>
      <c r="AB170" s="63" t="e">
        <f>'Proyectos Base digitable'!#REF!</f>
        <v>#REF!</v>
      </c>
      <c r="AC170" s="56" t="e">
        <f>+'Proyectos Base digitable'!#REF!</f>
        <v>#REF!</v>
      </c>
      <c r="AD170" s="52" t="e">
        <f>+'Proyectos Base digitable'!#REF!</f>
        <v>#REF!</v>
      </c>
      <c r="AE170" s="52" t="e">
        <f>+'Proyectos Base digitable'!#REF!</f>
        <v>#REF!</v>
      </c>
      <c r="AF170" s="52" t="e">
        <f>+'Proyectos Base digitable'!#REF!</f>
        <v>#REF!</v>
      </c>
      <c r="AG170" s="56" t="e">
        <f>+'Proyectos Base digitable'!#REF!</f>
        <v>#REF!</v>
      </c>
      <c r="AH170" s="52" t="e">
        <f>+'Proyectos Base digitable'!#REF!</f>
        <v>#REF!</v>
      </c>
      <c r="AI170" s="52" t="e">
        <f>+'Proyectos Base digitable'!#REF!</f>
        <v>#REF!</v>
      </c>
      <c r="AJ170" s="59" t="e">
        <f>+'Proyectos Base digitable'!#REF!</f>
        <v>#REF!</v>
      </c>
      <c r="AK170" s="186" t="e">
        <f>+'Proyectos Base digitable'!#REF!</f>
        <v>#REF!</v>
      </c>
      <c r="AL170" s="186" t="e">
        <f>+'Proyectos Base digitable'!#REF!</f>
        <v>#REF!</v>
      </c>
      <c r="AM170" s="186" t="e">
        <f>+'Proyectos Base digitable'!#REF!</f>
        <v>#REF!</v>
      </c>
      <c r="AN170" s="186" t="e">
        <f>+'Proyectos Base digitable'!#REF!</f>
        <v>#REF!</v>
      </c>
      <c r="AO170" s="186" t="e">
        <f>+'Proyectos Base digitable'!#REF!</f>
        <v>#REF!</v>
      </c>
      <c r="AP170" s="186" t="e">
        <f>+'Proyectos Base digitable'!#REF!</f>
        <v>#REF!</v>
      </c>
      <c r="AQ170" s="186" t="e">
        <f>+'Proyectos Base digitable'!#REF!</f>
        <v>#REF!</v>
      </c>
      <c r="AR170" s="186" t="e">
        <f>+'Proyectos Base digitable'!#REF!</f>
        <v>#REF!</v>
      </c>
      <c r="AS170" s="186" t="e">
        <f>+'Proyectos Base digitable'!#REF!</f>
        <v>#REF!</v>
      </c>
      <c r="AT170" s="187" t="e">
        <f>+'Proyectos Base digitable'!#REF!</f>
        <v>#REF!</v>
      </c>
      <c r="AU170" s="56" t="e">
        <f>+'Proyectos Base digitable'!#REF!</f>
        <v>#REF!</v>
      </c>
      <c r="AV170" s="56" t="e">
        <f>+'Proyectos Base digitable'!#REF!</f>
        <v>#REF!</v>
      </c>
      <c r="AW170" s="56" t="e">
        <f>+'Proyectos Base digitable'!#REF!</f>
        <v>#REF!</v>
      </c>
      <c r="AX170" s="56" t="e">
        <f>+'Proyectos Base digitable'!#REF!</f>
        <v>#REF!</v>
      </c>
      <c r="AY170" s="56" t="e">
        <f>+'Proyectos Base digitable'!#REF!</f>
        <v>#REF!</v>
      </c>
      <c r="AZ170" s="188" t="e">
        <f>+'Proyectos Base digitable'!#REF!</f>
        <v>#REF!</v>
      </c>
      <c r="BA170" s="188" t="e">
        <f>+'Proyectos Base digitable'!#REF!</f>
        <v>#REF!</v>
      </c>
    </row>
    <row r="171" spans="1:53" ht="12.5">
      <c r="A171" s="60" t="e">
        <f>+'Proyectos Base digitable'!#REF!</f>
        <v>#REF!</v>
      </c>
      <c r="B171" s="56" t="e">
        <f>+'Proyectos Base digitable'!#REF!</f>
        <v>#REF!</v>
      </c>
      <c r="C171" s="56" t="e">
        <f>+'Proyectos Base digitable'!#REF!</f>
        <v>#REF!</v>
      </c>
      <c r="D171" s="56" t="e">
        <f>+'Proyectos Base digitable'!#REF!</f>
        <v>#REF!</v>
      </c>
      <c r="E171" s="56" t="e">
        <f>+'Proyectos Base digitable'!#REF!</f>
        <v>#REF!</v>
      </c>
      <c r="F171" s="56" t="e">
        <f>+'Proyectos Base digitable'!#REF!</f>
        <v>#REF!</v>
      </c>
      <c r="G171" s="57" t="e">
        <f>+'Proyectos Base digitable'!#REF!</f>
        <v>#REF!</v>
      </c>
      <c r="H171" s="56" t="e">
        <f>+'Proyectos Base digitable'!#REF!</f>
        <v>#REF!</v>
      </c>
      <c r="I171" s="56" t="e">
        <f>+'Proyectos Base digitable'!#REF!</f>
        <v>#REF!</v>
      </c>
      <c r="J171" s="56" t="e">
        <f>+'Proyectos Base digitable'!#REF!</f>
        <v>#REF!</v>
      </c>
      <c r="K171" s="56" t="e">
        <f>+'Proyectos Base digitable'!#REF!</f>
        <v>#REF!</v>
      </c>
      <c r="L171" s="56" t="e">
        <f>+'Proyectos Base digitable'!#REF!</f>
        <v>#REF!</v>
      </c>
      <c r="M171" s="56" t="e">
        <f>+'Proyectos Base digitable'!#REF!</f>
        <v>#REF!</v>
      </c>
      <c r="N171" s="52" t="e">
        <f>+'Proyectos Base digitable'!#REF!</f>
        <v>#REF!</v>
      </c>
      <c r="O171" s="52" t="e">
        <f>+'Proyectos Base digitable'!#REF!</f>
        <v>#REF!</v>
      </c>
      <c r="P171" s="185" t="e">
        <f>+'Proyectos Base digitable'!#REF!</f>
        <v>#REF!</v>
      </c>
      <c r="Q171" s="58" t="e">
        <f>+'Proyectos Base digitable'!#REF!</f>
        <v>#REF!</v>
      </c>
      <c r="R171" s="58" t="e">
        <f>+'Proyectos Base digitable'!#REF!</f>
        <v>#REF!</v>
      </c>
      <c r="S171" s="58" t="e">
        <f>+'Proyectos Base digitable'!#REF!</f>
        <v>#REF!</v>
      </c>
      <c r="T171" s="58" t="e">
        <f>+'Proyectos Base digitable'!#REF!</f>
        <v>#REF!</v>
      </c>
      <c r="U171" s="63" t="e">
        <f>'Proyectos Base digitable'!#REF!</f>
        <v>#REF!</v>
      </c>
      <c r="V171" s="63" t="e">
        <f>'Proyectos Base digitable'!#REF!</f>
        <v>#REF!</v>
      </c>
      <c r="W171" s="63" t="e">
        <f>'Proyectos Base digitable'!#REF!</f>
        <v>#REF!</v>
      </c>
      <c r="X171" s="63" t="e">
        <f>'Proyectos Base digitable'!#REF!</f>
        <v>#REF!</v>
      </c>
      <c r="Y171" s="63" t="e">
        <f>'Proyectos Base digitable'!#REF!</f>
        <v>#REF!</v>
      </c>
      <c r="Z171" s="58" t="e">
        <f>+'Proyectos Base digitable'!#REF!</f>
        <v>#REF!</v>
      </c>
      <c r="AA171" s="58" t="e">
        <f>+'Proyectos Base digitable'!#REF!</f>
        <v>#REF!</v>
      </c>
      <c r="AB171" s="63" t="e">
        <f>'Proyectos Base digitable'!#REF!</f>
        <v>#REF!</v>
      </c>
      <c r="AC171" s="56" t="e">
        <f>+'Proyectos Base digitable'!#REF!</f>
        <v>#REF!</v>
      </c>
      <c r="AD171" s="52" t="e">
        <f>+'Proyectos Base digitable'!#REF!</f>
        <v>#REF!</v>
      </c>
      <c r="AE171" s="52" t="e">
        <f>+'Proyectos Base digitable'!#REF!</f>
        <v>#REF!</v>
      </c>
      <c r="AF171" s="52" t="e">
        <f>+'Proyectos Base digitable'!#REF!</f>
        <v>#REF!</v>
      </c>
      <c r="AG171" s="56" t="e">
        <f>+'Proyectos Base digitable'!#REF!</f>
        <v>#REF!</v>
      </c>
      <c r="AH171" s="52" t="e">
        <f>+'Proyectos Base digitable'!#REF!</f>
        <v>#REF!</v>
      </c>
      <c r="AI171" s="52" t="e">
        <f>+'Proyectos Base digitable'!#REF!</f>
        <v>#REF!</v>
      </c>
      <c r="AJ171" s="59" t="e">
        <f>+'Proyectos Base digitable'!#REF!</f>
        <v>#REF!</v>
      </c>
      <c r="AK171" s="186" t="e">
        <f>+'Proyectos Base digitable'!#REF!</f>
        <v>#REF!</v>
      </c>
      <c r="AL171" s="186" t="e">
        <f>+'Proyectos Base digitable'!#REF!</f>
        <v>#REF!</v>
      </c>
      <c r="AM171" s="186" t="e">
        <f>+'Proyectos Base digitable'!#REF!</f>
        <v>#REF!</v>
      </c>
      <c r="AN171" s="186" t="e">
        <f>+'Proyectos Base digitable'!#REF!</f>
        <v>#REF!</v>
      </c>
      <c r="AO171" s="186" t="e">
        <f>+'Proyectos Base digitable'!#REF!</f>
        <v>#REF!</v>
      </c>
      <c r="AP171" s="186" t="e">
        <f>+'Proyectos Base digitable'!#REF!</f>
        <v>#REF!</v>
      </c>
      <c r="AQ171" s="186" t="e">
        <f>+'Proyectos Base digitable'!#REF!</f>
        <v>#REF!</v>
      </c>
      <c r="AR171" s="186" t="e">
        <f>+'Proyectos Base digitable'!#REF!</f>
        <v>#REF!</v>
      </c>
      <c r="AS171" s="186" t="e">
        <f>+'Proyectos Base digitable'!#REF!</f>
        <v>#REF!</v>
      </c>
      <c r="AT171" s="187" t="e">
        <f>+'Proyectos Base digitable'!#REF!</f>
        <v>#REF!</v>
      </c>
      <c r="AU171" s="56" t="e">
        <f>+'Proyectos Base digitable'!#REF!</f>
        <v>#REF!</v>
      </c>
      <c r="AV171" s="56" t="e">
        <f>+'Proyectos Base digitable'!#REF!</f>
        <v>#REF!</v>
      </c>
      <c r="AW171" s="56" t="e">
        <f>+'Proyectos Base digitable'!#REF!</f>
        <v>#REF!</v>
      </c>
      <c r="AX171" s="56" t="e">
        <f>+'Proyectos Base digitable'!#REF!</f>
        <v>#REF!</v>
      </c>
      <c r="AY171" s="56" t="e">
        <f>+'Proyectos Base digitable'!#REF!</f>
        <v>#REF!</v>
      </c>
      <c r="AZ171" s="188" t="e">
        <f>+'Proyectos Base digitable'!#REF!</f>
        <v>#REF!</v>
      </c>
      <c r="BA171" s="188" t="e">
        <f>+'Proyectos Base digitable'!#REF!</f>
        <v>#REF!</v>
      </c>
    </row>
    <row r="172" spans="1:53" ht="12.5">
      <c r="A172" s="60" t="e">
        <f>+'Proyectos Base digitable'!#REF!</f>
        <v>#REF!</v>
      </c>
      <c r="B172" s="56" t="e">
        <f>+'Proyectos Base digitable'!#REF!</f>
        <v>#REF!</v>
      </c>
      <c r="C172" s="56" t="e">
        <f>+'Proyectos Base digitable'!#REF!</f>
        <v>#REF!</v>
      </c>
      <c r="D172" s="56" t="e">
        <f>+'Proyectos Base digitable'!#REF!</f>
        <v>#REF!</v>
      </c>
      <c r="E172" s="56" t="e">
        <f>+'Proyectos Base digitable'!#REF!</f>
        <v>#REF!</v>
      </c>
      <c r="F172" s="56" t="e">
        <f>+'Proyectos Base digitable'!#REF!</f>
        <v>#REF!</v>
      </c>
      <c r="G172" s="57" t="e">
        <f>+'Proyectos Base digitable'!#REF!</f>
        <v>#REF!</v>
      </c>
      <c r="H172" s="56" t="e">
        <f>+'Proyectos Base digitable'!#REF!</f>
        <v>#REF!</v>
      </c>
      <c r="I172" s="56" t="e">
        <f>+'Proyectos Base digitable'!#REF!</f>
        <v>#REF!</v>
      </c>
      <c r="J172" s="56" t="e">
        <f>+'Proyectos Base digitable'!#REF!</f>
        <v>#REF!</v>
      </c>
      <c r="K172" s="56" t="e">
        <f>+'Proyectos Base digitable'!#REF!</f>
        <v>#REF!</v>
      </c>
      <c r="L172" s="56" t="e">
        <f>+'Proyectos Base digitable'!#REF!</f>
        <v>#REF!</v>
      </c>
      <c r="M172" s="56" t="e">
        <f>+'Proyectos Base digitable'!#REF!</f>
        <v>#REF!</v>
      </c>
      <c r="N172" s="52" t="e">
        <f>+'Proyectos Base digitable'!#REF!</f>
        <v>#REF!</v>
      </c>
      <c r="O172" s="52" t="e">
        <f>+'Proyectos Base digitable'!#REF!</f>
        <v>#REF!</v>
      </c>
      <c r="P172" s="185" t="e">
        <f>+'Proyectos Base digitable'!#REF!</f>
        <v>#REF!</v>
      </c>
      <c r="Q172" s="58" t="e">
        <f>+'Proyectos Base digitable'!#REF!</f>
        <v>#REF!</v>
      </c>
      <c r="R172" s="58" t="e">
        <f>+'Proyectos Base digitable'!#REF!</f>
        <v>#REF!</v>
      </c>
      <c r="S172" s="58" t="e">
        <f>+'Proyectos Base digitable'!#REF!</f>
        <v>#REF!</v>
      </c>
      <c r="T172" s="58" t="e">
        <f>+'Proyectos Base digitable'!#REF!</f>
        <v>#REF!</v>
      </c>
      <c r="U172" s="63" t="e">
        <f>'Proyectos Base digitable'!#REF!</f>
        <v>#REF!</v>
      </c>
      <c r="V172" s="63" t="e">
        <f>'Proyectos Base digitable'!#REF!</f>
        <v>#REF!</v>
      </c>
      <c r="W172" s="63" t="e">
        <f>'Proyectos Base digitable'!#REF!</f>
        <v>#REF!</v>
      </c>
      <c r="X172" s="63" t="e">
        <f>'Proyectos Base digitable'!#REF!</f>
        <v>#REF!</v>
      </c>
      <c r="Y172" s="63" t="e">
        <f>'Proyectos Base digitable'!#REF!</f>
        <v>#REF!</v>
      </c>
      <c r="Z172" s="58" t="e">
        <f>+'Proyectos Base digitable'!#REF!</f>
        <v>#REF!</v>
      </c>
      <c r="AA172" s="58" t="e">
        <f>+'Proyectos Base digitable'!#REF!</f>
        <v>#REF!</v>
      </c>
      <c r="AB172" s="63" t="e">
        <f>'Proyectos Base digitable'!#REF!</f>
        <v>#REF!</v>
      </c>
      <c r="AC172" s="56" t="e">
        <f>+'Proyectos Base digitable'!#REF!</f>
        <v>#REF!</v>
      </c>
      <c r="AD172" s="52" t="e">
        <f>+'Proyectos Base digitable'!#REF!</f>
        <v>#REF!</v>
      </c>
      <c r="AE172" s="52" t="e">
        <f>+'Proyectos Base digitable'!#REF!</f>
        <v>#REF!</v>
      </c>
      <c r="AF172" s="52" t="e">
        <f>+'Proyectos Base digitable'!#REF!</f>
        <v>#REF!</v>
      </c>
      <c r="AG172" s="56" t="e">
        <f>+'Proyectos Base digitable'!#REF!</f>
        <v>#REF!</v>
      </c>
      <c r="AH172" s="52" t="e">
        <f>+'Proyectos Base digitable'!#REF!</f>
        <v>#REF!</v>
      </c>
      <c r="AI172" s="52" t="e">
        <f>+'Proyectos Base digitable'!#REF!</f>
        <v>#REF!</v>
      </c>
      <c r="AJ172" s="59" t="e">
        <f>+'Proyectos Base digitable'!#REF!</f>
        <v>#REF!</v>
      </c>
      <c r="AK172" s="186" t="e">
        <f>+'Proyectos Base digitable'!#REF!</f>
        <v>#REF!</v>
      </c>
      <c r="AL172" s="186" t="e">
        <f>+'Proyectos Base digitable'!#REF!</f>
        <v>#REF!</v>
      </c>
      <c r="AM172" s="186" t="e">
        <f>+'Proyectos Base digitable'!#REF!</f>
        <v>#REF!</v>
      </c>
      <c r="AN172" s="186" t="e">
        <f>+'Proyectos Base digitable'!#REF!</f>
        <v>#REF!</v>
      </c>
      <c r="AO172" s="186" t="e">
        <f>+'Proyectos Base digitable'!#REF!</f>
        <v>#REF!</v>
      </c>
      <c r="AP172" s="186" t="e">
        <f>+'Proyectos Base digitable'!#REF!</f>
        <v>#REF!</v>
      </c>
      <c r="AQ172" s="186" t="e">
        <f>+'Proyectos Base digitable'!#REF!</f>
        <v>#REF!</v>
      </c>
      <c r="AR172" s="186" t="e">
        <f>+'Proyectos Base digitable'!#REF!</f>
        <v>#REF!</v>
      </c>
      <c r="AS172" s="186" t="e">
        <f>+'Proyectos Base digitable'!#REF!</f>
        <v>#REF!</v>
      </c>
      <c r="AT172" s="187" t="e">
        <f>+'Proyectos Base digitable'!#REF!</f>
        <v>#REF!</v>
      </c>
      <c r="AU172" s="56" t="e">
        <f>+'Proyectos Base digitable'!#REF!</f>
        <v>#REF!</v>
      </c>
      <c r="AV172" s="56" t="e">
        <f>+'Proyectos Base digitable'!#REF!</f>
        <v>#REF!</v>
      </c>
      <c r="AW172" s="56" t="e">
        <f>+'Proyectos Base digitable'!#REF!</f>
        <v>#REF!</v>
      </c>
      <c r="AX172" s="56" t="e">
        <f>+'Proyectos Base digitable'!#REF!</f>
        <v>#REF!</v>
      </c>
      <c r="AY172" s="56" t="e">
        <f>+'Proyectos Base digitable'!#REF!</f>
        <v>#REF!</v>
      </c>
      <c r="AZ172" s="188" t="e">
        <f>+'Proyectos Base digitable'!#REF!</f>
        <v>#REF!</v>
      </c>
      <c r="BA172" s="188" t="e">
        <f>+'Proyectos Base digitable'!#REF!</f>
        <v>#REF!</v>
      </c>
    </row>
    <row r="173" spans="1:53" ht="12.5">
      <c r="A173" s="60" t="e">
        <f>+'Proyectos Base digitable'!#REF!</f>
        <v>#REF!</v>
      </c>
      <c r="B173" s="56" t="e">
        <f>+'Proyectos Base digitable'!#REF!</f>
        <v>#REF!</v>
      </c>
      <c r="C173" s="56" t="e">
        <f>+'Proyectos Base digitable'!#REF!</f>
        <v>#REF!</v>
      </c>
      <c r="D173" s="56" t="e">
        <f>+'Proyectos Base digitable'!#REF!</f>
        <v>#REF!</v>
      </c>
      <c r="E173" s="56" t="e">
        <f>+'Proyectos Base digitable'!#REF!</f>
        <v>#REF!</v>
      </c>
      <c r="F173" s="56" t="e">
        <f>+'Proyectos Base digitable'!#REF!</f>
        <v>#REF!</v>
      </c>
      <c r="G173" s="57" t="e">
        <f>+'Proyectos Base digitable'!#REF!</f>
        <v>#REF!</v>
      </c>
      <c r="H173" s="56" t="e">
        <f>+'Proyectos Base digitable'!#REF!</f>
        <v>#REF!</v>
      </c>
      <c r="I173" s="56" t="e">
        <f>+'Proyectos Base digitable'!#REF!</f>
        <v>#REF!</v>
      </c>
      <c r="J173" s="56" t="e">
        <f>+'Proyectos Base digitable'!#REF!</f>
        <v>#REF!</v>
      </c>
      <c r="K173" s="56" t="e">
        <f>+'Proyectos Base digitable'!#REF!</f>
        <v>#REF!</v>
      </c>
      <c r="L173" s="56" t="e">
        <f>+'Proyectos Base digitable'!#REF!</f>
        <v>#REF!</v>
      </c>
      <c r="M173" s="56" t="e">
        <f>+'Proyectos Base digitable'!#REF!</f>
        <v>#REF!</v>
      </c>
      <c r="N173" s="52" t="e">
        <f>+'Proyectos Base digitable'!#REF!</f>
        <v>#REF!</v>
      </c>
      <c r="O173" s="52" t="e">
        <f>+'Proyectos Base digitable'!#REF!</f>
        <v>#REF!</v>
      </c>
      <c r="P173" s="185" t="e">
        <f>+'Proyectos Base digitable'!#REF!</f>
        <v>#REF!</v>
      </c>
      <c r="Q173" s="58" t="e">
        <f>+'Proyectos Base digitable'!#REF!</f>
        <v>#REF!</v>
      </c>
      <c r="R173" s="58" t="e">
        <f>+'Proyectos Base digitable'!#REF!</f>
        <v>#REF!</v>
      </c>
      <c r="S173" s="58" t="e">
        <f>+'Proyectos Base digitable'!#REF!</f>
        <v>#REF!</v>
      </c>
      <c r="T173" s="58" t="e">
        <f>+'Proyectos Base digitable'!#REF!</f>
        <v>#REF!</v>
      </c>
      <c r="U173" s="63" t="e">
        <f>'Proyectos Base digitable'!#REF!</f>
        <v>#REF!</v>
      </c>
      <c r="V173" s="63" t="e">
        <f>'Proyectos Base digitable'!#REF!</f>
        <v>#REF!</v>
      </c>
      <c r="W173" s="63" t="e">
        <f>'Proyectos Base digitable'!#REF!</f>
        <v>#REF!</v>
      </c>
      <c r="X173" s="63" t="e">
        <f>'Proyectos Base digitable'!#REF!</f>
        <v>#REF!</v>
      </c>
      <c r="Y173" s="63" t="e">
        <f>'Proyectos Base digitable'!#REF!</f>
        <v>#REF!</v>
      </c>
      <c r="Z173" s="58" t="e">
        <f>+'Proyectos Base digitable'!#REF!</f>
        <v>#REF!</v>
      </c>
      <c r="AA173" s="58" t="e">
        <f>+'Proyectos Base digitable'!#REF!</f>
        <v>#REF!</v>
      </c>
      <c r="AB173" s="63" t="e">
        <f>'Proyectos Base digitable'!#REF!</f>
        <v>#REF!</v>
      </c>
      <c r="AC173" s="56" t="e">
        <f>+'Proyectos Base digitable'!#REF!</f>
        <v>#REF!</v>
      </c>
      <c r="AD173" s="52" t="e">
        <f>+'Proyectos Base digitable'!#REF!</f>
        <v>#REF!</v>
      </c>
      <c r="AE173" s="52" t="e">
        <f>+'Proyectos Base digitable'!#REF!</f>
        <v>#REF!</v>
      </c>
      <c r="AF173" s="52" t="e">
        <f>+'Proyectos Base digitable'!#REF!</f>
        <v>#REF!</v>
      </c>
      <c r="AG173" s="56" t="e">
        <f>+'Proyectos Base digitable'!#REF!</f>
        <v>#REF!</v>
      </c>
      <c r="AH173" s="52" t="e">
        <f>+'Proyectos Base digitable'!#REF!</f>
        <v>#REF!</v>
      </c>
      <c r="AI173" s="52" t="e">
        <f>+'Proyectos Base digitable'!#REF!</f>
        <v>#REF!</v>
      </c>
      <c r="AJ173" s="59" t="e">
        <f>+'Proyectos Base digitable'!#REF!</f>
        <v>#REF!</v>
      </c>
      <c r="AK173" s="186" t="e">
        <f>+'Proyectos Base digitable'!#REF!</f>
        <v>#REF!</v>
      </c>
      <c r="AL173" s="186" t="e">
        <f>+'Proyectos Base digitable'!#REF!</f>
        <v>#REF!</v>
      </c>
      <c r="AM173" s="186" t="e">
        <f>+'Proyectos Base digitable'!#REF!</f>
        <v>#REF!</v>
      </c>
      <c r="AN173" s="186" t="e">
        <f>+'Proyectos Base digitable'!#REF!</f>
        <v>#REF!</v>
      </c>
      <c r="AO173" s="186" t="e">
        <f>+'Proyectos Base digitable'!#REF!</f>
        <v>#REF!</v>
      </c>
      <c r="AP173" s="186" t="e">
        <f>+'Proyectos Base digitable'!#REF!</f>
        <v>#REF!</v>
      </c>
      <c r="AQ173" s="186" t="e">
        <f>+'Proyectos Base digitable'!#REF!</f>
        <v>#REF!</v>
      </c>
      <c r="AR173" s="186" t="e">
        <f>+'Proyectos Base digitable'!#REF!</f>
        <v>#REF!</v>
      </c>
      <c r="AS173" s="186" t="e">
        <f>+'Proyectos Base digitable'!#REF!</f>
        <v>#REF!</v>
      </c>
      <c r="AT173" s="187" t="e">
        <f>+'Proyectos Base digitable'!#REF!</f>
        <v>#REF!</v>
      </c>
      <c r="AU173" s="56" t="e">
        <f>+'Proyectos Base digitable'!#REF!</f>
        <v>#REF!</v>
      </c>
      <c r="AV173" s="56" t="e">
        <f>+'Proyectos Base digitable'!#REF!</f>
        <v>#REF!</v>
      </c>
      <c r="AW173" s="56" t="e">
        <f>+'Proyectos Base digitable'!#REF!</f>
        <v>#REF!</v>
      </c>
      <c r="AX173" s="56" t="e">
        <f>+'Proyectos Base digitable'!#REF!</f>
        <v>#REF!</v>
      </c>
      <c r="AY173" s="56" t="e">
        <f>+'Proyectos Base digitable'!#REF!</f>
        <v>#REF!</v>
      </c>
      <c r="AZ173" s="188" t="e">
        <f>+'Proyectos Base digitable'!#REF!</f>
        <v>#REF!</v>
      </c>
      <c r="BA173" s="188" t="e">
        <f>+'Proyectos Base digitable'!#REF!</f>
        <v>#REF!</v>
      </c>
    </row>
    <row r="174" spans="1:53" ht="12.5">
      <c r="A174" s="60" t="e">
        <f>+'Proyectos Base digitable'!#REF!</f>
        <v>#REF!</v>
      </c>
      <c r="B174" s="56" t="e">
        <f>+'Proyectos Base digitable'!#REF!</f>
        <v>#REF!</v>
      </c>
      <c r="C174" s="56" t="e">
        <f>+'Proyectos Base digitable'!#REF!</f>
        <v>#REF!</v>
      </c>
      <c r="D174" s="56" t="e">
        <f>+'Proyectos Base digitable'!#REF!</f>
        <v>#REF!</v>
      </c>
      <c r="E174" s="56" t="e">
        <f>+'Proyectos Base digitable'!#REF!</f>
        <v>#REF!</v>
      </c>
      <c r="F174" s="56" t="e">
        <f>+'Proyectos Base digitable'!#REF!</f>
        <v>#REF!</v>
      </c>
      <c r="G174" s="57" t="e">
        <f>+'Proyectos Base digitable'!#REF!</f>
        <v>#REF!</v>
      </c>
      <c r="H174" s="56" t="e">
        <f>+'Proyectos Base digitable'!#REF!</f>
        <v>#REF!</v>
      </c>
      <c r="I174" s="56" t="e">
        <f>+'Proyectos Base digitable'!#REF!</f>
        <v>#REF!</v>
      </c>
      <c r="J174" s="56" t="e">
        <f>+'Proyectos Base digitable'!#REF!</f>
        <v>#REF!</v>
      </c>
      <c r="K174" s="56" t="e">
        <f>+'Proyectos Base digitable'!#REF!</f>
        <v>#REF!</v>
      </c>
      <c r="L174" s="56" t="e">
        <f>+'Proyectos Base digitable'!#REF!</f>
        <v>#REF!</v>
      </c>
      <c r="M174" s="56" t="e">
        <f>+'Proyectos Base digitable'!#REF!</f>
        <v>#REF!</v>
      </c>
      <c r="N174" s="52" t="e">
        <f>+'Proyectos Base digitable'!#REF!</f>
        <v>#REF!</v>
      </c>
      <c r="O174" s="52" t="e">
        <f>+'Proyectos Base digitable'!#REF!</f>
        <v>#REF!</v>
      </c>
      <c r="P174" s="185" t="e">
        <f>+'Proyectos Base digitable'!#REF!</f>
        <v>#REF!</v>
      </c>
      <c r="Q174" s="58" t="e">
        <f>+'Proyectos Base digitable'!#REF!</f>
        <v>#REF!</v>
      </c>
      <c r="R174" s="58" t="e">
        <f>+'Proyectos Base digitable'!#REF!</f>
        <v>#REF!</v>
      </c>
      <c r="S174" s="58" t="e">
        <f>+'Proyectos Base digitable'!#REF!</f>
        <v>#REF!</v>
      </c>
      <c r="T174" s="58" t="e">
        <f>+'Proyectos Base digitable'!#REF!</f>
        <v>#REF!</v>
      </c>
      <c r="U174" s="63" t="e">
        <f>'Proyectos Base digitable'!#REF!</f>
        <v>#REF!</v>
      </c>
      <c r="V174" s="63" t="e">
        <f>'Proyectos Base digitable'!#REF!</f>
        <v>#REF!</v>
      </c>
      <c r="W174" s="63" t="e">
        <f>'Proyectos Base digitable'!#REF!</f>
        <v>#REF!</v>
      </c>
      <c r="X174" s="63" t="e">
        <f>'Proyectos Base digitable'!#REF!</f>
        <v>#REF!</v>
      </c>
      <c r="Y174" s="63" t="e">
        <f>'Proyectos Base digitable'!#REF!</f>
        <v>#REF!</v>
      </c>
      <c r="Z174" s="58" t="e">
        <f>+'Proyectos Base digitable'!#REF!</f>
        <v>#REF!</v>
      </c>
      <c r="AA174" s="58" t="e">
        <f>+'Proyectos Base digitable'!#REF!</f>
        <v>#REF!</v>
      </c>
      <c r="AB174" s="63" t="e">
        <f>'Proyectos Base digitable'!#REF!</f>
        <v>#REF!</v>
      </c>
      <c r="AC174" s="56" t="e">
        <f>+'Proyectos Base digitable'!#REF!</f>
        <v>#REF!</v>
      </c>
      <c r="AD174" s="52" t="e">
        <f>+'Proyectos Base digitable'!#REF!</f>
        <v>#REF!</v>
      </c>
      <c r="AE174" s="52" t="e">
        <f>+'Proyectos Base digitable'!#REF!</f>
        <v>#REF!</v>
      </c>
      <c r="AF174" s="52" t="e">
        <f>+'Proyectos Base digitable'!#REF!</f>
        <v>#REF!</v>
      </c>
      <c r="AG174" s="56" t="e">
        <f>+'Proyectos Base digitable'!#REF!</f>
        <v>#REF!</v>
      </c>
      <c r="AH174" s="52" t="e">
        <f>+'Proyectos Base digitable'!#REF!</f>
        <v>#REF!</v>
      </c>
      <c r="AI174" s="52" t="e">
        <f>+'Proyectos Base digitable'!#REF!</f>
        <v>#REF!</v>
      </c>
      <c r="AJ174" s="59" t="e">
        <f>+'Proyectos Base digitable'!#REF!</f>
        <v>#REF!</v>
      </c>
      <c r="AK174" s="186" t="e">
        <f>+'Proyectos Base digitable'!#REF!</f>
        <v>#REF!</v>
      </c>
      <c r="AL174" s="186" t="e">
        <f>+'Proyectos Base digitable'!#REF!</f>
        <v>#REF!</v>
      </c>
      <c r="AM174" s="186" t="e">
        <f>+'Proyectos Base digitable'!#REF!</f>
        <v>#REF!</v>
      </c>
      <c r="AN174" s="186" t="e">
        <f>+'Proyectos Base digitable'!#REF!</f>
        <v>#REF!</v>
      </c>
      <c r="AO174" s="186" t="e">
        <f>+'Proyectos Base digitable'!#REF!</f>
        <v>#REF!</v>
      </c>
      <c r="AP174" s="186" t="e">
        <f>+'Proyectos Base digitable'!#REF!</f>
        <v>#REF!</v>
      </c>
      <c r="AQ174" s="186" t="e">
        <f>+'Proyectos Base digitable'!#REF!</f>
        <v>#REF!</v>
      </c>
      <c r="AR174" s="186" t="e">
        <f>+'Proyectos Base digitable'!#REF!</f>
        <v>#REF!</v>
      </c>
      <c r="AS174" s="186" t="e">
        <f>+'Proyectos Base digitable'!#REF!</f>
        <v>#REF!</v>
      </c>
      <c r="AT174" s="187" t="e">
        <f>+'Proyectos Base digitable'!#REF!</f>
        <v>#REF!</v>
      </c>
      <c r="AU174" s="56" t="e">
        <f>+'Proyectos Base digitable'!#REF!</f>
        <v>#REF!</v>
      </c>
      <c r="AV174" s="56" t="e">
        <f>+'Proyectos Base digitable'!#REF!</f>
        <v>#REF!</v>
      </c>
      <c r="AW174" s="56" t="e">
        <f>+'Proyectos Base digitable'!#REF!</f>
        <v>#REF!</v>
      </c>
      <c r="AX174" s="56" t="e">
        <f>+'Proyectos Base digitable'!#REF!</f>
        <v>#REF!</v>
      </c>
      <c r="AY174" s="56" t="e">
        <f>+'Proyectos Base digitable'!#REF!</f>
        <v>#REF!</v>
      </c>
      <c r="AZ174" s="188" t="e">
        <f>+'Proyectos Base digitable'!#REF!</f>
        <v>#REF!</v>
      </c>
      <c r="BA174" s="188" t="e">
        <f>+'Proyectos Base digitable'!#REF!</f>
        <v>#REF!</v>
      </c>
    </row>
    <row r="175" spans="1:53" ht="12.5">
      <c r="A175" s="60" t="e">
        <f>+'Proyectos Base digitable'!#REF!</f>
        <v>#REF!</v>
      </c>
      <c r="B175" s="56" t="e">
        <f>+'Proyectos Base digitable'!#REF!</f>
        <v>#REF!</v>
      </c>
      <c r="C175" s="56" t="e">
        <f>+'Proyectos Base digitable'!#REF!</f>
        <v>#REF!</v>
      </c>
      <c r="D175" s="56" t="e">
        <f>+'Proyectos Base digitable'!#REF!</f>
        <v>#REF!</v>
      </c>
      <c r="E175" s="56" t="e">
        <f>+'Proyectos Base digitable'!#REF!</f>
        <v>#REF!</v>
      </c>
      <c r="F175" s="56" t="e">
        <f>+'Proyectos Base digitable'!#REF!</f>
        <v>#REF!</v>
      </c>
      <c r="G175" s="57" t="e">
        <f>+'Proyectos Base digitable'!#REF!</f>
        <v>#REF!</v>
      </c>
      <c r="H175" s="56" t="e">
        <f>+'Proyectos Base digitable'!#REF!</f>
        <v>#REF!</v>
      </c>
      <c r="I175" s="56" t="e">
        <f>+'Proyectos Base digitable'!#REF!</f>
        <v>#REF!</v>
      </c>
      <c r="J175" s="56" t="e">
        <f>+'Proyectos Base digitable'!#REF!</f>
        <v>#REF!</v>
      </c>
      <c r="K175" s="56" t="e">
        <f>+'Proyectos Base digitable'!#REF!</f>
        <v>#REF!</v>
      </c>
      <c r="L175" s="56" t="e">
        <f>+'Proyectos Base digitable'!#REF!</f>
        <v>#REF!</v>
      </c>
      <c r="M175" s="56" t="e">
        <f>+'Proyectos Base digitable'!#REF!</f>
        <v>#REF!</v>
      </c>
      <c r="N175" s="52" t="e">
        <f>+'Proyectos Base digitable'!#REF!</f>
        <v>#REF!</v>
      </c>
      <c r="O175" s="52" t="e">
        <f>+'Proyectos Base digitable'!#REF!</f>
        <v>#REF!</v>
      </c>
      <c r="P175" s="185" t="e">
        <f>+'Proyectos Base digitable'!#REF!</f>
        <v>#REF!</v>
      </c>
      <c r="Q175" s="58" t="e">
        <f>+'Proyectos Base digitable'!#REF!</f>
        <v>#REF!</v>
      </c>
      <c r="R175" s="58" t="e">
        <f>+'Proyectos Base digitable'!#REF!</f>
        <v>#REF!</v>
      </c>
      <c r="S175" s="58" t="e">
        <f>+'Proyectos Base digitable'!#REF!</f>
        <v>#REF!</v>
      </c>
      <c r="T175" s="58" t="e">
        <f>+'Proyectos Base digitable'!#REF!</f>
        <v>#REF!</v>
      </c>
      <c r="U175" s="63" t="e">
        <f>'Proyectos Base digitable'!#REF!</f>
        <v>#REF!</v>
      </c>
      <c r="V175" s="63" t="e">
        <f>'Proyectos Base digitable'!#REF!</f>
        <v>#REF!</v>
      </c>
      <c r="W175" s="63" t="e">
        <f>'Proyectos Base digitable'!#REF!</f>
        <v>#REF!</v>
      </c>
      <c r="X175" s="63" t="e">
        <f>'Proyectos Base digitable'!#REF!</f>
        <v>#REF!</v>
      </c>
      <c r="Y175" s="63" t="e">
        <f>'Proyectos Base digitable'!#REF!</f>
        <v>#REF!</v>
      </c>
      <c r="Z175" s="58" t="e">
        <f>+'Proyectos Base digitable'!#REF!</f>
        <v>#REF!</v>
      </c>
      <c r="AA175" s="58" t="e">
        <f>+'Proyectos Base digitable'!#REF!</f>
        <v>#REF!</v>
      </c>
      <c r="AB175" s="63" t="e">
        <f>'Proyectos Base digitable'!#REF!</f>
        <v>#REF!</v>
      </c>
      <c r="AC175" s="56" t="e">
        <f>+'Proyectos Base digitable'!#REF!</f>
        <v>#REF!</v>
      </c>
      <c r="AD175" s="52" t="e">
        <f>+'Proyectos Base digitable'!#REF!</f>
        <v>#REF!</v>
      </c>
      <c r="AE175" s="52" t="e">
        <f>+'Proyectos Base digitable'!#REF!</f>
        <v>#REF!</v>
      </c>
      <c r="AF175" s="52" t="e">
        <f>+'Proyectos Base digitable'!#REF!</f>
        <v>#REF!</v>
      </c>
      <c r="AG175" s="56" t="e">
        <f>+'Proyectos Base digitable'!#REF!</f>
        <v>#REF!</v>
      </c>
      <c r="AH175" s="52" t="e">
        <f>+'Proyectos Base digitable'!#REF!</f>
        <v>#REF!</v>
      </c>
      <c r="AI175" s="52" t="e">
        <f>+'Proyectos Base digitable'!#REF!</f>
        <v>#REF!</v>
      </c>
      <c r="AJ175" s="59" t="e">
        <f>+'Proyectos Base digitable'!#REF!</f>
        <v>#REF!</v>
      </c>
      <c r="AK175" s="186" t="e">
        <f>+'Proyectos Base digitable'!#REF!</f>
        <v>#REF!</v>
      </c>
      <c r="AL175" s="186" t="e">
        <f>+'Proyectos Base digitable'!#REF!</f>
        <v>#REF!</v>
      </c>
      <c r="AM175" s="186" t="e">
        <f>+'Proyectos Base digitable'!#REF!</f>
        <v>#REF!</v>
      </c>
      <c r="AN175" s="186" t="e">
        <f>+'Proyectos Base digitable'!#REF!</f>
        <v>#REF!</v>
      </c>
      <c r="AO175" s="186" t="e">
        <f>+'Proyectos Base digitable'!#REF!</f>
        <v>#REF!</v>
      </c>
      <c r="AP175" s="186" t="e">
        <f>+'Proyectos Base digitable'!#REF!</f>
        <v>#REF!</v>
      </c>
      <c r="AQ175" s="186" t="e">
        <f>+'Proyectos Base digitable'!#REF!</f>
        <v>#REF!</v>
      </c>
      <c r="AR175" s="186" t="e">
        <f>+'Proyectos Base digitable'!#REF!</f>
        <v>#REF!</v>
      </c>
      <c r="AS175" s="186" t="e">
        <f>+'Proyectos Base digitable'!#REF!</f>
        <v>#REF!</v>
      </c>
      <c r="AT175" s="187" t="e">
        <f>+'Proyectos Base digitable'!#REF!</f>
        <v>#REF!</v>
      </c>
      <c r="AU175" s="56" t="e">
        <f>+'Proyectos Base digitable'!#REF!</f>
        <v>#REF!</v>
      </c>
      <c r="AV175" s="56" t="e">
        <f>+'Proyectos Base digitable'!#REF!</f>
        <v>#REF!</v>
      </c>
      <c r="AW175" s="56" t="e">
        <f>+'Proyectos Base digitable'!#REF!</f>
        <v>#REF!</v>
      </c>
      <c r="AX175" s="56" t="e">
        <f>+'Proyectos Base digitable'!#REF!</f>
        <v>#REF!</v>
      </c>
      <c r="AY175" s="56" t="e">
        <f>+'Proyectos Base digitable'!#REF!</f>
        <v>#REF!</v>
      </c>
      <c r="AZ175" s="188" t="e">
        <f>+'Proyectos Base digitable'!#REF!</f>
        <v>#REF!</v>
      </c>
      <c r="BA175" s="188" t="e">
        <f>+'Proyectos Base digitable'!#REF!</f>
        <v>#REF!</v>
      </c>
    </row>
    <row r="176" spans="1:53" ht="12.5">
      <c r="A176" s="60" t="e">
        <f>+'Proyectos Base digitable'!#REF!</f>
        <v>#REF!</v>
      </c>
      <c r="B176" s="56" t="e">
        <f>+'Proyectos Base digitable'!#REF!</f>
        <v>#REF!</v>
      </c>
      <c r="C176" s="56" t="e">
        <f>+'Proyectos Base digitable'!#REF!</f>
        <v>#REF!</v>
      </c>
      <c r="D176" s="56" t="e">
        <f>+'Proyectos Base digitable'!#REF!</f>
        <v>#REF!</v>
      </c>
      <c r="E176" s="56" t="e">
        <f>+'Proyectos Base digitable'!#REF!</f>
        <v>#REF!</v>
      </c>
      <c r="F176" s="56" t="e">
        <f>+'Proyectos Base digitable'!#REF!</f>
        <v>#REF!</v>
      </c>
      <c r="G176" s="57" t="e">
        <f>+'Proyectos Base digitable'!#REF!</f>
        <v>#REF!</v>
      </c>
      <c r="H176" s="56" t="e">
        <f>+'Proyectos Base digitable'!#REF!</f>
        <v>#REF!</v>
      </c>
      <c r="I176" s="56" t="e">
        <f>+'Proyectos Base digitable'!#REF!</f>
        <v>#REF!</v>
      </c>
      <c r="J176" s="56" t="e">
        <f>+'Proyectos Base digitable'!#REF!</f>
        <v>#REF!</v>
      </c>
      <c r="K176" s="56" t="e">
        <f>+'Proyectos Base digitable'!#REF!</f>
        <v>#REF!</v>
      </c>
      <c r="L176" s="56" t="e">
        <f>+'Proyectos Base digitable'!#REF!</f>
        <v>#REF!</v>
      </c>
      <c r="M176" s="56" t="e">
        <f>+'Proyectos Base digitable'!#REF!</f>
        <v>#REF!</v>
      </c>
      <c r="N176" s="52" t="e">
        <f>+'Proyectos Base digitable'!#REF!</f>
        <v>#REF!</v>
      </c>
      <c r="O176" s="52" t="e">
        <f>+'Proyectos Base digitable'!#REF!</f>
        <v>#REF!</v>
      </c>
      <c r="P176" s="185" t="e">
        <f>+'Proyectos Base digitable'!#REF!</f>
        <v>#REF!</v>
      </c>
      <c r="Q176" s="58" t="e">
        <f>+'Proyectos Base digitable'!#REF!</f>
        <v>#REF!</v>
      </c>
      <c r="R176" s="58" t="e">
        <f>+'Proyectos Base digitable'!#REF!</f>
        <v>#REF!</v>
      </c>
      <c r="S176" s="58" t="e">
        <f>+'Proyectos Base digitable'!#REF!</f>
        <v>#REF!</v>
      </c>
      <c r="T176" s="58" t="e">
        <f>+'Proyectos Base digitable'!#REF!</f>
        <v>#REF!</v>
      </c>
      <c r="U176" s="63" t="e">
        <f>'Proyectos Base digitable'!#REF!</f>
        <v>#REF!</v>
      </c>
      <c r="V176" s="63" t="e">
        <f>'Proyectos Base digitable'!#REF!</f>
        <v>#REF!</v>
      </c>
      <c r="W176" s="63" t="e">
        <f>'Proyectos Base digitable'!#REF!</f>
        <v>#REF!</v>
      </c>
      <c r="X176" s="63" t="e">
        <f>'Proyectos Base digitable'!#REF!</f>
        <v>#REF!</v>
      </c>
      <c r="Y176" s="63" t="e">
        <f>'Proyectos Base digitable'!#REF!</f>
        <v>#REF!</v>
      </c>
      <c r="Z176" s="58" t="e">
        <f>+'Proyectos Base digitable'!#REF!</f>
        <v>#REF!</v>
      </c>
      <c r="AA176" s="58" t="e">
        <f>+'Proyectos Base digitable'!#REF!</f>
        <v>#REF!</v>
      </c>
      <c r="AB176" s="63" t="e">
        <f>'Proyectos Base digitable'!#REF!</f>
        <v>#REF!</v>
      </c>
      <c r="AC176" s="56" t="e">
        <f>+'Proyectos Base digitable'!#REF!</f>
        <v>#REF!</v>
      </c>
      <c r="AD176" s="52" t="e">
        <f>+'Proyectos Base digitable'!#REF!</f>
        <v>#REF!</v>
      </c>
      <c r="AE176" s="52" t="e">
        <f>+'Proyectos Base digitable'!#REF!</f>
        <v>#REF!</v>
      </c>
      <c r="AF176" s="52" t="e">
        <f>+'Proyectos Base digitable'!#REF!</f>
        <v>#REF!</v>
      </c>
      <c r="AG176" s="56" t="e">
        <f>+'Proyectos Base digitable'!#REF!</f>
        <v>#REF!</v>
      </c>
      <c r="AH176" s="52" t="e">
        <f>+'Proyectos Base digitable'!#REF!</f>
        <v>#REF!</v>
      </c>
      <c r="AI176" s="52" t="e">
        <f>+'Proyectos Base digitable'!#REF!</f>
        <v>#REF!</v>
      </c>
      <c r="AJ176" s="59" t="e">
        <f>+'Proyectos Base digitable'!#REF!</f>
        <v>#REF!</v>
      </c>
      <c r="AK176" s="186" t="e">
        <f>+'Proyectos Base digitable'!#REF!</f>
        <v>#REF!</v>
      </c>
      <c r="AL176" s="186" t="e">
        <f>+'Proyectos Base digitable'!#REF!</f>
        <v>#REF!</v>
      </c>
      <c r="AM176" s="186" t="e">
        <f>+'Proyectos Base digitable'!#REF!</f>
        <v>#REF!</v>
      </c>
      <c r="AN176" s="186" t="e">
        <f>+'Proyectos Base digitable'!#REF!</f>
        <v>#REF!</v>
      </c>
      <c r="AO176" s="186" t="e">
        <f>+'Proyectos Base digitable'!#REF!</f>
        <v>#REF!</v>
      </c>
      <c r="AP176" s="186" t="e">
        <f>+'Proyectos Base digitable'!#REF!</f>
        <v>#REF!</v>
      </c>
      <c r="AQ176" s="186" t="e">
        <f>+'Proyectos Base digitable'!#REF!</f>
        <v>#REF!</v>
      </c>
      <c r="AR176" s="186" t="e">
        <f>+'Proyectos Base digitable'!#REF!</f>
        <v>#REF!</v>
      </c>
      <c r="AS176" s="186" t="e">
        <f>+'Proyectos Base digitable'!#REF!</f>
        <v>#REF!</v>
      </c>
      <c r="AT176" s="187" t="e">
        <f>+'Proyectos Base digitable'!#REF!</f>
        <v>#REF!</v>
      </c>
      <c r="AU176" s="56" t="e">
        <f>+'Proyectos Base digitable'!#REF!</f>
        <v>#REF!</v>
      </c>
      <c r="AV176" s="56" t="e">
        <f>+'Proyectos Base digitable'!#REF!</f>
        <v>#REF!</v>
      </c>
      <c r="AW176" s="56" t="e">
        <f>+'Proyectos Base digitable'!#REF!</f>
        <v>#REF!</v>
      </c>
      <c r="AX176" s="56" t="e">
        <f>+'Proyectos Base digitable'!#REF!</f>
        <v>#REF!</v>
      </c>
      <c r="AY176" s="56" t="e">
        <f>+'Proyectos Base digitable'!#REF!</f>
        <v>#REF!</v>
      </c>
      <c r="AZ176" s="188" t="e">
        <f>+'Proyectos Base digitable'!#REF!</f>
        <v>#REF!</v>
      </c>
      <c r="BA176" s="188" t="e">
        <f>+'Proyectos Base digitable'!#REF!</f>
        <v>#REF!</v>
      </c>
    </row>
    <row r="177" spans="1:53" ht="12.5">
      <c r="A177" s="60" t="e">
        <f>+'Proyectos Base digitable'!#REF!</f>
        <v>#REF!</v>
      </c>
      <c r="B177" s="56" t="e">
        <f>+'Proyectos Base digitable'!#REF!</f>
        <v>#REF!</v>
      </c>
      <c r="C177" s="56" t="e">
        <f>+'Proyectos Base digitable'!#REF!</f>
        <v>#REF!</v>
      </c>
      <c r="D177" s="56" t="e">
        <f>+'Proyectos Base digitable'!#REF!</f>
        <v>#REF!</v>
      </c>
      <c r="E177" s="56" t="e">
        <f>+'Proyectos Base digitable'!#REF!</f>
        <v>#REF!</v>
      </c>
      <c r="F177" s="56" t="e">
        <f>+'Proyectos Base digitable'!#REF!</f>
        <v>#REF!</v>
      </c>
      <c r="G177" s="57" t="e">
        <f>+'Proyectos Base digitable'!#REF!</f>
        <v>#REF!</v>
      </c>
      <c r="H177" s="56" t="e">
        <f>+'Proyectos Base digitable'!#REF!</f>
        <v>#REF!</v>
      </c>
      <c r="I177" s="56" t="e">
        <f>+'Proyectos Base digitable'!#REF!</f>
        <v>#REF!</v>
      </c>
      <c r="J177" s="56" t="e">
        <f>+'Proyectos Base digitable'!#REF!</f>
        <v>#REF!</v>
      </c>
      <c r="K177" s="56" t="e">
        <f>+'Proyectos Base digitable'!#REF!</f>
        <v>#REF!</v>
      </c>
      <c r="L177" s="56" t="e">
        <f>+'Proyectos Base digitable'!#REF!</f>
        <v>#REF!</v>
      </c>
      <c r="M177" s="56" t="e">
        <f>+'Proyectos Base digitable'!#REF!</f>
        <v>#REF!</v>
      </c>
      <c r="N177" s="52" t="e">
        <f>+'Proyectos Base digitable'!#REF!</f>
        <v>#REF!</v>
      </c>
      <c r="O177" s="52" t="e">
        <f>+'Proyectos Base digitable'!#REF!</f>
        <v>#REF!</v>
      </c>
      <c r="P177" s="185" t="e">
        <f>+'Proyectos Base digitable'!#REF!</f>
        <v>#REF!</v>
      </c>
      <c r="Q177" s="58" t="e">
        <f>+'Proyectos Base digitable'!#REF!</f>
        <v>#REF!</v>
      </c>
      <c r="R177" s="58" t="e">
        <f>+'Proyectos Base digitable'!#REF!</f>
        <v>#REF!</v>
      </c>
      <c r="S177" s="58" t="e">
        <f>+'Proyectos Base digitable'!#REF!</f>
        <v>#REF!</v>
      </c>
      <c r="T177" s="58" t="e">
        <f>+'Proyectos Base digitable'!#REF!</f>
        <v>#REF!</v>
      </c>
      <c r="U177" s="63" t="e">
        <f>'Proyectos Base digitable'!#REF!</f>
        <v>#REF!</v>
      </c>
      <c r="V177" s="63" t="e">
        <f>'Proyectos Base digitable'!#REF!</f>
        <v>#REF!</v>
      </c>
      <c r="W177" s="63" t="e">
        <f>'Proyectos Base digitable'!#REF!</f>
        <v>#REF!</v>
      </c>
      <c r="X177" s="63" t="e">
        <f>'Proyectos Base digitable'!#REF!</f>
        <v>#REF!</v>
      </c>
      <c r="Y177" s="63" t="e">
        <f>'Proyectos Base digitable'!#REF!</f>
        <v>#REF!</v>
      </c>
      <c r="Z177" s="58" t="e">
        <f>+'Proyectos Base digitable'!#REF!</f>
        <v>#REF!</v>
      </c>
      <c r="AA177" s="58" t="e">
        <f>+'Proyectos Base digitable'!#REF!</f>
        <v>#REF!</v>
      </c>
      <c r="AB177" s="63" t="e">
        <f>'Proyectos Base digitable'!#REF!</f>
        <v>#REF!</v>
      </c>
      <c r="AC177" s="56" t="e">
        <f>+'Proyectos Base digitable'!#REF!</f>
        <v>#REF!</v>
      </c>
      <c r="AD177" s="52" t="e">
        <f>+'Proyectos Base digitable'!#REF!</f>
        <v>#REF!</v>
      </c>
      <c r="AE177" s="52" t="e">
        <f>+'Proyectos Base digitable'!#REF!</f>
        <v>#REF!</v>
      </c>
      <c r="AF177" s="52" t="e">
        <f>+'Proyectos Base digitable'!#REF!</f>
        <v>#REF!</v>
      </c>
      <c r="AG177" s="56" t="e">
        <f>+'Proyectos Base digitable'!#REF!</f>
        <v>#REF!</v>
      </c>
      <c r="AH177" s="52" t="e">
        <f>+'Proyectos Base digitable'!#REF!</f>
        <v>#REF!</v>
      </c>
      <c r="AI177" s="52" t="e">
        <f>+'Proyectos Base digitable'!#REF!</f>
        <v>#REF!</v>
      </c>
      <c r="AJ177" s="59" t="e">
        <f>+'Proyectos Base digitable'!#REF!</f>
        <v>#REF!</v>
      </c>
      <c r="AK177" s="186" t="e">
        <f>+'Proyectos Base digitable'!#REF!</f>
        <v>#REF!</v>
      </c>
      <c r="AL177" s="186" t="e">
        <f>+'Proyectos Base digitable'!#REF!</f>
        <v>#REF!</v>
      </c>
      <c r="AM177" s="186" t="e">
        <f>+'Proyectos Base digitable'!#REF!</f>
        <v>#REF!</v>
      </c>
      <c r="AN177" s="186" t="e">
        <f>+'Proyectos Base digitable'!#REF!</f>
        <v>#REF!</v>
      </c>
      <c r="AO177" s="186" t="e">
        <f>+'Proyectos Base digitable'!#REF!</f>
        <v>#REF!</v>
      </c>
      <c r="AP177" s="186" t="e">
        <f>+'Proyectos Base digitable'!#REF!</f>
        <v>#REF!</v>
      </c>
      <c r="AQ177" s="186" t="e">
        <f>+'Proyectos Base digitable'!#REF!</f>
        <v>#REF!</v>
      </c>
      <c r="AR177" s="186" t="e">
        <f>+'Proyectos Base digitable'!#REF!</f>
        <v>#REF!</v>
      </c>
      <c r="AS177" s="186" t="e">
        <f>+'Proyectos Base digitable'!#REF!</f>
        <v>#REF!</v>
      </c>
      <c r="AT177" s="187" t="e">
        <f>+'Proyectos Base digitable'!#REF!</f>
        <v>#REF!</v>
      </c>
      <c r="AU177" s="56" t="e">
        <f>+'Proyectos Base digitable'!#REF!</f>
        <v>#REF!</v>
      </c>
      <c r="AV177" s="56" t="e">
        <f>+'Proyectos Base digitable'!#REF!</f>
        <v>#REF!</v>
      </c>
      <c r="AW177" s="56" t="e">
        <f>+'Proyectos Base digitable'!#REF!</f>
        <v>#REF!</v>
      </c>
      <c r="AX177" s="56" t="e">
        <f>+'Proyectos Base digitable'!#REF!</f>
        <v>#REF!</v>
      </c>
      <c r="AY177" s="56" t="e">
        <f>+'Proyectos Base digitable'!#REF!</f>
        <v>#REF!</v>
      </c>
      <c r="AZ177" s="188" t="e">
        <f>+'Proyectos Base digitable'!#REF!</f>
        <v>#REF!</v>
      </c>
      <c r="BA177" s="188" t="e">
        <f>+'Proyectos Base digitable'!#REF!</f>
        <v>#REF!</v>
      </c>
    </row>
    <row r="178" spans="1:53" ht="12.5">
      <c r="A178" s="60" t="e">
        <f>+'Proyectos Base digitable'!#REF!</f>
        <v>#REF!</v>
      </c>
      <c r="B178" s="56" t="e">
        <f>+'Proyectos Base digitable'!#REF!</f>
        <v>#REF!</v>
      </c>
      <c r="C178" s="56" t="e">
        <f>+'Proyectos Base digitable'!#REF!</f>
        <v>#REF!</v>
      </c>
      <c r="D178" s="56" t="e">
        <f>+'Proyectos Base digitable'!#REF!</f>
        <v>#REF!</v>
      </c>
      <c r="E178" s="56" t="e">
        <f>+'Proyectos Base digitable'!#REF!</f>
        <v>#REF!</v>
      </c>
      <c r="F178" s="56" t="e">
        <f>+'Proyectos Base digitable'!#REF!</f>
        <v>#REF!</v>
      </c>
      <c r="G178" s="57" t="e">
        <f>+'Proyectos Base digitable'!#REF!</f>
        <v>#REF!</v>
      </c>
      <c r="H178" s="56" t="e">
        <f>+'Proyectos Base digitable'!#REF!</f>
        <v>#REF!</v>
      </c>
      <c r="I178" s="56" t="e">
        <f>+'Proyectos Base digitable'!#REF!</f>
        <v>#REF!</v>
      </c>
      <c r="J178" s="56" t="e">
        <f>+'Proyectos Base digitable'!#REF!</f>
        <v>#REF!</v>
      </c>
      <c r="K178" s="56" t="e">
        <f>+'Proyectos Base digitable'!#REF!</f>
        <v>#REF!</v>
      </c>
      <c r="L178" s="56" t="e">
        <f>+'Proyectos Base digitable'!#REF!</f>
        <v>#REF!</v>
      </c>
      <c r="M178" s="56" t="e">
        <f>+'Proyectos Base digitable'!#REF!</f>
        <v>#REF!</v>
      </c>
      <c r="N178" s="52" t="e">
        <f>+'Proyectos Base digitable'!#REF!</f>
        <v>#REF!</v>
      </c>
      <c r="O178" s="52" t="e">
        <f>+'Proyectos Base digitable'!#REF!</f>
        <v>#REF!</v>
      </c>
      <c r="P178" s="185" t="e">
        <f>+'Proyectos Base digitable'!#REF!</f>
        <v>#REF!</v>
      </c>
      <c r="Q178" s="58" t="e">
        <f>+'Proyectos Base digitable'!#REF!</f>
        <v>#REF!</v>
      </c>
      <c r="R178" s="58" t="e">
        <f>+'Proyectos Base digitable'!#REF!</f>
        <v>#REF!</v>
      </c>
      <c r="S178" s="58" t="e">
        <f>+'Proyectos Base digitable'!#REF!</f>
        <v>#REF!</v>
      </c>
      <c r="T178" s="58" t="e">
        <f>+'Proyectos Base digitable'!#REF!</f>
        <v>#REF!</v>
      </c>
      <c r="U178" s="63" t="e">
        <f>'Proyectos Base digitable'!#REF!</f>
        <v>#REF!</v>
      </c>
      <c r="V178" s="63" t="e">
        <f>'Proyectos Base digitable'!#REF!</f>
        <v>#REF!</v>
      </c>
      <c r="W178" s="63" t="e">
        <f>'Proyectos Base digitable'!#REF!</f>
        <v>#REF!</v>
      </c>
      <c r="X178" s="63" t="e">
        <f>'Proyectos Base digitable'!#REF!</f>
        <v>#REF!</v>
      </c>
      <c r="Y178" s="63" t="e">
        <f>'Proyectos Base digitable'!#REF!</f>
        <v>#REF!</v>
      </c>
      <c r="Z178" s="58" t="e">
        <f>+'Proyectos Base digitable'!#REF!</f>
        <v>#REF!</v>
      </c>
      <c r="AA178" s="58" t="e">
        <f>+'Proyectos Base digitable'!#REF!</f>
        <v>#REF!</v>
      </c>
      <c r="AB178" s="63" t="e">
        <f>'Proyectos Base digitable'!#REF!</f>
        <v>#REF!</v>
      </c>
      <c r="AC178" s="56" t="e">
        <f>+'Proyectos Base digitable'!#REF!</f>
        <v>#REF!</v>
      </c>
      <c r="AD178" s="52" t="e">
        <f>+'Proyectos Base digitable'!#REF!</f>
        <v>#REF!</v>
      </c>
      <c r="AE178" s="52" t="e">
        <f>+'Proyectos Base digitable'!#REF!</f>
        <v>#REF!</v>
      </c>
      <c r="AF178" s="52" t="e">
        <f>+'Proyectos Base digitable'!#REF!</f>
        <v>#REF!</v>
      </c>
      <c r="AG178" s="56" t="e">
        <f>+'Proyectos Base digitable'!#REF!</f>
        <v>#REF!</v>
      </c>
      <c r="AH178" s="52" t="e">
        <f>+'Proyectos Base digitable'!#REF!</f>
        <v>#REF!</v>
      </c>
      <c r="AI178" s="52" t="e">
        <f>+'Proyectos Base digitable'!#REF!</f>
        <v>#REF!</v>
      </c>
      <c r="AJ178" s="59" t="e">
        <f>+'Proyectos Base digitable'!#REF!</f>
        <v>#REF!</v>
      </c>
      <c r="AK178" s="186" t="e">
        <f>+'Proyectos Base digitable'!#REF!</f>
        <v>#REF!</v>
      </c>
      <c r="AL178" s="186" t="e">
        <f>+'Proyectos Base digitable'!#REF!</f>
        <v>#REF!</v>
      </c>
      <c r="AM178" s="186" t="e">
        <f>+'Proyectos Base digitable'!#REF!</f>
        <v>#REF!</v>
      </c>
      <c r="AN178" s="186" t="e">
        <f>+'Proyectos Base digitable'!#REF!</f>
        <v>#REF!</v>
      </c>
      <c r="AO178" s="186" t="e">
        <f>+'Proyectos Base digitable'!#REF!</f>
        <v>#REF!</v>
      </c>
      <c r="AP178" s="186" t="e">
        <f>+'Proyectos Base digitable'!#REF!</f>
        <v>#REF!</v>
      </c>
      <c r="AQ178" s="186" t="e">
        <f>+'Proyectos Base digitable'!#REF!</f>
        <v>#REF!</v>
      </c>
      <c r="AR178" s="186" t="e">
        <f>+'Proyectos Base digitable'!#REF!</f>
        <v>#REF!</v>
      </c>
      <c r="AS178" s="186" t="e">
        <f>+'Proyectos Base digitable'!#REF!</f>
        <v>#REF!</v>
      </c>
      <c r="AT178" s="187" t="e">
        <f>+'Proyectos Base digitable'!#REF!</f>
        <v>#REF!</v>
      </c>
      <c r="AU178" s="56" t="e">
        <f>+'Proyectos Base digitable'!#REF!</f>
        <v>#REF!</v>
      </c>
      <c r="AV178" s="56" t="e">
        <f>+'Proyectos Base digitable'!#REF!</f>
        <v>#REF!</v>
      </c>
      <c r="AW178" s="56" t="e">
        <f>+'Proyectos Base digitable'!#REF!</f>
        <v>#REF!</v>
      </c>
      <c r="AX178" s="56" t="e">
        <f>+'Proyectos Base digitable'!#REF!</f>
        <v>#REF!</v>
      </c>
      <c r="AY178" s="56" t="e">
        <f>+'Proyectos Base digitable'!#REF!</f>
        <v>#REF!</v>
      </c>
      <c r="AZ178" s="188" t="e">
        <f>+'Proyectos Base digitable'!#REF!</f>
        <v>#REF!</v>
      </c>
      <c r="BA178" s="188" t="e">
        <f>+'Proyectos Base digitable'!#REF!</f>
        <v>#REF!</v>
      </c>
    </row>
    <row r="179" spans="1:53" ht="12.5">
      <c r="A179" s="60" t="e">
        <f>+'Proyectos Base digitable'!#REF!</f>
        <v>#REF!</v>
      </c>
      <c r="B179" s="56" t="e">
        <f>+'Proyectos Base digitable'!#REF!</f>
        <v>#REF!</v>
      </c>
      <c r="C179" s="56" t="e">
        <f>+'Proyectos Base digitable'!#REF!</f>
        <v>#REF!</v>
      </c>
      <c r="D179" s="56" t="e">
        <f>+'Proyectos Base digitable'!#REF!</f>
        <v>#REF!</v>
      </c>
      <c r="E179" s="56" t="e">
        <f>+'Proyectos Base digitable'!#REF!</f>
        <v>#REF!</v>
      </c>
      <c r="F179" s="56" t="e">
        <f>+'Proyectos Base digitable'!#REF!</f>
        <v>#REF!</v>
      </c>
      <c r="G179" s="57" t="e">
        <f>+'Proyectos Base digitable'!#REF!</f>
        <v>#REF!</v>
      </c>
      <c r="H179" s="56" t="e">
        <f>+'Proyectos Base digitable'!#REF!</f>
        <v>#REF!</v>
      </c>
      <c r="I179" s="56" t="e">
        <f>+'Proyectos Base digitable'!#REF!</f>
        <v>#REF!</v>
      </c>
      <c r="J179" s="56" t="e">
        <f>+'Proyectos Base digitable'!#REF!</f>
        <v>#REF!</v>
      </c>
      <c r="K179" s="56" t="e">
        <f>+'Proyectos Base digitable'!#REF!</f>
        <v>#REF!</v>
      </c>
      <c r="L179" s="56" t="e">
        <f>+'Proyectos Base digitable'!#REF!</f>
        <v>#REF!</v>
      </c>
      <c r="M179" s="56" t="e">
        <f>+'Proyectos Base digitable'!#REF!</f>
        <v>#REF!</v>
      </c>
      <c r="N179" s="52" t="e">
        <f>+'Proyectos Base digitable'!#REF!</f>
        <v>#REF!</v>
      </c>
      <c r="O179" s="52" t="e">
        <f>+'Proyectos Base digitable'!#REF!</f>
        <v>#REF!</v>
      </c>
      <c r="P179" s="185" t="e">
        <f>+'Proyectos Base digitable'!#REF!</f>
        <v>#REF!</v>
      </c>
      <c r="Q179" s="58" t="e">
        <f>+'Proyectos Base digitable'!#REF!</f>
        <v>#REF!</v>
      </c>
      <c r="R179" s="58" t="e">
        <f>+'Proyectos Base digitable'!#REF!</f>
        <v>#REF!</v>
      </c>
      <c r="S179" s="58" t="e">
        <f>+'Proyectos Base digitable'!#REF!</f>
        <v>#REF!</v>
      </c>
      <c r="T179" s="58" t="e">
        <f>+'Proyectos Base digitable'!#REF!</f>
        <v>#REF!</v>
      </c>
      <c r="U179" s="63" t="e">
        <f>'Proyectos Base digitable'!#REF!</f>
        <v>#REF!</v>
      </c>
      <c r="V179" s="63" t="e">
        <f>'Proyectos Base digitable'!#REF!</f>
        <v>#REF!</v>
      </c>
      <c r="W179" s="63" t="e">
        <f>'Proyectos Base digitable'!#REF!</f>
        <v>#REF!</v>
      </c>
      <c r="X179" s="63" t="e">
        <f>'Proyectos Base digitable'!#REF!</f>
        <v>#REF!</v>
      </c>
      <c r="Y179" s="63" t="e">
        <f>'Proyectos Base digitable'!#REF!</f>
        <v>#REF!</v>
      </c>
      <c r="Z179" s="58" t="e">
        <f>+'Proyectos Base digitable'!#REF!</f>
        <v>#REF!</v>
      </c>
      <c r="AA179" s="58" t="e">
        <f>+'Proyectos Base digitable'!#REF!</f>
        <v>#REF!</v>
      </c>
      <c r="AB179" s="63" t="e">
        <f>'Proyectos Base digitable'!#REF!</f>
        <v>#REF!</v>
      </c>
      <c r="AC179" s="56" t="e">
        <f>+'Proyectos Base digitable'!#REF!</f>
        <v>#REF!</v>
      </c>
      <c r="AD179" s="52" t="e">
        <f>+'Proyectos Base digitable'!#REF!</f>
        <v>#REF!</v>
      </c>
      <c r="AE179" s="52" t="e">
        <f>+'Proyectos Base digitable'!#REF!</f>
        <v>#REF!</v>
      </c>
      <c r="AF179" s="52" t="e">
        <f>+'Proyectos Base digitable'!#REF!</f>
        <v>#REF!</v>
      </c>
      <c r="AG179" s="56" t="e">
        <f>+'Proyectos Base digitable'!#REF!</f>
        <v>#REF!</v>
      </c>
      <c r="AH179" s="52" t="e">
        <f>+'Proyectos Base digitable'!#REF!</f>
        <v>#REF!</v>
      </c>
      <c r="AI179" s="52" t="e">
        <f>+'Proyectos Base digitable'!#REF!</f>
        <v>#REF!</v>
      </c>
      <c r="AJ179" s="59" t="e">
        <f>+'Proyectos Base digitable'!#REF!</f>
        <v>#REF!</v>
      </c>
      <c r="AK179" s="186" t="e">
        <f>+'Proyectos Base digitable'!#REF!</f>
        <v>#REF!</v>
      </c>
      <c r="AL179" s="186" t="e">
        <f>+'Proyectos Base digitable'!#REF!</f>
        <v>#REF!</v>
      </c>
      <c r="AM179" s="186" t="e">
        <f>+'Proyectos Base digitable'!#REF!</f>
        <v>#REF!</v>
      </c>
      <c r="AN179" s="186" t="e">
        <f>+'Proyectos Base digitable'!#REF!</f>
        <v>#REF!</v>
      </c>
      <c r="AO179" s="186" t="e">
        <f>+'Proyectos Base digitable'!#REF!</f>
        <v>#REF!</v>
      </c>
      <c r="AP179" s="186" t="e">
        <f>+'Proyectos Base digitable'!#REF!</f>
        <v>#REF!</v>
      </c>
      <c r="AQ179" s="186" t="e">
        <f>+'Proyectos Base digitable'!#REF!</f>
        <v>#REF!</v>
      </c>
      <c r="AR179" s="186" t="e">
        <f>+'Proyectos Base digitable'!#REF!</f>
        <v>#REF!</v>
      </c>
      <c r="AS179" s="186" t="e">
        <f>+'Proyectos Base digitable'!#REF!</f>
        <v>#REF!</v>
      </c>
      <c r="AT179" s="187" t="e">
        <f>+'Proyectos Base digitable'!#REF!</f>
        <v>#REF!</v>
      </c>
      <c r="AU179" s="56" t="e">
        <f>+'Proyectos Base digitable'!#REF!</f>
        <v>#REF!</v>
      </c>
      <c r="AV179" s="56" t="e">
        <f>+'Proyectos Base digitable'!#REF!</f>
        <v>#REF!</v>
      </c>
      <c r="AW179" s="56" t="e">
        <f>+'Proyectos Base digitable'!#REF!</f>
        <v>#REF!</v>
      </c>
      <c r="AX179" s="56" t="e">
        <f>+'Proyectos Base digitable'!#REF!</f>
        <v>#REF!</v>
      </c>
      <c r="AY179" s="56" t="e">
        <f>+'Proyectos Base digitable'!#REF!</f>
        <v>#REF!</v>
      </c>
      <c r="AZ179" s="188" t="e">
        <f>+'Proyectos Base digitable'!#REF!</f>
        <v>#REF!</v>
      </c>
      <c r="BA179" s="188" t="e">
        <f>+'Proyectos Base digitable'!#REF!</f>
        <v>#REF!</v>
      </c>
    </row>
    <row r="180" spans="1:53" ht="12.5">
      <c r="A180" s="60" t="e">
        <f>+'Proyectos Base digitable'!#REF!</f>
        <v>#REF!</v>
      </c>
      <c r="B180" s="56" t="e">
        <f>+'Proyectos Base digitable'!#REF!</f>
        <v>#REF!</v>
      </c>
      <c r="C180" s="56" t="e">
        <f>+'Proyectos Base digitable'!#REF!</f>
        <v>#REF!</v>
      </c>
      <c r="D180" s="56" t="e">
        <f>+'Proyectos Base digitable'!#REF!</f>
        <v>#REF!</v>
      </c>
      <c r="E180" s="56" t="e">
        <f>+'Proyectos Base digitable'!#REF!</f>
        <v>#REF!</v>
      </c>
      <c r="F180" s="56" t="e">
        <f>+'Proyectos Base digitable'!#REF!</f>
        <v>#REF!</v>
      </c>
      <c r="G180" s="57" t="e">
        <f>+'Proyectos Base digitable'!#REF!</f>
        <v>#REF!</v>
      </c>
      <c r="H180" s="56" t="e">
        <f>+'Proyectos Base digitable'!#REF!</f>
        <v>#REF!</v>
      </c>
      <c r="I180" s="56" t="e">
        <f>+'Proyectos Base digitable'!#REF!</f>
        <v>#REF!</v>
      </c>
      <c r="J180" s="56" t="e">
        <f>+'Proyectos Base digitable'!#REF!</f>
        <v>#REF!</v>
      </c>
      <c r="K180" s="56" t="e">
        <f>+'Proyectos Base digitable'!#REF!</f>
        <v>#REF!</v>
      </c>
      <c r="L180" s="56" t="e">
        <f>+'Proyectos Base digitable'!#REF!</f>
        <v>#REF!</v>
      </c>
      <c r="M180" s="56" t="e">
        <f>+'Proyectos Base digitable'!#REF!</f>
        <v>#REF!</v>
      </c>
      <c r="N180" s="52" t="e">
        <f>+'Proyectos Base digitable'!#REF!</f>
        <v>#REF!</v>
      </c>
      <c r="O180" s="52" t="e">
        <f>+'Proyectos Base digitable'!#REF!</f>
        <v>#REF!</v>
      </c>
      <c r="P180" s="185" t="e">
        <f>+'Proyectos Base digitable'!#REF!</f>
        <v>#REF!</v>
      </c>
      <c r="Q180" s="58" t="e">
        <f>+'Proyectos Base digitable'!#REF!</f>
        <v>#REF!</v>
      </c>
      <c r="R180" s="58" t="e">
        <f>+'Proyectos Base digitable'!#REF!</f>
        <v>#REF!</v>
      </c>
      <c r="S180" s="58" t="e">
        <f>+'Proyectos Base digitable'!#REF!</f>
        <v>#REF!</v>
      </c>
      <c r="T180" s="58" t="e">
        <f>+'Proyectos Base digitable'!#REF!</f>
        <v>#REF!</v>
      </c>
      <c r="U180" s="63" t="e">
        <f>'Proyectos Base digitable'!#REF!</f>
        <v>#REF!</v>
      </c>
      <c r="V180" s="63" t="e">
        <f>'Proyectos Base digitable'!#REF!</f>
        <v>#REF!</v>
      </c>
      <c r="W180" s="63" t="e">
        <f>'Proyectos Base digitable'!#REF!</f>
        <v>#REF!</v>
      </c>
      <c r="X180" s="63" t="e">
        <f>'Proyectos Base digitable'!#REF!</f>
        <v>#REF!</v>
      </c>
      <c r="Y180" s="63" t="e">
        <f>'Proyectos Base digitable'!#REF!</f>
        <v>#REF!</v>
      </c>
      <c r="Z180" s="58" t="e">
        <f>+'Proyectos Base digitable'!#REF!</f>
        <v>#REF!</v>
      </c>
      <c r="AA180" s="58" t="e">
        <f>+'Proyectos Base digitable'!#REF!</f>
        <v>#REF!</v>
      </c>
      <c r="AB180" s="63" t="e">
        <f>'Proyectos Base digitable'!#REF!</f>
        <v>#REF!</v>
      </c>
      <c r="AC180" s="56" t="e">
        <f>+'Proyectos Base digitable'!#REF!</f>
        <v>#REF!</v>
      </c>
      <c r="AD180" s="52" t="e">
        <f>+'Proyectos Base digitable'!#REF!</f>
        <v>#REF!</v>
      </c>
      <c r="AE180" s="52" t="e">
        <f>+'Proyectos Base digitable'!#REF!</f>
        <v>#REF!</v>
      </c>
      <c r="AF180" s="52" t="e">
        <f>+'Proyectos Base digitable'!#REF!</f>
        <v>#REF!</v>
      </c>
      <c r="AG180" s="56" t="e">
        <f>+'Proyectos Base digitable'!#REF!</f>
        <v>#REF!</v>
      </c>
      <c r="AH180" s="52" t="e">
        <f>+'Proyectos Base digitable'!#REF!</f>
        <v>#REF!</v>
      </c>
      <c r="AI180" s="52" t="e">
        <f>+'Proyectos Base digitable'!#REF!</f>
        <v>#REF!</v>
      </c>
      <c r="AJ180" s="59" t="e">
        <f>+'Proyectos Base digitable'!#REF!</f>
        <v>#REF!</v>
      </c>
      <c r="AK180" s="186" t="e">
        <f>+'Proyectos Base digitable'!#REF!</f>
        <v>#REF!</v>
      </c>
      <c r="AL180" s="186" t="e">
        <f>+'Proyectos Base digitable'!#REF!</f>
        <v>#REF!</v>
      </c>
      <c r="AM180" s="186" t="e">
        <f>+'Proyectos Base digitable'!#REF!</f>
        <v>#REF!</v>
      </c>
      <c r="AN180" s="186" t="e">
        <f>+'Proyectos Base digitable'!#REF!</f>
        <v>#REF!</v>
      </c>
      <c r="AO180" s="186" t="e">
        <f>+'Proyectos Base digitable'!#REF!</f>
        <v>#REF!</v>
      </c>
      <c r="AP180" s="186" t="e">
        <f>+'Proyectos Base digitable'!#REF!</f>
        <v>#REF!</v>
      </c>
      <c r="AQ180" s="186" t="e">
        <f>+'Proyectos Base digitable'!#REF!</f>
        <v>#REF!</v>
      </c>
      <c r="AR180" s="186" t="e">
        <f>+'Proyectos Base digitable'!#REF!</f>
        <v>#REF!</v>
      </c>
      <c r="AS180" s="186" t="e">
        <f>+'Proyectos Base digitable'!#REF!</f>
        <v>#REF!</v>
      </c>
      <c r="AT180" s="187" t="e">
        <f>+'Proyectos Base digitable'!#REF!</f>
        <v>#REF!</v>
      </c>
      <c r="AU180" s="56" t="e">
        <f>+'Proyectos Base digitable'!#REF!</f>
        <v>#REF!</v>
      </c>
      <c r="AV180" s="56" t="e">
        <f>+'Proyectos Base digitable'!#REF!</f>
        <v>#REF!</v>
      </c>
      <c r="AW180" s="56" t="e">
        <f>+'Proyectos Base digitable'!#REF!</f>
        <v>#REF!</v>
      </c>
      <c r="AX180" s="56" t="e">
        <f>+'Proyectos Base digitable'!#REF!</f>
        <v>#REF!</v>
      </c>
      <c r="AY180" s="56" t="e">
        <f>+'Proyectos Base digitable'!#REF!</f>
        <v>#REF!</v>
      </c>
      <c r="AZ180" s="188" t="e">
        <f>+'Proyectos Base digitable'!#REF!</f>
        <v>#REF!</v>
      </c>
      <c r="BA180" s="188" t="e">
        <f>+'Proyectos Base digitable'!#REF!</f>
        <v>#REF!</v>
      </c>
    </row>
    <row r="181" spans="1:53" ht="12.5">
      <c r="A181" s="60" t="e">
        <f>+'Proyectos Base digitable'!#REF!</f>
        <v>#REF!</v>
      </c>
      <c r="B181" s="56" t="e">
        <f>+'Proyectos Base digitable'!#REF!</f>
        <v>#REF!</v>
      </c>
      <c r="C181" s="56" t="e">
        <f>+'Proyectos Base digitable'!#REF!</f>
        <v>#REF!</v>
      </c>
      <c r="D181" s="56" t="e">
        <f>+'Proyectos Base digitable'!#REF!</f>
        <v>#REF!</v>
      </c>
      <c r="E181" s="56" t="e">
        <f>+'Proyectos Base digitable'!#REF!</f>
        <v>#REF!</v>
      </c>
      <c r="F181" s="56" t="e">
        <f>+'Proyectos Base digitable'!#REF!</f>
        <v>#REF!</v>
      </c>
      <c r="G181" s="57" t="e">
        <f>+'Proyectos Base digitable'!#REF!</f>
        <v>#REF!</v>
      </c>
      <c r="H181" s="56" t="e">
        <f>+'Proyectos Base digitable'!#REF!</f>
        <v>#REF!</v>
      </c>
      <c r="I181" s="56" t="e">
        <f>+'Proyectos Base digitable'!#REF!</f>
        <v>#REF!</v>
      </c>
      <c r="J181" s="56" t="e">
        <f>+'Proyectos Base digitable'!#REF!</f>
        <v>#REF!</v>
      </c>
      <c r="K181" s="56" t="e">
        <f>+'Proyectos Base digitable'!#REF!</f>
        <v>#REF!</v>
      </c>
      <c r="L181" s="56" t="e">
        <f>+'Proyectos Base digitable'!#REF!</f>
        <v>#REF!</v>
      </c>
      <c r="M181" s="56" t="e">
        <f>+'Proyectos Base digitable'!#REF!</f>
        <v>#REF!</v>
      </c>
      <c r="N181" s="52" t="e">
        <f>+'Proyectos Base digitable'!#REF!</f>
        <v>#REF!</v>
      </c>
      <c r="O181" s="52" t="e">
        <f>+'Proyectos Base digitable'!#REF!</f>
        <v>#REF!</v>
      </c>
      <c r="P181" s="185" t="e">
        <f>+'Proyectos Base digitable'!#REF!</f>
        <v>#REF!</v>
      </c>
      <c r="Q181" s="58" t="e">
        <f>+'Proyectos Base digitable'!#REF!</f>
        <v>#REF!</v>
      </c>
      <c r="R181" s="58" t="e">
        <f>+'Proyectos Base digitable'!#REF!</f>
        <v>#REF!</v>
      </c>
      <c r="S181" s="58" t="e">
        <f>+'Proyectos Base digitable'!#REF!</f>
        <v>#REF!</v>
      </c>
      <c r="T181" s="58" t="e">
        <f>+'Proyectos Base digitable'!#REF!</f>
        <v>#REF!</v>
      </c>
      <c r="U181" s="63" t="e">
        <f>'Proyectos Base digitable'!#REF!</f>
        <v>#REF!</v>
      </c>
      <c r="V181" s="63" t="e">
        <f>'Proyectos Base digitable'!#REF!</f>
        <v>#REF!</v>
      </c>
      <c r="W181" s="63" t="e">
        <f>'Proyectos Base digitable'!#REF!</f>
        <v>#REF!</v>
      </c>
      <c r="X181" s="63" t="e">
        <f>'Proyectos Base digitable'!#REF!</f>
        <v>#REF!</v>
      </c>
      <c r="Y181" s="63" t="e">
        <f>'Proyectos Base digitable'!#REF!</f>
        <v>#REF!</v>
      </c>
      <c r="Z181" s="58" t="e">
        <f>+'Proyectos Base digitable'!#REF!</f>
        <v>#REF!</v>
      </c>
      <c r="AA181" s="58" t="e">
        <f>+'Proyectos Base digitable'!#REF!</f>
        <v>#REF!</v>
      </c>
      <c r="AB181" s="63" t="e">
        <f>'Proyectos Base digitable'!#REF!</f>
        <v>#REF!</v>
      </c>
      <c r="AC181" s="56" t="e">
        <f>+'Proyectos Base digitable'!#REF!</f>
        <v>#REF!</v>
      </c>
      <c r="AD181" s="52" t="e">
        <f>+'Proyectos Base digitable'!#REF!</f>
        <v>#REF!</v>
      </c>
      <c r="AE181" s="52" t="e">
        <f>+'Proyectos Base digitable'!#REF!</f>
        <v>#REF!</v>
      </c>
      <c r="AF181" s="52" t="e">
        <f>+'Proyectos Base digitable'!#REF!</f>
        <v>#REF!</v>
      </c>
      <c r="AG181" s="56" t="e">
        <f>+'Proyectos Base digitable'!#REF!</f>
        <v>#REF!</v>
      </c>
      <c r="AH181" s="52" t="e">
        <f>+'Proyectos Base digitable'!#REF!</f>
        <v>#REF!</v>
      </c>
      <c r="AI181" s="52" t="e">
        <f>+'Proyectos Base digitable'!#REF!</f>
        <v>#REF!</v>
      </c>
      <c r="AJ181" s="59" t="e">
        <f>+'Proyectos Base digitable'!#REF!</f>
        <v>#REF!</v>
      </c>
      <c r="AK181" s="186" t="e">
        <f>+'Proyectos Base digitable'!#REF!</f>
        <v>#REF!</v>
      </c>
      <c r="AL181" s="186" t="e">
        <f>+'Proyectos Base digitable'!#REF!</f>
        <v>#REF!</v>
      </c>
      <c r="AM181" s="186" t="e">
        <f>+'Proyectos Base digitable'!#REF!</f>
        <v>#REF!</v>
      </c>
      <c r="AN181" s="186" t="e">
        <f>+'Proyectos Base digitable'!#REF!</f>
        <v>#REF!</v>
      </c>
      <c r="AO181" s="186" t="e">
        <f>+'Proyectos Base digitable'!#REF!</f>
        <v>#REF!</v>
      </c>
      <c r="AP181" s="186" t="e">
        <f>+'Proyectos Base digitable'!#REF!</f>
        <v>#REF!</v>
      </c>
      <c r="AQ181" s="186" t="e">
        <f>+'Proyectos Base digitable'!#REF!</f>
        <v>#REF!</v>
      </c>
      <c r="AR181" s="186" t="e">
        <f>+'Proyectos Base digitable'!#REF!</f>
        <v>#REF!</v>
      </c>
      <c r="AS181" s="186" t="e">
        <f>+'Proyectos Base digitable'!#REF!</f>
        <v>#REF!</v>
      </c>
      <c r="AT181" s="187" t="e">
        <f>+'Proyectos Base digitable'!#REF!</f>
        <v>#REF!</v>
      </c>
      <c r="AU181" s="56" t="e">
        <f>+'Proyectos Base digitable'!#REF!</f>
        <v>#REF!</v>
      </c>
      <c r="AV181" s="56" t="e">
        <f>+'Proyectos Base digitable'!#REF!</f>
        <v>#REF!</v>
      </c>
      <c r="AW181" s="56" t="e">
        <f>+'Proyectos Base digitable'!#REF!</f>
        <v>#REF!</v>
      </c>
      <c r="AX181" s="56" t="e">
        <f>+'Proyectos Base digitable'!#REF!</f>
        <v>#REF!</v>
      </c>
      <c r="AY181" s="56" t="e">
        <f>+'Proyectos Base digitable'!#REF!</f>
        <v>#REF!</v>
      </c>
      <c r="AZ181" s="188" t="e">
        <f>+'Proyectos Base digitable'!#REF!</f>
        <v>#REF!</v>
      </c>
      <c r="BA181" s="188" t="e">
        <f>+'Proyectos Base digitable'!#REF!</f>
        <v>#REF!</v>
      </c>
    </row>
    <row r="182" spans="1:53" ht="12.5">
      <c r="A182" s="60" t="e">
        <f>+'Proyectos Base digitable'!#REF!</f>
        <v>#REF!</v>
      </c>
      <c r="B182" s="56" t="e">
        <f>+'Proyectos Base digitable'!#REF!</f>
        <v>#REF!</v>
      </c>
      <c r="C182" s="56" t="e">
        <f>+'Proyectos Base digitable'!#REF!</f>
        <v>#REF!</v>
      </c>
      <c r="D182" s="56" t="e">
        <f>+'Proyectos Base digitable'!#REF!</f>
        <v>#REF!</v>
      </c>
      <c r="E182" s="56" t="e">
        <f>+'Proyectos Base digitable'!#REF!</f>
        <v>#REF!</v>
      </c>
      <c r="F182" s="56" t="e">
        <f>+'Proyectos Base digitable'!#REF!</f>
        <v>#REF!</v>
      </c>
      <c r="G182" s="57" t="e">
        <f>+'Proyectos Base digitable'!#REF!</f>
        <v>#REF!</v>
      </c>
      <c r="H182" s="56" t="e">
        <f>+'Proyectos Base digitable'!#REF!</f>
        <v>#REF!</v>
      </c>
      <c r="I182" s="56" t="e">
        <f>+'Proyectos Base digitable'!#REF!</f>
        <v>#REF!</v>
      </c>
      <c r="J182" s="56" t="e">
        <f>+'Proyectos Base digitable'!#REF!</f>
        <v>#REF!</v>
      </c>
      <c r="K182" s="56" t="e">
        <f>+'Proyectos Base digitable'!#REF!</f>
        <v>#REF!</v>
      </c>
      <c r="L182" s="56" t="e">
        <f>+'Proyectos Base digitable'!#REF!</f>
        <v>#REF!</v>
      </c>
      <c r="M182" s="56" t="e">
        <f>+'Proyectos Base digitable'!#REF!</f>
        <v>#REF!</v>
      </c>
      <c r="N182" s="52" t="e">
        <f>+'Proyectos Base digitable'!#REF!</f>
        <v>#REF!</v>
      </c>
      <c r="O182" s="52" t="e">
        <f>+'Proyectos Base digitable'!#REF!</f>
        <v>#REF!</v>
      </c>
      <c r="P182" s="185" t="e">
        <f>+'Proyectos Base digitable'!#REF!</f>
        <v>#REF!</v>
      </c>
      <c r="Q182" s="58" t="e">
        <f>+'Proyectos Base digitable'!#REF!</f>
        <v>#REF!</v>
      </c>
      <c r="R182" s="58" t="e">
        <f>+'Proyectos Base digitable'!#REF!</f>
        <v>#REF!</v>
      </c>
      <c r="S182" s="58" t="e">
        <f>+'Proyectos Base digitable'!#REF!</f>
        <v>#REF!</v>
      </c>
      <c r="T182" s="58" t="e">
        <f>+'Proyectos Base digitable'!#REF!</f>
        <v>#REF!</v>
      </c>
      <c r="U182" s="63" t="e">
        <f>'Proyectos Base digitable'!#REF!</f>
        <v>#REF!</v>
      </c>
      <c r="V182" s="63" t="e">
        <f>'Proyectos Base digitable'!#REF!</f>
        <v>#REF!</v>
      </c>
      <c r="W182" s="63" t="e">
        <f>'Proyectos Base digitable'!#REF!</f>
        <v>#REF!</v>
      </c>
      <c r="X182" s="63" t="e">
        <f>'Proyectos Base digitable'!#REF!</f>
        <v>#REF!</v>
      </c>
      <c r="Y182" s="63" t="e">
        <f>'Proyectos Base digitable'!#REF!</f>
        <v>#REF!</v>
      </c>
      <c r="Z182" s="58" t="e">
        <f>+'Proyectos Base digitable'!#REF!</f>
        <v>#REF!</v>
      </c>
      <c r="AA182" s="58" t="e">
        <f>+'Proyectos Base digitable'!#REF!</f>
        <v>#REF!</v>
      </c>
      <c r="AB182" s="63" t="e">
        <f>'Proyectos Base digitable'!#REF!</f>
        <v>#REF!</v>
      </c>
      <c r="AC182" s="56" t="e">
        <f>+'Proyectos Base digitable'!#REF!</f>
        <v>#REF!</v>
      </c>
      <c r="AD182" s="52" t="e">
        <f>+'Proyectos Base digitable'!#REF!</f>
        <v>#REF!</v>
      </c>
      <c r="AE182" s="52" t="e">
        <f>+'Proyectos Base digitable'!#REF!</f>
        <v>#REF!</v>
      </c>
      <c r="AF182" s="52" t="e">
        <f>+'Proyectos Base digitable'!#REF!</f>
        <v>#REF!</v>
      </c>
      <c r="AG182" s="56" t="e">
        <f>+'Proyectos Base digitable'!#REF!</f>
        <v>#REF!</v>
      </c>
      <c r="AH182" s="52" t="e">
        <f>+'Proyectos Base digitable'!#REF!</f>
        <v>#REF!</v>
      </c>
      <c r="AI182" s="52" t="e">
        <f>+'Proyectos Base digitable'!#REF!</f>
        <v>#REF!</v>
      </c>
      <c r="AJ182" s="59" t="e">
        <f>+'Proyectos Base digitable'!#REF!</f>
        <v>#REF!</v>
      </c>
      <c r="AK182" s="186" t="e">
        <f>+'Proyectos Base digitable'!#REF!</f>
        <v>#REF!</v>
      </c>
      <c r="AL182" s="186" t="e">
        <f>+'Proyectos Base digitable'!#REF!</f>
        <v>#REF!</v>
      </c>
      <c r="AM182" s="186" t="e">
        <f>+'Proyectos Base digitable'!#REF!</f>
        <v>#REF!</v>
      </c>
      <c r="AN182" s="186" t="e">
        <f>+'Proyectos Base digitable'!#REF!</f>
        <v>#REF!</v>
      </c>
      <c r="AO182" s="186" t="e">
        <f>+'Proyectos Base digitable'!#REF!</f>
        <v>#REF!</v>
      </c>
      <c r="AP182" s="186" t="e">
        <f>+'Proyectos Base digitable'!#REF!</f>
        <v>#REF!</v>
      </c>
      <c r="AQ182" s="186" t="e">
        <f>+'Proyectos Base digitable'!#REF!</f>
        <v>#REF!</v>
      </c>
      <c r="AR182" s="186" t="e">
        <f>+'Proyectos Base digitable'!#REF!</f>
        <v>#REF!</v>
      </c>
      <c r="AS182" s="186" t="e">
        <f>+'Proyectos Base digitable'!#REF!</f>
        <v>#REF!</v>
      </c>
      <c r="AT182" s="187" t="e">
        <f>+'Proyectos Base digitable'!#REF!</f>
        <v>#REF!</v>
      </c>
      <c r="AU182" s="56" t="e">
        <f>+'Proyectos Base digitable'!#REF!</f>
        <v>#REF!</v>
      </c>
      <c r="AV182" s="56" t="e">
        <f>+'Proyectos Base digitable'!#REF!</f>
        <v>#REF!</v>
      </c>
      <c r="AW182" s="56" t="e">
        <f>+'Proyectos Base digitable'!#REF!</f>
        <v>#REF!</v>
      </c>
      <c r="AX182" s="56" t="e">
        <f>+'Proyectos Base digitable'!#REF!</f>
        <v>#REF!</v>
      </c>
      <c r="AY182" s="56" t="e">
        <f>+'Proyectos Base digitable'!#REF!</f>
        <v>#REF!</v>
      </c>
      <c r="AZ182" s="188" t="e">
        <f>+'Proyectos Base digitable'!#REF!</f>
        <v>#REF!</v>
      </c>
      <c r="BA182" s="188" t="e">
        <f>+'Proyectos Base digitable'!#REF!</f>
        <v>#REF!</v>
      </c>
    </row>
    <row r="183" spans="1:53" ht="12.5">
      <c r="A183" s="60" t="e">
        <f>+'Proyectos Base digitable'!#REF!</f>
        <v>#REF!</v>
      </c>
      <c r="B183" s="56" t="e">
        <f>+'Proyectos Base digitable'!#REF!</f>
        <v>#REF!</v>
      </c>
      <c r="C183" s="56" t="e">
        <f>+'Proyectos Base digitable'!#REF!</f>
        <v>#REF!</v>
      </c>
      <c r="D183" s="56" t="e">
        <f>+'Proyectos Base digitable'!#REF!</f>
        <v>#REF!</v>
      </c>
      <c r="E183" s="56" t="e">
        <f>+'Proyectos Base digitable'!#REF!</f>
        <v>#REF!</v>
      </c>
      <c r="F183" s="56" t="e">
        <f>+'Proyectos Base digitable'!#REF!</f>
        <v>#REF!</v>
      </c>
      <c r="G183" s="57" t="e">
        <f>+'Proyectos Base digitable'!#REF!</f>
        <v>#REF!</v>
      </c>
      <c r="H183" s="56" t="e">
        <f>+'Proyectos Base digitable'!#REF!</f>
        <v>#REF!</v>
      </c>
      <c r="I183" s="56" t="e">
        <f>+'Proyectos Base digitable'!#REF!</f>
        <v>#REF!</v>
      </c>
      <c r="J183" s="56" t="e">
        <f>+'Proyectos Base digitable'!#REF!</f>
        <v>#REF!</v>
      </c>
      <c r="K183" s="56" t="e">
        <f>+'Proyectos Base digitable'!#REF!</f>
        <v>#REF!</v>
      </c>
      <c r="L183" s="56" t="e">
        <f>+'Proyectos Base digitable'!#REF!</f>
        <v>#REF!</v>
      </c>
      <c r="M183" s="56" t="e">
        <f>+'Proyectos Base digitable'!#REF!</f>
        <v>#REF!</v>
      </c>
      <c r="N183" s="52" t="e">
        <f>+'Proyectos Base digitable'!#REF!</f>
        <v>#REF!</v>
      </c>
      <c r="O183" s="52" t="e">
        <f>+'Proyectos Base digitable'!#REF!</f>
        <v>#REF!</v>
      </c>
      <c r="P183" s="185" t="e">
        <f>+'Proyectos Base digitable'!#REF!</f>
        <v>#REF!</v>
      </c>
      <c r="Q183" s="58" t="e">
        <f>+'Proyectos Base digitable'!#REF!</f>
        <v>#REF!</v>
      </c>
      <c r="R183" s="58" t="e">
        <f>+'Proyectos Base digitable'!#REF!</f>
        <v>#REF!</v>
      </c>
      <c r="S183" s="58" t="e">
        <f>+'Proyectos Base digitable'!#REF!</f>
        <v>#REF!</v>
      </c>
      <c r="T183" s="58" t="e">
        <f>+'Proyectos Base digitable'!#REF!</f>
        <v>#REF!</v>
      </c>
      <c r="U183" s="63" t="e">
        <f>'Proyectos Base digitable'!#REF!</f>
        <v>#REF!</v>
      </c>
      <c r="V183" s="63" t="e">
        <f>'Proyectos Base digitable'!#REF!</f>
        <v>#REF!</v>
      </c>
      <c r="W183" s="63" t="e">
        <f>'Proyectos Base digitable'!#REF!</f>
        <v>#REF!</v>
      </c>
      <c r="X183" s="63" t="e">
        <f>'Proyectos Base digitable'!#REF!</f>
        <v>#REF!</v>
      </c>
      <c r="Y183" s="63" t="e">
        <f>'Proyectos Base digitable'!#REF!</f>
        <v>#REF!</v>
      </c>
      <c r="Z183" s="58" t="e">
        <f>+'Proyectos Base digitable'!#REF!</f>
        <v>#REF!</v>
      </c>
      <c r="AA183" s="58" t="e">
        <f>+'Proyectos Base digitable'!#REF!</f>
        <v>#REF!</v>
      </c>
      <c r="AB183" s="63" t="e">
        <f>'Proyectos Base digitable'!#REF!</f>
        <v>#REF!</v>
      </c>
      <c r="AC183" s="56" t="e">
        <f>+'Proyectos Base digitable'!#REF!</f>
        <v>#REF!</v>
      </c>
      <c r="AD183" s="52" t="e">
        <f>+'Proyectos Base digitable'!#REF!</f>
        <v>#REF!</v>
      </c>
      <c r="AE183" s="52" t="e">
        <f>+'Proyectos Base digitable'!#REF!</f>
        <v>#REF!</v>
      </c>
      <c r="AF183" s="52" t="e">
        <f>+'Proyectos Base digitable'!#REF!</f>
        <v>#REF!</v>
      </c>
      <c r="AG183" s="56" t="e">
        <f>+'Proyectos Base digitable'!#REF!</f>
        <v>#REF!</v>
      </c>
      <c r="AH183" s="52" t="e">
        <f>+'Proyectos Base digitable'!#REF!</f>
        <v>#REF!</v>
      </c>
      <c r="AI183" s="52" t="e">
        <f>+'Proyectos Base digitable'!#REF!</f>
        <v>#REF!</v>
      </c>
      <c r="AJ183" s="59" t="e">
        <f>+'Proyectos Base digitable'!#REF!</f>
        <v>#REF!</v>
      </c>
      <c r="AK183" s="186" t="e">
        <f>+'Proyectos Base digitable'!#REF!</f>
        <v>#REF!</v>
      </c>
      <c r="AL183" s="186" t="e">
        <f>+'Proyectos Base digitable'!#REF!</f>
        <v>#REF!</v>
      </c>
      <c r="AM183" s="186" t="e">
        <f>+'Proyectos Base digitable'!#REF!</f>
        <v>#REF!</v>
      </c>
      <c r="AN183" s="186" t="e">
        <f>+'Proyectos Base digitable'!#REF!</f>
        <v>#REF!</v>
      </c>
      <c r="AO183" s="186" t="e">
        <f>+'Proyectos Base digitable'!#REF!</f>
        <v>#REF!</v>
      </c>
      <c r="AP183" s="186" t="e">
        <f>+'Proyectos Base digitable'!#REF!</f>
        <v>#REF!</v>
      </c>
      <c r="AQ183" s="186" t="e">
        <f>+'Proyectos Base digitable'!#REF!</f>
        <v>#REF!</v>
      </c>
      <c r="AR183" s="186" t="e">
        <f>+'Proyectos Base digitable'!#REF!</f>
        <v>#REF!</v>
      </c>
      <c r="AS183" s="186" t="e">
        <f>+'Proyectos Base digitable'!#REF!</f>
        <v>#REF!</v>
      </c>
      <c r="AT183" s="187" t="e">
        <f>+'Proyectos Base digitable'!#REF!</f>
        <v>#REF!</v>
      </c>
      <c r="AU183" s="56" t="e">
        <f>+'Proyectos Base digitable'!#REF!</f>
        <v>#REF!</v>
      </c>
      <c r="AV183" s="56" t="e">
        <f>+'Proyectos Base digitable'!#REF!</f>
        <v>#REF!</v>
      </c>
      <c r="AW183" s="56" t="e">
        <f>+'Proyectos Base digitable'!#REF!</f>
        <v>#REF!</v>
      </c>
      <c r="AX183" s="56" t="e">
        <f>+'Proyectos Base digitable'!#REF!</f>
        <v>#REF!</v>
      </c>
      <c r="AY183" s="56" t="e">
        <f>+'Proyectos Base digitable'!#REF!</f>
        <v>#REF!</v>
      </c>
      <c r="AZ183" s="188" t="e">
        <f>+'Proyectos Base digitable'!#REF!</f>
        <v>#REF!</v>
      </c>
      <c r="BA183" s="188" t="e">
        <f>+'Proyectos Base digitable'!#REF!</f>
        <v>#REF!</v>
      </c>
    </row>
    <row r="184" spans="1:53" ht="12.5">
      <c r="A184" s="60" t="e">
        <f>+'Proyectos Base digitable'!#REF!</f>
        <v>#REF!</v>
      </c>
      <c r="B184" s="56" t="e">
        <f>+'Proyectos Base digitable'!#REF!</f>
        <v>#REF!</v>
      </c>
      <c r="C184" s="56" t="e">
        <f>+'Proyectos Base digitable'!#REF!</f>
        <v>#REF!</v>
      </c>
      <c r="D184" s="56" t="e">
        <f>+'Proyectos Base digitable'!#REF!</f>
        <v>#REF!</v>
      </c>
      <c r="E184" s="56" t="e">
        <f>+'Proyectos Base digitable'!#REF!</f>
        <v>#REF!</v>
      </c>
      <c r="F184" s="56" t="e">
        <f>+'Proyectos Base digitable'!#REF!</f>
        <v>#REF!</v>
      </c>
      <c r="G184" s="57" t="e">
        <f>+'Proyectos Base digitable'!#REF!</f>
        <v>#REF!</v>
      </c>
      <c r="H184" s="56" t="e">
        <f>+'Proyectos Base digitable'!#REF!</f>
        <v>#REF!</v>
      </c>
      <c r="I184" s="56" t="e">
        <f>+'Proyectos Base digitable'!#REF!</f>
        <v>#REF!</v>
      </c>
      <c r="J184" s="56" t="e">
        <f>+'Proyectos Base digitable'!#REF!</f>
        <v>#REF!</v>
      </c>
      <c r="K184" s="56" t="e">
        <f>+'Proyectos Base digitable'!#REF!</f>
        <v>#REF!</v>
      </c>
      <c r="L184" s="56" t="e">
        <f>+'Proyectos Base digitable'!#REF!</f>
        <v>#REF!</v>
      </c>
      <c r="M184" s="56" t="e">
        <f>+'Proyectos Base digitable'!#REF!</f>
        <v>#REF!</v>
      </c>
      <c r="N184" s="52" t="e">
        <f>+'Proyectos Base digitable'!#REF!</f>
        <v>#REF!</v>
      </c>
      <c r="O184" s="52" t="e">
        <f>+'Proyectos Base digitable'!#REF!</f>
        <v>#REF!</v>
      </c>
      <c r="P184" s="185" t="e">
        <f>+'Proyectos Base digitable'!#REF!</f>
        <v>#REF!</v>
      </c>
      <c r="Q184" s="58" t="e">
        <f>+'Proyectos Base digitable'!#REF!</f>
        <v>#REF!</v>
      </c>
      <c r="R184" s="58" t="e">
        <f>+'Proyectos Base digitable'!#REF!</f>
        <v>#REF!</v>
      </c>
      <c r="S184" s="58" t="e">
        <f>+'Proyectos Base digitable'!#REF!</f>
        <v>#REF!</v>
      </c>
      <c r="T184" s="58" t="e">
        <f>+'Proyectos Base digitable'!#REF!</f>
        <v>#REF!</v>
      </c>
      <c r="U184" s="63" t="e">
        <f>'Proyectos Base digitable'!#REF!</f>
        <v>#REF!</v>
      </c>
      <c r="V184" s="63" t="e">
        <f>'Proyectos Base digitable'!#REF!</f>
        <v>#REF!</v>
      </c>
      <c r="W184" s="63" t="e">
        <f>'Proyectos Base digitable'!#REF!</f>
        <v>#REF!</v>
      </c>
      <c r="X184" s="63" t="e">
        <f>'Proyectos Base digitable'!#REF!</f>
        <v>#REF!</v>
      </c>
      <c r="Y184" s="63" t="e">
        <f>'Proyectos Base digitable'!#REF!</f>
        <v>#REF!</v>
      </c>
      <c r="Z184" s="58" t="e">
        <f>+'Proyectos Base digitable'!#REF!</f>
        <v>#REF!</v>
      </c>
      <c r="AA184" s="58" t="e">
        <f>+'Proyectos Base digitable'!#REF!</f>
        <v>#REF!</v>
      </c>
      <c r="AB184" s="63" t="e">
        <f>'Proyectos Base digitable'!#REF!</f>
        <v>#REF!</v>
      </c>
      <c r="AC184" s="56" t="e">
        <f>+'Proyectos Base digitable'!#REF!</f>
        <v>#REF!</v>
      </c>
      <c r="AD184" s="52" t="e">
        <f>+'Proyectos Base digitable'!#REF!</f>
        <v>#REF!</v>
      </c>
      <c r="AE184" s="52" t="e">
        <f>+'Proyectos Base digitable'!#REF!</f>
        <v>#REF!</v>
      </c>
      <c r="AF184" s="52" t="e">
        <f>+'Proyectos Base digitable'!#REF!</f>
        <v>#REF!</v>
      </c>
      <c r="AG184" s="56" t="e">
        <f>+'Proyectos Base digitable'!#REF!</f>
        <v>#REF!</v>
      </c>
      <c r="AH184" s="52" t="e">
        <f>+'Proyectos Base digitable'!#REF!</f>
        <v>#REF!</v>
      </c>
      <c r="AI184" s="52" t="e">
        <f>+'Proyectos Base digitable'!#REF!</f>
        <v>#REF!</v>
      </c>
      <c r="AJ184" s="59" t="e">
        <f>+'Proyectos Base digitable'!#REF!</f>
        <v>#REF!</v>
      </c>
      <c r="AK184" s="186" t="e">
        <f>+'Proyectos Base digitable'!#REF!</f>
        <v>#REF!</v>
      </c>
      <c r="AL184" s="186" t="e">
        <f>+'Proyectos Base digitable'!#REF!</f>
        <v>#REF!</v>
      </c>
      <c r="AM184" s="186" t="e">
        <f>+'Proyectos Base digitable'!#REF!</f>
        <v>#REF!</v>
      </c>
      <c r="AN184" s="186" t="e">
        <f>+'Proyectos Base digitable'!#REF!</f>
        <v>#REF!</v>
      </c>
      <c r="AO184" s="186" t="e">
        <f>+'Proyectos Base digitable'!#REF!</f>
        <v>#REF!</v>
      </c>
      <c r="AP184" s="186" t="e">
        <f>+'Proyectos Base digitable'!#REF!</f>
        <v>#REF!</v>
      </c>
      <c r="AQ184" s="186" t="e">
        <f>+'Proyectos Base digitable'!#REF!</f>
        <v>#REF!</v>
      </c>
      <c r="AR184" s="186" t="e">
        <f>+'Proyectos Base digitable'!#REF!</f>
        <v>#REF!</v>
      </c>
      <c r="AS184" s="186" t="e">
        <f>+'Proyectos Base digitable'!#REF!</f>
        <v>#REF!</v>
      </c>
      <c r="AT184" s="187" t="e">
        <f>+'Proyectos Base digitable'!#REF!</f>
        <v>#REF!</v>
      </c>
      <c r="AU184" s="56" t="e">
        <f>+'Proyectos Base digitable'!#REF!</f>
        <v>#REF!</v>
      </c>
      <c r="AV184" s="56" t="e">
        <f>+'Proyectos Base digitable'!#REF!</f>
        <v>#REF!</v>
      </c>
      <c r="AW184" s="56" t="e">
        <f>+'Proyectos Base digitable'!#REF!</f>
        <v>#REF!</v>
      </c>
      <c r="AX184" s="56" t="e">
        <f>+'Proyectos Base digitable'!#REF!</f>
        <v>#REF!</v>
      </c>
      <c r="AY184" s="56" t="e">
        <f>+'Proyectos Base digitable'!#REF!</f>
        <v>#REF!</v>
      </c>
      <c r="AZ184" s="188" t="e">
        <f>+'Proyectos Base digitable'!#REF!</f>
        <v>#REF!</v>
      </c>
      <c r="BA184" s="188" t="e">
        <f>+'Proyectos Base digitable'!#REF!</f>
        <v>#REF!</v>
      </c>
    </row>
    <row r="185" spans="1:53" ht="12.5">
      <c r="A185" s="60" t="e">
        <f>+'Proyectos Base digitable'!#REF!</f>
        <v>#REF!</v>
      </c>
      <c r="B185" s="56" t="e">
        <f>+'Proyectos Base digitable'!#REF!</f>
        <v>#REF!</v>
      </c>
      <c r="C185" s="56" t="e">
        <f>+'Proyectos Base digitable'!#REF!</f>
        <v>#REF!</v>
      </c>
      <c r="D185" s="56" t="e">
        <f>+'Proyectos Base digitable'!#REF!</f>
        <v>#REF!</v>
      </c>
      <c r="E185" s="56" t="e">
        <f>+'Proyectos Base digitable'!#REF!</f>
        <v>#REF!</v>
      </c>
      <c r="F185" s="56" t="e">
        <f>+'Proyectos Base digitable'!#REF!</f>
        <v>#REF!</v>
      </c>
      <c r="G185" s="57" t="e">
        <f>+'Proyectos Base digitable'!#REF!</f>
        <v>#REF!</v>
      </c>
      <c r="H185" s="56" t="e">
        <f>+'Proyectos Base digitable'!#REF!</f>
        <v>#REF!</v>
      </c>
      <c r="I185" s="56" t="e">
        <f>+'Proyectos Base digitable'!#REF!</f>
        <v>#REF!</v>
      </c>
      <c r="J185" s="56" t="e">
        <f>+'Proyectos Base digitable'!#REF!</f>
        <v>#REF!</v>
      </c>
      <c r="K185" s="56" t="e">
        <f>+'Proyectos Base digitable'!#REF!</f>
        <v>#REF!</v>
      </c>
      <c r="L185" s="56" t="e">
        <f>+'Proyectos Base digitable'!#REF!</f>
        <v>#REF!</v>
      </c>
      <c r="M185" s="56" t="e">
        <f>+'Proyectos Base digitable'!#REF!</f>
        <v>#REF!</v>
      </c>
      <c r="N185" s="52" t="e">
        <f>+'Proyectos Base digitable'!#REF!</f>
        <v>#REF!</v>
      </c>
      <c r="O185" s="52" t="e">
        <f>+'Proyectos Base digitable'!#REF!</f>
        <v>#REF!</v>
      </c>
      <c r="P185" s="185" t="e">
        <f>+'Proyectos Base digitable'!#REF!</f>
        <v>#REF!</v>
      </c>
      <c r="Q185" s="58" t="e">
        <f>+'Proyectos Base digitable'!#REF!</f>
        <v>#REF!</v>
      </c>
      <c r="R185" s="58" t="e">
        <f>+'Proyectos Base digitable'!#REF!</f>
        <v>#REF!</v>
      </c>
      <c r="S185" s="58" t="e">
        <f>+'Proyectos Base digitable'!#REF!</f>
        <v>#REF!</v>
      </c>
      <c r="T185" s="58" t="e">
        <f>+'Proyectos Base digitable'!#REF!</f>
        <v>#REF!</v>
      </c>
      <c r="U185" s="63" t="e">
        <f>'Proyectos Base digitable'!#REF!</f>
        <v>#REF!</v>
      </c>
      <c r="V185" s="63" t="e">
        <f>'Proyectos Base digitable'!#REF!</f>
        <v>#REF!</v>
      </c>
      <c r="W185" s="63" t="e">
        <f>'Proyectos Base digitable'!#REF!</f>
        <v>#REF!</v>
      </c>
      <c r="X185" s="63" t="e">
        <f>'Proyectos Base digitable'!#REF!</f>
        <v>#REF!</v>
      </c>
      <c r="Y185" s="63" t="e">
        <f>'Proyectos Base digitable'!#REF!</f>
        <v>#REF!</v>
      </c>
      <c r="Z185" s="58" t="e">
        <f>+'Proyectos Base digitable'!#REF!</f>
        <v>#REF!</v>
      </c>
      <c r="AA185" s="58" t="e">
        <f>+'Proyectos Base digitable'!#REF!</f>
        <v>#REF!</v>
      </c>
      <c r="AB185" s="63" t="e">
        <f>'Proyectos Base digitable'!#REF!</f>
        <v>#REF!</v>
      </c>
      <c r="AC185" s="56" t="e">
        <f>+'Proyectos Base digitable'!#REF!</f>
        <v>#REF!</v>
      </c>
      <c r="AD185" s="52" t="e">
        <f>+'Proyectos Base digitable'!#REF!</f>
        <v>#REF!</v>
      </c>
      <c r="AE185" s="52" t="e">
        <f>+'Proyectos Base digitable'!#REF!</f>
        <v>#REF!</v>
      </c>
      <c r="AF185" s="52" t="e">
        <f>+'Proyectos Base digitable'!#REF!</f>
        <v>#REF!</v>
      </c>
      <c r="AG185" s="56" t="e">
        <f>+'Proyectos Base digitable'!#REF!</f>
        <v>#REF!</v>
      </c>
      <c r="AH185" s="52" t="e">
        <f>+'Proyectos Base digitable'!#REF!</f>
        <v>#REF!</v>
      </c>
      <c r="AI185" s="52" t="e">
        <f>+'Proyectos Base digitable'!#REF!</f>
        <v>#REF!</v>
      </c>
      <c r="AJ185" s="59" t="e">
        <f>+'Proyectos Base digitable'!#REF!</f>
        <v>#REF!</v>
      </c>
      <c r="AK185" s="186" t="e">
        <f>+'Proyectos Base digitable'!#REF!</f>
        <v>#REF!</v>
      </c>
      <c r="AL185" s="186" t="e">
        <f>+'Proyectos Base digitable'!#REF!</f>
        <v>#REF!</v>
      </c>
      <c r="AM185" s="186" t="e">
        <f>+'Proyectos Base digitable'!#REF!</f>
        <v>#REF!</v>
      </c>
      <c r="AN185" s="186" t="e">
        <f>+'Proyectos Base digitable'!#REF!</f>
        <v>#REF!</v>
      </c>
      <c r="AO185" s="186" t="e">
        <f>+'Proyectos Base digitable'!#REF!</f>
        <v>#REF!</v>
      </c>
      <c r="AP185" s="186" t="e">
        <f>+'Proyectos Base digitable'!#REF!</f>
        <v>#REF!</v>
      </c>
      <c r="AQ185" s="186" t="e">
        <f>+'Proyectos Base digitable'!#REF!</f>
        <v>#REF!</v>
      </c>
      <c r="AR185" s="186" t="e">
        <f>+'Proyectos Base digitable'!#REF!</f>
        <v>#REF!</v>
      </c>
      <c r="AS185" s="186" t="e">
        <f>+'Proyectos Base digitable'!#REF!</f>
        <v>#REF!</v>
      </c>
      <c r="AT185" s="187" t="e">
        <f>+'Proyectos Base digitable'!#REF!</f>
        <v>#REF!</v>
      </c>
      <c r="AU185" s="56" t="e">
        <f>+'Proyectos Base digitable'!#REF!</f>
        <v>#REF!</v>
      </c>
      <c r="AV185" s="56" t="e">
        <f>+'Proyectos Base digitable'!#REF!</f>
        <v>#REF!</v>
      </c>
      <c r="AW185" s="56" t="e">
        <f>+'Proyectos Base digitable'!#REF!</f>
        <v>#REF!</v>
      </c>
      <c r="AX185" s="56" t="e">
        <f>+'Proyectos Base digitable'!#REF!</f>
        <v>#REF!</v>
      </c>
      <c r="AY185" s="56" t="e">
        <f>+'Proyectos Base digitable'!#REF!</f>
        <v>#REF!</v>
      </c>
      <c r="AZ185" s="188" t="e">
        <f>+'Proyectos Base digitable'!#REF!</f>
        <v>#REF!</v>
      </c>
      <c r="BA185" s="188" t="e">
        <f>+'Proyectos Base digitable'!#REF!</f>
        <v>#REF!</v>
      </c>
    </row>
    <row r="186" spans="1:53" ht="11.9" customHeight="1">
      <c r="A186" s="60" t="e">
        <f>+'Proyectos Base digitable'!#REF!</f>
        <v>#REF!</v>
      </c>
      <c r="B186" s="56" t="e">
        <f>+'Proyectos Base digitable'!#REF!</f>
        <v>#REF!</v>
      </c>
      <c r="C186" s="56" t="e">
        <f>+'Proyectos Base digitable'!#REF!</f>
        <v>#REF!</v>
      </c>
      <c r="D186" s="56" t="e">
        <f>+'Proyectos Base digitable'!#REF!</f>
        <v>#REF!</v>
      </c>
      <c r="E186" s="56" t="e">
        <f>+'Proyectos Base digitable'!#REF!</f>
        <v>#REF!</v>
      </c>
      <c r="F186" s="56" t="e">
        <f>+'Proyectos Base digitable'!#REF!</f>
        <v>#REF!</v>
      </c>
      <c r="G186" s="57" t="e">
        <f>+'Proyectos Base digitable'!#REF!</f>
        <v>#REF!</v>
      </c>
      <c r="H186" s="56" t="e">
        <f>+'Proyectos Base digitable'!#REF!</f>
        <v>#REF!</v>
      </c>
      <c r="I186" s="56" t="e">
        <f>+'Proyectos Base digitable'!#REF!</f>
        <v>#REF!</v>
      </c>
      <c r="J186" s="56" t="e">
        <f>+'Proyectos Base digitable'!#REF!</f>
        <v>#REF!</v>
      </c>
      <c r="K186" s="56" t="e">
        <f>+'Proyectos Base digitable'!#REF!</f>
        <v>#REF!</v>
      </c>
      <c r="L186" s="56" t="e">
        <f>+'Proyectos Base digitable'!#REF!</f>
        <v>#REF!</v>
      </c>
      <c r="M186" s="56" t="e">
        <f>+'Proyectos Base digitable'!#REF!</f>
        <v>#REF!</v>
      </c>
      <c r="N186" s="52" t="e">
        <f>+'Proyectos Base digitable'!#REF!</f>
        <v>#REF!</v>
      </c>
      <c r="O186" s="52" t="e">
        <f>+'Proyectos Base digitable'!#REF!</f>
        <v>#REF!</v>
      </c>
      <c r="P186" s="185" t="e">
        <f>+'Proyectos Base digitable'!#REF!</f>
        <v>#REF!</v>
      </c>
      <c r="Q186" s="58" t="e">
        <f>+'Proyectos Base digitable'!#REF!</f>
        <v>#REF!</v>
      </c>
      <c r="R186" s="58" t="e">
        <f>+'Proyectos Base digitable'!#REF!</f>
        <v>#REF!</v>
      </c>
      <c r="S186" s="58" t="e">
        <f>+'Proyectos Base digitable'!#REF!</f>
        <v>#REF!</v>
      </c>
      <c r="T186" s="58" t="e">
        <f>+'Proyectos Base digitable'!#REF!</f>
        <v>#REF!</v>
      </c>
      <c r="U186" s="63" t="e">
        <f>'Proyectos Base digitable'!#REF!</f>
        <v>#REF!</v>
      </c>
      <c r="V186" s="63" t="e">
        <f>'Proyectos Base digitable'!#REF!</f>
        <v>#REF!</v>
      </c>
      <c r="W186" s="63" t="e">
        <f>'Proyectos Base digitable'!#REF!</f>
        <v>#REF!</v>
      </c>
      <c r="X186" s="63" t="e">
        <f>'Proyectos Base digitable'!#REF!</f>
        <v>#REF!</v>
      </c>
      <c r="Y186" s="63" t="e">
        <f>'Proyectos Base digitable'!#REF!</f>
        <v>#REF!</v>
      </c>
      <c r="Z186" s="58" t="e">
        <f>+'Proyectos Base digitable'!#REF!</f>
        <v>#REF!</v>
      </c>
      <c r="AA186" s="58" t="e">
        <f>+'Proyectos Base digitable'!#REF!</f>
        <v>#REF!</v>
      </c>
      <c r="AB186" s="63" t="e">
        <f>'Proyectos Base digitable'!#REF!</f>
        <v>#REF!</v>
      </c>
      <c r="AC186" s="56" t="e">
        <f>+'Proyectos Base digitable'!#REF!</f>
        <v>#REF!</v>
      </c>
      <c r="AD186" s="52" t="e">
        <f>+'Proyectos Base digitable'!#REF!</f>
        <v>#REF!</v>
      </c>
      <c r="AE186" s="52" t="e">
        <f>+'Proyectos Base digitable'!#REF!</f>
        <v>#REF!</v>
      </c>
      <c r="AF186" s="52" t="e">
        <f>+'Proyectos Base digitable'!#REF!</f>
        <v>#REF!</v>
      </c>
      <c r="AG186" s="56" t="e">
        <f>+'Proyectos Base digitable'!#REF!</f>
        <v>#REF!</v>
      </c>
      <c r="AH186" s="52" t="e">
        <f>+'Proyectos Base digitable'!#REF!</f>
        <v>#REF!</v>
      </c>
      <c r="AI186" s="52" t="e">
        <f>+'Proyectos Base digitable'!#REF!</f>
        <v>#REF!</v>
      </c>
      <c r="AJ186" s="59" t="e">
        <f>+'Proyectos Base digitable'!#REF!</f>
        <v>#REF!</v>
      </c>
      <c r="AK186" s="186" t="e">
        <f>+'Proyectos Base digitable'!#REF!</f>
        <v>#REF!</v>
      </c>
      <c r="AL186" s="186" t="e">
        <f>+'Proyectos Base digitable'!#REF!</f>
        <v>#REF!</v>
      </c>
      <c r="AM186" s="186" t="e">
        <f>+'Proyectos Base digitable'!#REF!</f>
        <v>#REF!</v>
      </c>
      <c r="AN186" s="186" t="e">
        <f>+'Proyectos Base digitable'!#REF!</f>
        <v>#REF!</v>
      </c>
      <c r="AO186" s="186" t="e">
        <f>+'Proyectos Base digitable'!#REF!</f>
        <v>#REF!</v>
      </c>
      <c r="AP186" s="186" t="e">
        <f>+'Proyectos Base digitable'!#REF!</f>
        <v>#REF!</v>
      </c>
      <c r="AQ186" s="186" t="e">
        <f>+'Proyectos Base digitable'!#REF!</f>
        <v>#REF!</v>
      </c>
      <c r="AR186" s="186" t="e">
        <f>+'Proyectos Base digitable'!#REF!</f>
        <v>#REF!</v>
      </c>
      <c r="AS186" s="186" t="e">
        <f>+'Proyectos Base digitable'!#REF!</f>
        <v>#REF!</v>
      </c>
      <c r="AT186" s="187" t="e">
        <f>+'Proyectos Base digitable'!#REF!</f>
        <v>#REF!</v>
      </c>
      <c r="AU186" s="56" t="e">
        <f>+'Proyectos Base digitable'!#REF!</f>
        <v>#REF!</v>
      </c>
      <c r="AV186" s="56" t="e">
        <f>+'Proyectos Base digitable'!#REF!</f>
        <v>#REF!</v>
      </c>
      <c r="AW186" s="56" t="e">
        <f>+'Proyectos Base digitable'!#REF!</f>
        <v>#REF!</v>
      </c>
      <c r="AX186" s="56" t="e">
        <f>+'Proyectos Base digitable'!#REF!</f>
        <v>#REF!</v>
      </c>
      <c r="AY186" s="56" t="e">
        <f>+'Proyectos Base digitable'!#REF!</f>
        <v>#REF!</v>
      </c>
      <c r="AZ186" s="188" t="e">
        <f>+'Proyectos Base digitable'!#REF!</f>
        <v>#REF!</v>
      </c>
      <c r="BA186" s="188" t="e">
        <f>+'Proyectos Base digitable'!#REF!</f>
        <v>#REF!</v>
      </c>
    </row>
    <row r="187" spans="1:53" ht="11.9" customHeight="1">
      <c r="A187" s="60" t="e">
        <f>+'Proyectos Base digitable'!#REF!</f>
        <v>#REF!</v>
      </c>
      <c r="B187" s="56" t="e">
        <f>+'Proyectos Base digitable'!#REF!</f>
        <v>#REF!</v>
      </c>
      <c r="C187" s="56" t="e">
        <f>+'Proyectos Base digitable'!#REF!</f>
        <v>#REF!</v>
      </c>
      <c r="D187" s="56" t="e">
        <f>+'Proyectos Base digitable'!#REF!</f>
        <v>#REF!</v>
      </c>
      <c r="E187" s="56" t="e">
        <f>+'Proyectos Base digitable'!#REF!</f>
        <v>#REF!</v>
      </c>
      <c r="F187" s="56" t="e">
        <f>+'Proyectos Base digitable'!#REF!</f>
        <v>#REF!</v>
      </c>
      <c r="G187" s="57" t="e">
        <f>+'Proyectos Base digitable'!#REF!</f>
        <v>#REF!</v>
      </c>
      <c r="H187" s="56" t="e">
        <f>+'Proyectos Base digitable'!#REF!</f>
        <v>#REF!</v>
      </c>
      <c r="I187" s="56" t="e">
        <f>+'Proyectos Base digitable'!#REF!</f>
        <v>#REF!</v>
      </c>
      <c r="J187" s="56" t="e">
        <f>+'Proyectos Base digitable'!#REF!</f>
        <v>#REF!</v>
      </c>
      <c r="K187" s="56" t="e">
        <f>+'Proyectos Base digitable'!#REF!</f>
        <v>#REF!</v>
      </c>
      <c r="L187" s="56" t="e">
        <f>+'Proyectos Base digitable'!#REF!</f>
        <v>#REF!</v>
      </c>
      <c r="M187" s="56" t="e">
        <f>+'Proyectos Base digitable'!#REF!</f>
        <v>#REF!</v>
      </c>
      <c r="N187" s="52" t="e">
        <f>+'Proyectos Base digitable'!#REF!</f>
        <v>#REF!</v>
      </c>
      <c r="O187" s="52" t="e">
        <f>+'Proyectos Base digitable'!#REF!</f>
        <v>#REF!</v>
      </c>
      <c r="P187" s="185" t="e">
        <f>+'Proyectos Base digitable'!#REF!</f>
        <v>#REF!</v>
      </c>
      <c r="Q187" s="58" t="e">
        <f>+'Proyectos Base digitable'!#REF!</f>
        <v>#REF!</v>
      </c>
      <c r="R187" s="58" t="e">
        <f>+'Proyectos Base digitable'!#REF!</f>
        <v>#REF!</v>
      </c>
      <c r="S187" s="58" t="e">
        <f>+'Proyectos Base digitable'!#REF!</f>
        <v>#REF!</v>
      </c>
      <c r="T187" s="58" t="e">
        <f>+'Proyectos Base digitable'!#REF!</f>
        <v>#REF!</v>
      </c>
      <c r="U187" s="63" t="e">
        <f>'Proyectos Base digitable'!#REF!</f>
        <v>#REF!</v>
      </c>
      <c r="V187" s="63" t="e">
        <f>'Proyectos Base digitable'!#REF!</f>
        <v>#REF!</v>
      </c>
      <c r="W187" s="63" t="e">
        <f>'Proyectos Base digitable'!#REF!</f>
        <v>#REF!</v>
      </c>
      <c r="X187" s="63" t="e">
        <f>'Proyectos Base digitable'!#REF!</f>
        <v>#REF!</v>
      </c>
      <c r="Y187" s="63" t="e">
        <f>'Proyectos Base digitable'!#REF!</f>
        <v>#REF!</v>
      </c>
      <c r="Z187" s="58" t="e">
        <f>+'Proyectos Base digitable'!#REF!</f>
        <v>#REF!</v>
      </c>
      <c r="AA187" s="58" t="e">
        <f>+'Proyectos Base digitable'!#REF!</f>
        <v>#REF!</v>
      </c>
      <c r="AB187" s="63" t="e">
        <f>'Proyectos Base digitable'!#REF!</f>
        <v>#REF!</v>
      </c>
      <c r="AC187" s="56" t="e">
        <f>+'Proyectos Base digitable'!#REF!</f>
        <v>#REF!</v>
      </c>
      <c r="AD187" s="52" t="e">
        <f>+'Proyectos Base digitable'!#REF!</f>
        <v>#REF!</v>
      </c>
      <c r="AE187" s="52" t="e">
        <f>+'Proyectos Base digitable'!#REF!</f>
        <v>#REF!</v>
      </c>
      <c r="AF187" s="52" t="e">
        <f>+'Proyectos Base digitable'!#REF!</f>
        <v>#REF!</v>
      </c>
      <c r="AG187" s="56" t="e">
        <f>+'Proyectos Base digitable'!#REF!</f>
        <v>#REF!</v>
      </c>
      <c r="AH187" s="52" t="e">
        <f>+'Proyectos Base digitable'!#REF!</f>
        <v>#REF!</v>
      </c>
      <c r="AI187" s="52" t="e">
        <f>+'Proyectos Base digitable'!#REF!</f>
        <v>#REF!</v>
      </c>
      <c r="AJ187" s="59" t="e">
        <f>+'Proyectos Base digitable'!#REF!</f>
        <v>#REF!</v>
      </c>
      <c r="AK187" s="186" t="e">
        <f>+'Proyectos Base digitable'!#REF!</f>
        <v>#REF!</v>
      </c>
      <c r="AL187" s="186" t="e">
        <f>+'Proyectos Base digitable'!#REF!</f>
        <v>#REF!</v>
      </c>
      <c r="AM187" s="186" t="e">
        <f>+'Proyectos Base digitable'!#REF!</f>
        <v>#REF!</v>
      </c>
      <c r="AN187" s="186" t="e">
        <f>+'Proyectos Base digitable'!#REF!</f>
        <v>#REF!</v>
      </c>
      <c r="AO187" s="186" t="e">
        <f>+'Proyectos Base digitable'!#REF!</f>
        <v>#REF!</v>
      </c>
      <c r="AP187" s="186" t="e">
        <f>+'Proyectos Base digitable'!#REF!</f>
        <v>#REF!</v>
      </c>
      <c r="AQ187" s="186" t="e">
        <f>+'Proyectos Base digitable'!#REF!</f>
        <v>#REF!</v>
      </c>
      <c r="AR187" s="186" t="e">
        <f>+'Proyectos Base digitable'!#REF!</f>
        <v>#REF!</v>
      </c>
      <c r="AS187" s="186" t="e">
        <f>+'Proyectos Base digitable'!#REF!</f>
        <v>#REF!</v>
      </c>
      <c r="AT187" s="187" t="e">
        <f>+'Proyectos Base digitable'!#REF!</f>
        <v>#REF!</v>
      </c>
      <c r="AU187" s="56" t="e">
        <f>+'Proyectos Base digitable'!#REF!</f>
        <v>#REF!</v>
      </c>
      <c r="AV187" s="56" t="e">
        <f>+'Proyectos Base digitable'!#REF!</f>
        <v>#REF!</v>
      </c>
      <c r="AW187" s="56" t="e">
        <f>+'Proyectos Base digitable'!#REF!</f>
        <v>#REF!</v>
      </c>
      <c r="AX187" s="56" t="e">
        <f>+'Proyectos Base digitable'!#REF!</f>
        <v>#REF!</v>
      </c>
      <c r="AY187" s="56" t="e">
        <f>+'Proyectos Base digitable'!#REF!</f>
        <v>#REF!</v>
      </c>
      <c r="AZ187" s="188" t="e">
        <f>+'Proyectos Base digitable'!#REF!</f>
        <v>#REF!</v>
      </c>
      <c r="BA187" s="188" t="e">
        <f>+'Proyectos Base digitable'!#REF!</f>
        <v>#REF!</v>
      </c>
    </row>
    <row r="188" spans="1:53" ht="11.9" customHeight="1">
      <c r="A188" s="60" t="e">
        <f>+'Proyectos Base digitable'!#REF!</f>
        <v>#REF!</v>
      </c>
      <c r="B188" s="56" t="e">
        <f>+'Proyectos Base digitable'!#REF!</f>
        <v>#REF!</v>
      </c>
      <c r="C188" s="56" t="e">
        <f>+'Proyectos Base digitable'!#REF!</f>
        <v>#REF!</v>
      </c>
      <c r="D188" s="56" t="e">
        <f>+'Proyectos Base digitable'!#REF!</f>
        <v>#REF!</v>
      </c>
      <c r="E188" s="56" t="e">
        <f>+'Proyectos Base digitable'!#REF!</f>
        <v>#REF!</v>
      </c>
      <c r="F188" s="56" t="e">
        <f>+'Proyectos Base digitable'!#REF!</f>
        <v>#REF!</v>
      </c>
      <c r="G188" s="57" t="e">
        <f>+'Proyectos Base digitable'!#REF!</f>
        <v>#REF!</v>
      </c>
      <c r="H188" s="56" t="e">
        <f>+'Proyectos Base digitable'!#REF!</f>
        <v>#REF!</v>
      </c>
      <c r="I188" s="56" t="e">
        <f>+'Proyectos Base digitable'!#REF!</f>
        <v>#REF!</v>
      </c>
      <c r="J188" s="56" t="e">
        <f>+'Proyectos Base digitable'!#REF!</f>
        <v>#REF!</v>
      </c>
      <c r="K188" s="56" t="e">
        <f>+'Proyectos Base digitable'!#REF!</f>
        <v>#REF!</v>
      </c>
      <c r="L188" s="56" t="e">
        <f>+'Proyectos Base digitable'!#REF!</f>
        <v>#REF!</v>
      </c>
      <c r="M188" s="56" t="e">
        <f>+'Proyectos Base digitable'!#REF!</f>
        <v>#REF!</v>
      </c>
      <c r="N188" s="52" t="e">
        <f>+'Proyectos Base digitable'!#REF!</f>
        <v>#REF!</v>
      </c>
      <c r="O188" s="52" t="e">
        <f>+'Proyectos Base digitable'!#REF!</f>
        <v>#REF!</v>
      </c>
      <c r="P188" s="185" t="e">
        <f>+'Proyectos Base digitable'!#REF!</f>
        <v>#REF!</v>
      </c>
      <c r="Q188" s="58" t="e">
        <f>+'Proyectos Base digitable'!#REF!</f>
        <v>#REF!</v>
      </c>
      <c r="R188" s="58" t="e">
        <f>+'Proyectos Base digitable'!#REF!</f>
        <v>#REF!</v>
      </c>
      <c r="S188" s="58" t="e">
        <f>+'Proyectos Base digitable'!#REF!</f>
        <v>#REF!</v>
      </c>
      <c r="T188" s="58" t="e">
        <f>+'Proyectos Base digitable'!#REF!</f>
        <v>#REF!</v>
      </c>
      <c r="U188" s="63" t="e">
        <f>'Proyectos Base digitable'!#REF!</f>
        <v>#REF!</v>
      </c>
      <c r="V188" s="63" t="e">
        <f>'Proyectos Base digitable'!#REF!</f>
        <v>#REF!</v>
      </c>
      <c r="W188" s="63" t="e">
        <f>'Proyectos Base digitable'!#REF!</f>
        <v>#REF!</v>
      </c>
      <c r="X188" s="63" t="e">
        <f>'Proyectos Base digitable'!#REF!</f>
        <v>#REF!</v>
      </c>
      <c r="Y188" s="63" t="e">
        <f>'Proyectos Base digitable'!#REF!</f>
        <v>#REF!</v>
      </c>
      <c r="Z188" s="58" t="e">
        <f>+'Proyectos Base digitable'!#REF!</f>
        <v>#REF!</v>
      </c>
      <c r="AA188" s="58" t="e">
        <f>+'Proyectos Base digitable'!#REF!</f>
        <v>#REF!</v>
      </c>
      <c r="AB188" s="63" t="e">
        <f>'Proyectos Base digitable'!#REF!</f>
        <v>#REF!</v>
      </c>
      <c r="AC188" s="56" t="e">
        <f>+'Proyectos Base digitable'!#REF!</f>
        <v>#REF!</v>
      </c>
      <c r="AD188" s="52" t="e">
        <f>+'Proyectos Base digitable'!#REF!</f>
        <v>#REF!</v>
      </c>
      <c r="AE188" s="52" t="e">
        <f>+'Proyectos Base digitable'!#REF!</f>
        <v>#REF!</v>
      </c>
      <c r="AF188" s="52" t="e">
        <f>+'Proyectos Base digitable'!#REF!</f>
        <v>#REF!</v>
      </c>
      <c r="AG188" s="56" t="e">
        <f>+'Proyectos Base digitable'!#REF!</f>
        <v>#REF!</v>
      </c>
      <c r="AH188" s="52" t="e">
        <f>+'Proyectos Base digitable'!#REF!</f>
        <v>#REF!</v>
      </c>
      <c r="AI188" s="52" t="e">
        <f>+'Proyectos Base digitable'!#REF!</f>
        <v>#REF!</v>
      </c>
      <c r="AJ188" s="59" t="e">
        <f>+'Proyectos Base digitable'!#REF!</f>
        <v>#REF!</v>
      </c>
      <c r="AK188" s="186" t="e">
        <f>+'Proyectos Base digitable'!#REF!</f>
        <v>#REF!</v>
      </c>
      <c r="AL188" s="186" t="e">
        <f>+'Proyectos Base digitable'!#REF!</f>
        <v>#REF!</v>
      </c>
      <c r="AM188" s="186" t="e">
        <f>+'Proyectos Base digitable'!#REF!</f>
        <v>#REF!</v>
      </c>
      <c r="AN188" s="186" t="e">
        <f>+'Proyectos Base digitable'!#REF!</f>
        <v>#REF!</v>
      </c>
      <c r="AO188" s="186" t="e">
        <f>+'Proyectos Base digitable'!#REF!</f>
        <v>#REF!</v>
      </c>
      <c r="AP188" s="186" t="e">
        <f>+'Proyectos Base digitable'!#REF!</f>
        <v>#REF!</v>
      </c>
      <c r="AQ188" s="186" t="e">
        <f>+'Proyectos Base digitable'!#REF!</f>
        <v>#REF!</v>
      </c>
      <c r="AR188" s="186" t="e">
        <f>+'Proyectos Base digitable'!#REF!</f>
        <v>#REF!</v>
      </c>
      <c r="AS188" s="186" t="e">
        <f>+'Proyectos Base digitable'!#REF!</f>
        <v>#REF!</v>
      </c>
      <c r="AT188" s="187" t="e">
        <f>+'Proyectos Base digitable'!#REF!</f>
        <v>#REF!</v>
      </c>
      <c r="AU188" s="56" t="e">
        <f>+'Proyectos Base digitable'!#REF!</f>
        <v>#REF!</v>
      </c>
      <c r="AV188" s="56" t="e">
        <f>+'Proyectos Base digitable'!#REF!</f>
        <v>#REF!</v>
      </c>
      <c r="AW188" s="56" t="e">
        <f>+'Proyectos Base digitable'!#REF!</f>
        <v>#REF!</v>
      </c>
      <c r="AX188" s="56" t="e">
        <f>+'Proyectos Base digitable'!#REF!</f>
        <v>#REF!</v>
      </c>
      <c r="AY188" s="56" t="e">
        <f>+'Proyectos Base digitable'!#REF!</f>
        <v>#REF!</v>
      </c>
      <c r="AZ188" s="188" t="e">
        <f>+'Proyectos Base digitable'!#REF!</f>
        <v>#REF!</v>
      </c>
      <c r="BA188" s="188" t="e">
        <f>+'Proyectos Base digitable'!#REF!</f>
        <v>#REF!</v>
      </c>
    </row>
    <row r="189" spans="1:53" ht="11.9" customHeight="1">
      <c r="A189" s="60" t="e">
        <f>+'Proyectos Base digitable'!#REF!</f>
        <v>#REF!</v>
      </c>
      <c r="B189" s="56" t="e">
        <f>+'Proyectos Base digitable'!#REF!</f>
        <v>#REF!</v>
      </c>
      <c r="C189" s="56" t="e">
        <f>+'Proyectos Base digitable'!#REF!</f>
        <v>#REF!</v>
      </c>
      <c r="D189" s="56" t="e">
        <f>+'Proyectos Base digitable'!#REF!</f>
        <v>#REF!</v>
      </c>
      <c r="E189" s="56" t="e">
        <f>+'Proyectos Base digitable'!#REF!</f>
        <v>#REF!</v>
      </c>
      <c r="F189" s="56" t="e">
        <f>+'Proyectos Base digitable'!#REF!</f>
        <v>#REF!</v>
      </c>
      <c r="G189" s="57" t="e">
        <f>+'Proyectos Base digitable'!#REF!</f>
        <v>#REF!</v>
      </c>
      <c r="H189" s="56" t="e">
        <f>+'Proyectos Base digitable'!#REF!</f>
        <v>#REF!</v>
      </c>
      <c r="I189" s="56" t="e">
        <f>+'Proyectos Base digitable'!#REF!</f>
        <v>#REF!</v>
      </c>
      <c r="J189" s="56" t="e">
        <f>+'Proyectos Base digitable'!#REF!</f>
        <v>#REF!</v>
      </c>
      <c r="K189" s="56" t="e">
        <f>+'Proyectos Base digitable'!#REF!</f>
        <v>#REF!</v>
      </c>
      <c r="L189" s="56" t="e">
        <f>+'Proyectos Base digitable'!#REF!</f>
        <v>#REF!</v>
      </c>
      <c r="M189" s="56" t="e">
        <f>+'Proyectos Base digitable'!#REF!</f>
        <v>#REF!</v>
      </c>
      <c r="N189" s="52" t="e">
        <f>+'Proyectos Base digitable'!#REF!</f>
        <v>#REF!</v>
      </c>
      <c r="O189" s="52" t="e">
        <f>+'Proyectos Base digitable'!#REF!</f>
        <v>#REF!</v>
      </c>
      <c r="P189" s="185" t="e">
        <f>+'Proyectos Base digitable'!#REF!</f>
        <v>#REF!</v>
      </c>
      <c r="Q189" s="58" t="e">
        <f>+'Proyectos Base digitable'!#REF!</f>
        <v>#REF!</v>
      </c>
      <c r="R189" s="58" t="e">
        <f>+'Proyectos Base digitable'!#REF!</f>
        <v>#REF!</v>
      </c>
      <c r="S189" s="58" t="e">
        <f>+'Proyectos Base digitable'!#REF!</f>
        <v>#REF!</v>
      </c>
      <c r="T189" s="58" t="e">
        <f>+'Proyectos Base digitable'!#REF!</f>
        <v>#REF!</v>
      </c>
      <c r="U189" s="63" t="e">
        <f>'Proyectos Base digitable'!#REF!</f>
        <v>#REF!</v>
      </c>
      <c r="V189" s="63" t="e">
        <f>'Proyectos Base digitable'!#REF!</f>
        <v>#REF!</v>
      </c>
      <c r="W189" s="63" t="e">
        <f>'Proyectos Base digitable'!#REF!</f>
        <v>#REF!</v>
      </c>
      <c r="X189" s="63" t="e">
        <f>'Proyectos Base digitable'!#REF!</f>
        <v>#REF!</v>
      </c>
      <c r="Y189" s="63" t="e">
        <f>'Proyectos Base digitable'!#REF!</f>
        <v>#REF!</v>
      </c>
      <c r="Z189" s="58" t="e">
        <f>+'Proyectos Base digitable'!#REF!</f>
        <v>#REF!</v>
      </c>
      <c r="AA189" s="58" t="e">
        <f>+'Proyectos Base digitable'!#REF!</f>
        <v>#REF!</v>
      </c>
      <c r="AB189" s="63" t="e">
        <f>'Proyectos Base digitable'!#REF!</f>
        <v>#REF!</v>
      </c>
      <c r="AC189" s="56" t="e">
        <f>+'Proyectos Base digitable'!#REF!</f>
        <v>#REF!</v>
      </c>
      <c r="AD189" s="52" t="e">
        <f>+'Proyectos Base digitable'!#REF!</f>
        <v>#REF!</v>
      </c>
      <c r="AE189" s="52" t="e">
        <f>+'Proyectos Base digitable'!#REF!</f>
        <v>#REF!</v>
      </c>
      <c r="AF189" s="52" t="e">
        <f>+'Proyectos Base digitable'!#REF!</f>
        <v>#REF!</v>
      </c>
      <c r="AG189" s="56" t="e">
        <f>+'Proyectos Base digitable'!#REF!</f>
        <v>#REF!</v>
      </c>
      <c r="AH189" s="52" t="e">
        <f>+'Proyectos Base digitable'!#REF!</f>
        <v>#REF!</v>
      </c>
      <c r="AI189" s="52" t="e">
        <f>+'Proyectos Base digitable'!#REF!</f>
        <v>#REF!</v>
      </c>
      <c r="AJ189" s="59" t="e">
        <f>+'Proyectos Base digitable'!#REF!</f>
        <v>#REF!</v>
      </c>
      <c r="AK189" s="186" t="e">
        <f>+'Proyectos Base digitable'!#REF!</f>
        <v>#REF!</v>
      </c>
      <c r="AL189" s="186" t="e">
        <f>+'Proyectos Base digitable'!#REF!</f>
        <v>#REF!</v>
      </c>
      <c r="AM189" s="186" t="e">
        <f>+'Proyectos Base digitable'!#REF!</f>
        <v>#REF!</v>
      </c>
      <c r="AN189" s="186" t="e">
        <f>+'Proyectos Base digitable'!#REF!</f>
        <v>#REF!</v>
      </c>
      <c r="AO189" s="186" t="e">
        <f>+'Proyectos Base digitable'!#REF!</f>
        <v>#REF!</v>
      </c>
      <c r="AP189" s="186" t="e">
        <f>+'Proyectos Base digitable'!#REF!</f>
        <v>#REF!</v>
      </c>
      <c r="AQ189" s="186" t="e">
        <f>+'Proyectos Base digitable'!#REF!</f>
        <v>#REF!</v>
      </c>
      <c r="AR189" s="186" t="e">
        <f>+'Proyectos Base digitable'!#REF!</f>
        <v>#REF!</v>
      </c>
      <c r="AS189" s="186" t="e">
        <f>+'Proyectos Base digitable'!#REF!</f>
        <v>#REF!</v>
      </c>
      <c r="AT189" s="187" t="e">
        <f>+'Proyectos Base digitable'!#REF!</f>
        <v>#REF!</v>
      </c>
      <c r="AU189" s="56" t="e">
        <f>+'Proyectos Base digitable'!#REF!</f>
        <v>#REF!</v>
      </c>
      <c r="AV189" s="56" t="e">
        <f>+'Proyectos Base digitable'!#REF!</f>
        <v>#REF!</v>
      </c>
      <c r="AW189" s="56" t="e">
        <f>+'Proyectos Base digitable'!#REF!</f>
        <v>#REF!</v>
      </c>
      <c r="AX189" s="56" t="e">
        <f>+'Proyectos Base digitable'!#REF!</f>
        <v>#REF!</v>
      </c>
      <c r="AY189" s="56" t="e">
        <f>+'Proyectos Base digitable'!#REF!</f>
        <v>#REF!</v>
      </c>
      <c r="AZ189" s="188" t="e">
        <f>+'Proyectos Base digitable'!#REF!</f>
        <v>#REF!</v>
      </c>
      <c r="BA189" s="188" t="e">
        <f>+'Proyectos Base digitable'!#REF!</f>
        <v>#REF!</v>
      </c>
    </row>
    <row r="190" spans="1:53" ht="11.9" customHeight="1">
      <c r="A190" s="60" t="e">
        <f>+'Proyectos Base digitable'!#REF!</f>
        <v>#REF!</v>
      </c>
      <c r="B190" s="56" t="e">
        <f>+'Proyectos Base digitable'!#REF!</f>
        <v>#REF!</v>
      </c>
      <c r="C190" s="56" t="e">
        <f>+'Proyectos Base digitable'!#REF!</f>
        <v>#REF!</v>
      </c>
      <c r="D190" s="56" t="e">
        <f>+'Proyectos Base digitable'!#REF!</f>
        <v>#REF!</v>
      </c>
      <c r="E190" s="56" t="e">
        <f>+'Proyectos Base digitable'!#REF!</f>
        <v>#REF!</v>
      </c>
      <c r="F190" s="56" t="e">
        <f>+'Proyectos Base digitable'!#REF!</f>
        <v>#REF!</v>
      </c>
      <c r="G190" s="57" t="e">
        <f>+'Proyectos Base digitable'!#REF!</f>
        <v>#REF!</v>
      </c>
      <c r="H190" s="56" t="e">
        <f>+'Proyectos Base digitable'!#REF!</f>
        <v>#REF!</v>
      </c>
      <c r="I190" s="56" t="e">
        <f>+'Proyectos Base digitable'!#REF!</f>
        <v>#REF!</v>
      </c>
      <c r="J190" s="56" t="e">
        <f>+'Proyectos Base digitable'!#REF!</f>
        <v>#REF!</v>
      </c>
      <c r="K190" s="56" t="e">
        <f>+'Proyectos Base digitable'!#REF!</f>
        <v>#REF!</v>
      </c>
      <c r="L190" s="56" t="e">
        <f>+'Proyectos Base digitable'!#REF!</f>
        <v>#REF!</v>
      </c>
      <c r="M190" s="56" t="e">
        <f>+'Proyectos Base digitable'!#REF!</f>
        <v>#REF!</v>
      </c>
      <c r="N190" s="52" t="e">
        <f>+'Proyectos Base digitable'!#REF!</f>
        <v>#REF!</v>
      </c>
      <c r="O190" s="52" t="e">
        <f>+'Proyectos Base digitable'!#REF!</f>
        <v>#REF!</v>
      </c>
      <c r="P190" s="185" t="e">
        <f>+'Proyectos Base digitable'!#REF!</f>
        <v>#REF!</v>
      </c>
      <c r="Q190" s="58" t="e">
        <f>+'Proyectos Base digitable'!#REF!</f>
        <v>#REF!</v>
      </c>
      <c r="R190" s="58" t="e">
        <f>+'Proyectos Base digitable'!#REF!</f>
        <v>#REF!</v>
      </c>
      <c r="S190" s="58" t="e">
        <f>+'Proyectos Base digitable'!#REF!</f>
        <v>#REF!</v>
      </c>
      <c r="T190" s="58" t="e">
        <f>+'Proyectos Base digitable'!#REF!</f>
        <v>#REF!</v>
      </c>
      <c r="U190" s="63" t="e">
        <f>'Proyectos Base digitable'!#REF!</f>
        <v>#REF!</v>
      </c>
      <c r="V190" s="63" t="e">
        <f>'Proyectos Base digitable'!#REF!</f>
        <v>#REF!</v>
      </c>
      <c r="W190" s="63" t="e">
        <f>'Proyectos Base digitable'!#REF!</f>
        <v>#REF!</v>
      </c>
      <c r="X190" s="63" t="e">
        <f>'Proyectos Base digitable'!#REF!</f>
        <v>#REF!</v>
      </c>
      <c r="Y190" s="63" t="e">
        <f>'Proyectos Base digitable'!#REF!</f>
        <v>#REF!</v>
      </c>
      <c r="Z190" s="58" t="e">
        <f>+'Proyectos Base digitable'!#REF!</f>
        <v>#REF!</v>
      </c>
      <c r="AA190" s="58" t="e">
        <f>+'Proyectos Base digitable'!#REF!</f>
        <v>#REF!</v>
      </c>
      <c r="AB190" s="63" t="e">
        <f>'Proyectos Base digitable'!#REF!</f>
        <v>#REF!</v>
      </c>
      <c r="AC190" s="56" t="e">
        <f>+'Proyectos Base digitable'!#REF!</f>
        <v>#REF!</v>
      </c>
      <c r="AD190" s="52" t="e">
        <f>+'Proyectos Base digitable'!#REF!</f>
        <v>#REF!</v>
      </c>
      <c r="AE190" s="52" t="e">
        <f>+'Proyectos Base digitable'!#REF!</f>
        <v>#REF!</v>
      </c>
      <c r="AF190" s="52" t="e">
        <f>+'Proyectos Base digitable'!#REF!</f>
        <v>#REF!</v>
      </c>
      <c r="AG190" s="56" t="e">
        <f>+'Proyectos Base digitable'!#REF!</f>
        <v>#REF!</v>
      </c>
      <c r="AH190" s="52" t="e">
        <f>+'Proyectos Base digitable'!#REF!</f>
        <v>#REF!</v>
      </c>
      <c r="AI190" s="52" t="e">
        <f>+'Proyectos Base digitable'!#REF!</f>
        <v>#REF!</v>
      </c>
      <c r="AJ190" s="59" t="e">
        <f>+'Proyectos Base digitable'!#REF!</f>
        <v>#REF!</v>
      </c>
      <c r="AK190" s="186" t="e">
        <f>+'Proyectos Base digitable'!#REF!</f>
        <v>#REF!</v>
      </c>
      <c r="AL190" s="186" t="e">
        <f>+'Proyectos Base digitable'!#REF!</f>
        <v>#REF!</v>
      </c>
      <c r="AM190" s="186" t="e">
        <f>+'Proyectos Base digitable'!#REF!</f>
        <v>#REF!</v>
      </c>
      <c r="AN190" s="186" t="e">
        <f>+'Proyectos Base digitable'!#REF!</f>
        <v>#REF!</v>
      </c>
      <c r="AO190" s="186" t="e">
        <f>+'Proyectos Base digitable'!#REF!</f>
        <v>#REF!</v>
      </c>
      <c r="AP190" s="186" t="e">
        <f>+'Proyectos Base digitable'!#REF!</f>
        <v>#REF!</v>
      </c>
      <c r="AQ190" s="186" t="e">
        <f>+'Proyectos Base digitable'!#REF!</f>
        <v>#REF!</v>
      </c>
      <c r="AR190" s="186" t="e">
        <f>+'Proyectos Base digitable'!#REF!</f>
        <v>#REF!</v>
      </c>
      <c r="AS190" s="186" t="e">
        <f>+'Proyectos Base digitable'!#REF!</f>
        <v>#REF!</v>
      </c>
      <c r="AT190" s="187" t="e">
        <f>+'Proyectos Base digitable'!#REF!</f>
        <v>#REF!</v>
      </c>
      <c r="AU190" s="56" t="e">
        <f>+'Proyectos Base digitable'!#REF!</f>
        <v>#REF!</v>
      </c>
      <c r="AV190" s="56" t="e">
        <f>+'Proyectos Base digitable'!#REF!</f>
        <v>#REF!</v>
      </c>
      <c r="AW190" s="56" t="e">
        <f>+'Proyectos Base digitable'!#REF!</f>
        <v>#REF!</v>
      </c>
      <c r="AX190" s="56" t="e">
        <f>+'Proyectos Base digitable'!#REF!</f>
        <v>#REF!</v>
      </c>
      <c r="AY190" s="56" t="e">
        <f>+'Proyectos Base digitable'!#REF!</f>
        <v>#REF!</v>
      </c>
      <c r="AZ190" s="188" t="e">
        <f>+'Proyectos Base digitable'!#REF!</f>
        <v>#REF!</v>
      </c>
      <c r="BA190" s="188" t="e">
        <f>+'Proyectos Base digitable'!#REF!</f>
        <v>#REF!</v>
      </c>
    </row>
    <row r="191" spans="1:53" ht="11.9" customHeight="1">
      <c r="A191" s="60" t="e">
        <f>+'Proyectos Base digitable'!#REF!</f>
        <v>#REF!</v>
      </c>
      <c r="B191" s="56" t="e">
        <f>+'Proyectos Base digitable'!#REF!</f>
        <v>#REF!</v>
      </c>
      <c r="C191" s="56" t="e">
        <f>+'Proyectos Base digitable'!#REF!</f>
        <v>#REF!</v>
      </c>
      <c r="D191" s="56" t="e">
        <f>+'Proyectos Base digitable'!#REF!</f>
        <v>#REF!</v>
      </c>
      <c r="E191" s="56" t="e">
        <f>+'Proyectos Base digitable'!#REF!</f>
        <v>#REF!</v>
      </c>
      <c r="F191" s="56" t="e">
        <f>+'Proyectos Base digitable'!#REF!</f>
        <v>#REF!</v>
      </c>
      <c r="G191" s="57" t="e">
        <f>+'Proyectos Base digitable'!#REF!</f>
        <v>#REF!</v>
      </c>
      <c r="H191" s="56" t="e">
        <f>+'Proyectos Base digitable'!#REF!</f>
        <v>#REF!</v>
      </c>
      <c r="I191" s="56" t="e">
        <f>+'Proyectos Base digitable'!#REF!</f>
        <v>#REF!</v>
      </c>
      <c r="J191" s="56" t="e">
        <f>+'Proyectos Base digitable'!#REF!</f>
        <v>#REF!</v>
      </c>
      <c r="K191" s="56" t="e">
        <f>+'Proyectos Base digitable'!#REF!</f>
        <v>#REF!</v>
      </c>
      <c r="L191" s="56" t="e">
        <f>+'Proyectos Base digitable'!#REF!</f>
        <v>#REF!</v>
      </c>
      <c r="M191" s="56" t="e">
        <f>+'Proyectos Base digitable'!#REF!</f>
        <v>#REF!</v>
      </c>
      <c r="N191" s="52" t="e">
        <f>+'Proyectos Base digitable'!#REF!</f>
        <v>#REF!</v>
      </c>
      <c r="O191" s="52" t="e">
        <f>+'Proyectos Base digitable'!#REF!</f>
        <v>#REF!</v>
      </c>
      <c r="P191" s="185" t="e">
        <f>+'Proyectos Base digitable'!#REF!</f>
        <v>#REF!</v>
      </c>
      <c r="Q191" s="58" t="e">
        <f>+'Proyectos Base digitable'!#REF!</f>
        <v>#REF!</v>
      </c>
      <c r="R191" s="58" t="e">
        <f>+'Proyectos Base digitable'!#REF!</f>
        <v>#REF!</v>
      </c>
      <c r="S191" s="58" t="e">
        <f>+'Proyectos Base digitable'!#REF!</f>
        <v>#REF!</v>
      </c>
      <c r="T191" s="58" t="e">
        <f>+'Proyectos Base digitable'!#REF!</f>
        <v>#REF!</v>
      </c>
      <c r="U191" s="63" t="e">
        <f>'Proyectos Base digitable'!#REF!</f>
        <v>#REF!</v>
      </c>
      <c r="V191" s="63" t="e">
        <f>'Proyectos Base digitable'!#REF!</f>
        <v>#REF!</v>
      </c>
      <c r="W191" s="63" t="e">
        <f>'Proyectos Base digitable'!#REF!</f>
        <v>#REF!</v>
      </c>
      <c r="X191" s="63" t="e">
        <f>'Proyectos Base digitable'!#REF!</f>
        <v>#REF!</v>
      </c>
      <c r="Y191" s="63" t="e">
        <f>'Proyectos Base digitable'!#REF!</f>
        <v>#REF!</v>
      </c>
      <c r="Z191" s="58" t="e">
        <f>+'Proyectos Base digitable'!#REF!</f>
        <v>#REF!</v>
      </c>
      <c r="AA191" s="58" t="e">
        <f>+'Proyectos Base digitable'!#REF!</f>
        <v>#REF!</v>
      </c>
      <c r="AB191" s="63" t="e">
        <f>'Proyectos Base digitable'!#REF!</f>
        <v>#REF!</v>
      </c>
      <c r="AC191" s="56" t="e">
        <f>+'Proyectos Base digitable'!#REF!</f>
        <v>#REF!</v>
      </c>
      <c r="AD191" s="52" t="e">
        <f>+'Proyectos Base digitable'!#REF!</f>
        <v>#REF!</v>
      </c>
      <c r="AE191" s="52" t="e">
        <f>+'Proyectos Base digitable'!#REF!</f>
        <v>#REF!</v>
      </c>
      <c r="AF191" s="52" t="e">
        <f>+'Proyectos Base digitable'!#REF!</f>
        <v>#REF!</v>
      </c>
      <c r="AG191" s="56" t="e">
        <f>+'Proyectos Base digitable'!#REF!</f>
        <v>#REF!</v>
      </c>
      <c r="AH191" s="52" t="e">
        <f>+'Proyectos Base digitable'!#REF!</f>
        <v>#REF!</v>
      </c>
      <c r="AI191" s="52" t="e">
        <f>+'Proyectos Base digitable'!#REF!</f>
        <v>#REF!</v>
      </c>
      <c r="AJ191" s="59" t="e">
        <f>+'Proyectos Base digitable'!#REF!</f>
        <v>#REF!</v>
      </c>
      <c r="AK191" s="186" t="e">
        <f>+'Proyectos Base digitable'!#REF!</f>
        <v>#REF!</v>
      </c>
      <c r="AL191" s="186" t="e">
        <f>+'Proyectos Base digitable'!#REF!</f>
        <v>#REF!</v>
      </c>
      <c r="AM191" s="186" t="e">
        <f>+'Proyectos Base digitable'!#REF!</f>
        <v>#REF!</v>
      </c>
      <c r="AN191" s="186" t="e">
        <f>+'Proyectos Base digitable'!#REF!</f>
        <v>#REF!</v>
      </c>
      <c r="AO191" s="186" t="e">
        <f>+'Proyectos Base digitable'!#REF!</f>
        <v>#REF!</v>
      </c>
      <c r="AP191" s="186" t="e">
        <f>+'Proyectos Base digitable'!#REF!</f>
        <v>#REF!</v>
      </c>
      <c r="AQ191" s="186" t="e">
        <f>+'Proyectos Base digitable'!#REF!</f>
        <v>#REF!</v>
      </c>
      <c r="AR191" s="186" t="e">
        <f>+'Proyectos Base digitable'!#REF!</f>
        <v>#REF!</v>
      </c>
      <c r="AS191" s="186" t="e">
        <f>+'Proyectos Base digitable'!#REF!</f>
        <v>#REF!</v>
      </c>
      <c r="AT191" s="187" t="e">
        <f>+'Proyectos Base digitable'!#REF!</f>
        <v>#REF!</v>
      </c>
      <c r="AU191" s="56" t="e">
        <f>+'Proyectos Base digitable'!#REF!</f>
        <v>#REF!</v>
      </c>
      <c r="AV191" s="56" t="e">
        <f>+'Proyectos Base digitable'!#REF!</f>
        <v>#REF!</v>
      </c>
      <c r="AW191" s="56" t="e">
        <f>+'Proyectos Base digitable'!#REF!</f>
        <v>#REF!</v>
      </c>
      <c r="AX191" s="56" t="e">
        <f>+'Proyectos Base digitable'!#REF!</f>
        <v>#REF!</v>
      </c>
      <c r="AY191" s="56" t="e">
        <f>+'Proyectos Base digitable'!#REF!</f>
        <v>#REF!</v>
      </c>
      <c r="AZ191" s="188" t="e">
        <f>+'Proyectos Base digitable'!#REF!</f>
        <v>#REF!</v>
      </c>
      <c r="BA191" s="188" t="e">
        <f>+'Proyectos Base digitable'!#REF!</f>
        <v>#REF!</v>
      </c>
    </row>
    <row r="192" spans="1:53" ht="11.9" customHeight="1">
      <c r="A192" s="60" t="e">
        <f>+'Proyectos Base digitable'!#REF!</f>
        <v>#REF!</v>
      </c>
      <c r="B192" s="56" t="e">
        <f>+'Proyectos Base digitable'!#REF!</f>
        <v>#REF!</v>
      </c>
      <c r="C192" s="56" t="e">
        <f>+'Proyectos Base digitable'!#REF!</f>
        <v>#REF!</v>
      </c>
      <c r="D192" s="56" t="e">
        <f>+'Proyectos Base digitable'!#REF!</f>
        <v>#REF!</v>
      </c>
      <c r="E192" s="56" t="e">
        <f>+'Proyectos Base digitable'!#REF!</f>
        <v>#REF!</v>
      </c>
      <c r="F192" s="56" t="e">
        <f>+'Proyectos Base digitable'!#REF!</f>
        <v>#REF!</v>
      </c>
      <c r="G192" s="57" t="e">
        <f>+'Proyectos Base digitable'!#REF!</f>
        <v>#REF!</v>
      </c>
      <c r="H192" s="56" t="e">
        <f>+'Proyectos Base digitable'!#REF!</f>
        <v>#REF!</v>
      </c>
      <c r="I192" s="56" t="e">
        <f>+'Proyectos Base digitable'!#REF!</f>
        <v>#REF!</v>
      </c>
      <c r="J192" s="56" t="e">
        <f>+'Proyectos Base digitable'!#REF!</f>
        <v>#REF!</v>
      </c>
      <c r="K192" s="56" t="e">
        <f>+'Proyectos Base digitable'!#REF!</f>
        <v>#REF!</v>
      </c>
      <c r="L192" s="56" t="e">
        <f>+'Proyectos Base digitable'!#REF!</f>
        <v>#REF!</v>
      </c>
      <c r="M192" s="56" t="e">
        <f>+'Proyectos Base digitable'!#REF!</f>
        <v>#REF!</v>
      </c>
      <c r="N192" s="52" t="e">
        <f>+'Proyectos Base digitable'!#REF!</f>
        <v>#REF!</v>
      </c>
      <c r="O192" s="52" t="e">
        <f>+'Proyectos Base digitable'!#REF!</f>
        <v>#REF!</v>
      </c>
      <c r="P192" s="185" t="e">
        <f>+'Proyectos Base digitable'!#REF!</f>
        <v>#REF!</v>
      </c>
      <c r="Q192" s="58" t="e">
        <f>+'Proyectos Base digitable'!#REF!</f>
        <v>#REF!</v>
      </c>
      <c r="R192" s="58" t="e">
        <f>+'Proyectos Base digitable'!#REF!</f>
        <v>#REF!</v>
      </c>
      <c r="S192" s="58" t="e">
        <f>+'Proyectos Base digitable'!#REF!</f>
        <v>#REF!</v>
      </c>
      <c r="T192" s="58" t="e">
        <f>+'Proyectos Base digitable'!#REF!</f>
        <v>#REF!</v>
      </c>
      <c r="U192" s="63" t="e">
        <f>'Proyectos Base digitable'!#REF!</f>
        <v>#REF!</v>
      </c>
      <c r="V192" s="63" t="e">
        <f>'Proyectos Base digitable'!#REF!</f>
        <v>#REF!</v>
      </c>
      <c r="W192" s="63" t="e">
        <f>'Proyectos Base digitable'!#REF!</f>
        <v>#REF!</v>
      </c>
      <c r="X192" s="63" t="e">
        <f>'Proyectos Base digitable'!#REF!</f>
        <v>#REF!</v>
      </c>
      <c r="Y192" s="63" t="e">
        <f>'Proyectos Base digitable'!#REF!</f>
        <v>#REF!</v>
      </c>
      <c r="Z192" s="58" t="e">
        <f>+'Proyectos Base digitable'!#REF!</f>
        <v>#REF!</v>
      </c>
      <c r="AA192" s="58" t="e">
        <f>+'Proyectos Base digitable'!#REF!</f>
        <v>#REF!</v>
      </c>
      <c r="AB192" s="63" t="e">
        <f>'Proyectos Base digitable'!#REF!</f>
        <v>#REF!</v>
      </c>
      <c r="AC192" s="56" t="e">
        <f>+'Proyectos Base digitable'!#REF!</f>
        <v>#REF!</v>
      </c>
      <c r="AD192" s="52" t="e">
        <f>+'Proyectos Base digitable'!#REF!</f>
        <v>#REF!</v>
      </c>
      <c r="AE192" s="52" t="e">
        <f>+'Proyectos Base digitable'!#REF!</f>
        <v>#REF!</v>
      </c>
      <c r="AF192" s="52" t="e">
        <f>+'Proyectos Base digitable'!#REF!</f>
        <v>#REF!</v>
      </c>
      <c r="AG192" s="56" t="e">
        <f>+'Proyectos Base digitable'!#REF!</f>
        <v>#REF!</v>
      </c>
      <c r="AH192" s="52" t="e">
        <f>+'Proyectos Base digitable'!#REF!</f>
        <v>#REF!</v>
      </c>
      <c r="AI192" s="52" t="e">
        <f>+'Proyectos Base digitable'!#REF!</f>
        <v>#REF!</v>
      </c>
      <c r="AJ192" s="59" t="e">
        <f>+'Proyectos Base digitable'!#REF!</f>
        <v>#REF!</v>
      </c>
      <c r="AK192" s="186" t="e">
        <f>+'Proyectos Base digitable'!#REF!</f>
        <v>#REF!</v>
      </c>
      <c r="AL192" s="186" t="e">
        <f>+'Proyectos Base digitable'!#REF!</f>
        <v>#REF!</v>
      </c>
      <c r="AM192" s="186" t="e">
        <f>+'Proyectos Base digitable'!#REF!</f>
        <v>#REF!</v>
      </c>
      <c r="AN192" s="186" t="e">
        <f>+'Proyectos Base digitable'!#REF!</f>
        <v>#REF!</v>
      </c>
      <c r="AO192" s="186" t="e">
        <f>+'Proyectos Base digitable'!#REF!</f>
        <v>#REF!</v>
      </c>
      <c r="AP192" s="186" t="e">
        <f>+'Proyectos Base digitable'!#REF!</f>
        <v>#REF!</v>
      </c>
      <c r="AQ192" s="186" t="e">
        <f>+'Proyectos Base digitable'!#REF!</f>
        <v>#REF!</v>
      </c>
      <c r="AR192" s="186" t="e">
        <f>+'Proyectos Base digitable'!#REF!</f>
        <v>#REF!</v>
      </c>
      <c r="AS192" s="186" t="e">
        <f>+'Proyectos Base digitable'!#REF!</f>
        <v>#REF!</v>
      </c>
      <c r="AT192" s="187" t="e">
        <f>+'Proyectos Base digitable'!#REF!</f>
        <v>#REF!</v>
      </c>
      <c r="AU192" s="56" t="e">
        <f>+'Proyectos Base digitable'!#REF!</f>
        <v>#REF!</v>
      </c>
      <c r="AV192" s="56" t="e">
        <f>+'Proyectos Base digitable'!#REF!</f>
        <v>#REF!</v>
      </c>
      <c r="AW192" s="56" t="e">
        <f>+'Proyectos Base digitable'!#REF!</f>
        <v>#REF!</v>
      </c>
      <c r="AX192" s="56" t="e">
        <f>+'Proyectos Base digitable'!#REF!</f>
        <v>#REF!</v>
      </c>
      <c r="AY192" s="56" t="e">
        <f>+'Proyectos Base digitable'!#REF!</f>
        <v>#REF!</v>
      </c>
      <c r="AZ192" s="188" t="e">
        <f>+'Proyectos Base digitable'!#REF!</f>
        <v>#REF!</v>
      </c>
      <c r="BA192" s="188" t="e">
        <f>+'Proyectos Base digitable'!#REF!</f>
        <v>#REF!</v>
      </c>
    </row>
    <row r="193" spans="1:53" ht="11.9" customHeight="1">
      <c r="A193" s="60" t="e">
        <f>+'Proyectos Base digitable'!#REF!</f>
        <v>#REF!</v>
      </c>
      <c r="B193" s="56" t="e">
        <f>+'Proyectos Base digitable'!#REF!</f>
        <v>#REF!</v>
      </c>
      <c r="C193" s="56" t="e">
        <f>+'Proyectos Base digitable'!#REF!</f>
        <v>#REF!</v>
      </c>
      <c r="D193" s="56" t="e">
        <f>+'Proyectos Base digitable'!#REF!</f>
        <v>#REF!</v>
      </c>
      <c r="E193" s="56" t="e">
        <f>+'Proyectos Base digitable'!#REF!</f>
        <v>#REF!</v>
      </c>
      <c r="F193" s="56" t="e">
        <f>+'Proyectos Base digitable'!#REF!</f>
        <v>#REF!</v>
      </c>
      <c r="G193" s="57" t="e">
        <f>+'Proyectos Base digitable'!#REF!</f>
        <v>#REF!</v>
      </c>
      <c r="H193" s="56" t="e">
        <f>+'Proyectos Base digitable'!#REF!</f>
        <v>#REF!</v>
      </c>
      <c r="I193" s="56" t="e">
        <f>+'Proyectos Base digitable'!#REF!</f>
        <v>#REF!</v>
      </c>
      <c r="J193" s="56" t="e">
        <f>+'Proyectos Base digitable'!#REF!</f>
        <v>#REF!</v>
      </c>
      <c r="K193" s="56" t="e">
        <f>+'Proyectos Base digitable'!#REF!</f>
        <v>#REF!</v>
      </c>
      <c r="L193" s="56" t="e">
        <f>+'Proyectos Base digitable'!#REF!</f>
        <v>#REF!</v>
      </c>
      <c r="M193" s="56" t="e">
        <f>+'Proyectos Base digitable'!#REF!</f>
        <v>#REF!</v>
      </c>
      <c r="N193" s="52" t="e">
        <f>+'Proyectos Base digitable'!#REF!</f>
        <v>#REF!</v>
      </c>
      <c r="O193" s="52" t="e">
        <f>+'Proyectos Base digitable'!#REF!</f>
        <v>#REF!</v>
      </c>
      <c r="P193" s="185" t="e">
        <f>+'Proyectos Base digitable'!#REF!</f>
        <v>#REF!</v>
      </c>
      <c r="Q193" s="58" t="e">
        <f>+'Proyectos Base digitable'!#REF!</f>
        <v>#REF!</v>
      </c>
      <c r="R193" s="58" t="e">
        <f>+'Proyectos Base digitable'!#REF!</f>
        <v>#REF!</v>
      </c>
      <c r="S193" s="58" t="e">
        <f>+'Proyectos Base digitable'!#REF!</f>
        <v>#REF!</v>
      </c>
      <c r="T193" s="58" t="e">
        <f>+'Proyectos Base digitable'!#REF!</f>
        <v>#REF!</v>
      </c>
      <c r="U193" s="63" t="e">
        <f>'Proyectos Base digitable'!#REF!</f>
        <v>#REF!</v>
      </c>
      <c r="V193" s="63" t="e">
        <f>'Proyectos Base digitable'!#REF!</f>
        <v>#REF!</v>
      </c>
      <c r="W193" s="63" t="e">
        <f>'Proyectos Base digitable'!#REF!</f>
        <v>#REF!</v>
      </c>
      <c r="X193" s="63" t="e">
        <f>'Proyectos Base digitable'!#REF!</f>
        <v>#REF!</v>
      </c>
      <c r="Y193" s="63" t="e">
        <f>'Proyectos Base digitable'!#REF!</f>
        <v>#REF!</v>
      </c>
      <c r="Z193" s="58" t="e">
        <f>+'Proyectos Base digitable'!#REF!</f>
        <v>#REF!</v>
      </c>
      <c r="AA193" s="58" t="e">
        <f>+'Proyectos Base digitable'!#REF!</f>
        <v>#REF!</v>
      </c>
      <c r="AB193" s="63" t="e">
        <f>'Proyectos Base digitable'!#REF!</f>
        <v>#REF!</v>
      </c>
      <c r="AC193" s="56" t="e">
        <f>+'Proyectos Base digitable'!#REF!</f>
        <v>#REF!</v>
      </c>
      <c r="AD193" s="52" t="e">
        <f>+'Proyectos Base digitable'!#REF!</f>
        <v>#REF!</v>
      </c>
      <c r="AE193" s="52" t="e">
        <f>+'Proyectos Base digitable'!#REF!</f>
        <v>#REF!</v>
      </c>
      <c r="AF193" s="52" t="e">
        <f>+'Proyectos Base digitable'!#REF!</f>
        <v>#REF!</v>
      </c>
      <c r="AG193" s="56" t="e">
        <f>+'Proyectos Base digitable'!#REF!</f>
        <v>#REF!</v>
      </c>
      <c r="AH193" s="52" t="e">
        <f>+'Proyectos Base digitable'!#REF!</f>
        <v>#REF!</v>
      </c>
      <c r="AI193" s="52" t="e">
        <f>+'Proyectos Base digitable'!#REF!</f>
        <v>#REF!</v>
      </c>
      <c r="AJ193" s="59" t="e">
        <f>+'Proyectos Base digitable'!#REF!</f>
        <v>#REF!</v>
      </c>
      <c r="AK193" s="186" t="e">
        <f>+'Proyectos Base digitable'!#REF!</f>
        <v>#REF!</v>
      </c>
      <c r="AL193" s="186" t="e">
        <f>+'Proyectos Base digitable'!#REF!</f>
        <v>#REF!</v>
      </c>
      <c r="AM193" s="186" t="e">
        <f>+'Proyectos Base digitable'!#REF!</f>
        <v>#REF!</v>
      </c>
      <c r="AN193" s="186" t="e">
        <f>+'Proyectos Base digitable'!#REF!</f>
        <v>#REF!</v>
      </c>
      <c r="AO193" s="186" t="e">
        <f>+'Proyectos Base digitable'!#REF!</f>
        <v>#REF!</v>
      </c>
      <c r="AP193" s="186" t="e">
        <f>+'Proyectos Base digitable'!#REF!</f>
        <v>#REF!</v>
      </c>
      <c r="AQ193" s="186" t="e">
        <f>+'Proyectos Base digitable'!#REF!</f>
        <v>#REF!</v>
      </c>
      <c r="AR193" s="186" t="e">
        <f>+'Proyectos Base digitable'!#REF!</f>
        <v>#REF!</v>
      </c>
      <c r="AS193" s="186" t="e">
        <f>+'Proyectos Base digitable'!#REF!</f>
        <v>#REF!</v>
      </c>
      <c r="AT193" s="187" t="e">
        <f>+'Proyectos Base digitable'!#REF!</f>
        <v>#REF!</v>
      </c>
      <c r="AU193" s="56" t="e">
        <f>+'Proyectos Base digitable'!#REF!</f>
        <v>#REF!</v>
      </c>
      <c r="AV193" s="56" t="e">
        <f>+'Proyectos Base digitable'!#REF!</f>
        <v>#REF!</v>
      </c>
      <c r="AW193" s="56" t="e">
        <f>+'Proyectos Base digitable'!#REF!</f>
        <v>#REF!</v>
      </c>
      <c r="AX193" s="56" t="e">
        <f>+'Proyectos Base digitable'!#REF!</f>
        <v>#REF!</v>
      </c>
      <c r="AY193" s="56" t="e">
        <f>+'Proyectos Base digitable'!#REF!</f>
        <v>#REF!</v>
      </c>
      <c r="AZ193" s="188" t="e">
        <f>+'Proyectos Base digitable'!#REF!</f>
        <v>#REF!</v>
      </c>
      <c r="BA193" s="188" t="e">
        <f>+'Proyectos Base digitable'!#REF!</f>
        <v>#REF!</v>
      </c>
    </row>
    <row r="194" spans="1:53" ht="11.9" customHeight="1">
      <c r="A194" s="60" t="e">
        <f>+'Proyectos Base digitable'!#REF!</f>
        <v>#REF!</v>
      </c>
      <c r="B194" s="56" t="e">
        <f>+'Proyectos Base digitable'!#REF!</f>
        <v>#REF!</v>
      </c>
      <c r="C194" s="56" t="e">
        <f>+'Proyectos Base digitable'!#REF!</f>
        <v>#REF!</v>
      </c>
      <c r="D194" s="56" t="e">
        <f>+'Proyectos Base digitable'!#REF!</f>
        <v>#REF!</v>
      </c>
      <c r="E194" s="56" t="e">
        <f>+'Proyectos Base digitable'!#REF!</f>
        <v>#REF!</v>
      </c>
      <c r="F194" s="56" t="e">
        <f>+'Proyectos Base digitable'!#REF!</f>
        <v>#REF!</v>
      </c>
      <c r="G194" s="57" t="e">
        <f>+'Proyectos Base digitable'!#REF!</f>
        <v>#REF!</v>
      </c>
      <c r="H194" s="56" t="e">
        <f>+'Proyectos Base digitable'!#REF!</f>
        <v>#REF!</v>
      </c>
      <c r="I194" s="56" t="e">
        <f>+'Proyectos Base digitable'!#REF!</f>
        <v>#REF!</v>
      </c>
      <c r="J194" s="56" t="e">
        <f>+'Proyectos Base digitable'!#REF!</f>
        <v>#REF!</v>
      </c>
      <c r="K194" s="56" t="e">
        <f>+'Proyectos Base digitable'!#REF!</f>
        <v>#REF!</v>
      </c>
      <c r="L194" s="56" t="e">
        <f>+'Proyectos Base digitable'!#REF!</f>
        <v>#REF!</v>
      </c>
      <c r="M194" s="56" t="e">
        <f>+'Proyectos Base digitable'!#REF!</f>
        <v>#REF!</v>
      </c>
      <c r="N194" s="52" t="e">
        <f>+'Proyectos Base digitable'!#REF!</f>
        <v>#REF!</v>
      </c>
      <c r="O194" s="52" t="e">
        <f>+'Proyectos Base digitable'!#REF!</f>
        <v>#REF!</v>
      </c>
      <c r="P194" s="185" t="e">
        <f>+'Proyectos Base digitable'!#REF!</f>
        <v>#REF!</v>
      </c>
      <c r="Q194" s="58" t="e">
        <f>+'Proyectos Base digitable'!#REF!</f>
        <v>#REF!</v>
      </c>
      <c r="R194" s="58" t="e">
        <f>+'Proyectos Base digitable'!#REF!</f>
        <v>#REF!</v>
      </c>
      <c r="S194" s="58" t="e">
        <f>+'Proyectos Base digitable'!#REF!</f>
        <v>#REF!</v>
      </c>
      <c r="T194" s="58" t="e">
        <f>+'Proyectos Base digitable'!#REF!</f>
        <v>#REF!</v>
      </c>
      <c r="U194" s="63" t="e">
        <f>'Proyectos Base digitable'!#REF!</f>
        <v>#REF!</v>
      </c>
      <c r="V194" s="63" t="e">
        <f>'Proyectos Base digitable'!#REF!</f>
        <v>#REF!</v>
      </c>
      <c r="W194" s="63" t="e">
        <f>'Proyectos Base digitable'!#REF!</f>
        <v>#REF!</v>
      </c>
      <c r="X194" s="63" t="e">
        <f>'Proyectos Base digitable'!#REF!</f>
        <v>#REF!</v>
      </c>
      <c r="Y194" s="63" t="e">
        <f>'Proyectos Base digitable'!#REF!</f>
        <v>#REF!</v>
      </c>
      <c r="Z194" s="58" t="e">
        <f>+'Proyectos Base digitable'!#REF!</f>
        <v>#REF!</v>
      </c>
      <c r="AA194" s="58" t="e">
        <f>+'Proyectos Base digitable'!#REF!</f>
        <v>#REF!</v>
      </c>
      <c r="AB194" s="63" t="e">
        <f>'Proyectos Base digitable'!#REF!</f>
        <v>#REF!</v>
      </c>
      <c r="AC194" s="56" t="e">
        <f>+'Proyectos Base digitable'!#REF!</f>
        <v>#REF!</v>
      </c>
      <c r="AD194" s="52" t="e">
        <f>+'Proyectos Base digitable'!#REF!</f>
        <v>#REF!</v>
      </c>
      <c r="AE194" s="52" t="e">
        <f>+'Proyectos Base digitable'!#REF!</f>
        <v>#REF!</v>
      </c>
      <c r="AF194" s="52" t="e">
        <f>+'Proyectos Base digitable'!#REF!</f>
        <v>#REF!</v>
      </c>
      <c r="AG194" s="56" t="e">
        <f>+'Proyectos Base digitable'!#REF!</f>
        <v>#REF!</v>
      </c>
      <c r="AH194" s="52" t="e">
        <f>+'Proyectos Base digitable'!#REF!</f>
        <v>#REF!</v>
      </c>
      <c r="AI194" s="52" t="e">
        <f>+'Proyectos Base digitable'!#REF!</f>
        <v>#REF!</v>
      </c>
      <c r="AJ194" s="59" t="e">
        <f>+'Proyectos Base digitable'!#REF!</f>
        <v>#REF!</v>
      </c>
      <c r="AK194" s="186" t="e">
        <f>+'Proyectos Base digitable'!#REF!</f>
        <v>#REF!</v>
      </c>
      <c r="AL194" s="186" t="e">
        <f>+'Proyectos Base digitable'!#REF!</f>
        <v>#REF!</v>
      </c>
      <c r="AM194" s="186" t="e">
        <f>+'Proyectos Base digitable'!#REF!</f>
        <v>#REF!</v>
      </c>
      <c r="AN194" s="186" t="e">
        <f>+'Proyectos Base digitable'!#REF!</f>
        <v>#REF!</v>
      </c>
      <c r="AO194" s="186" t="e">
        <f>+'Proyectos Base digitable'!#REF!</f>
        <v>#REF!</v>
      </c>
      <c r="AP194" s="186" t="e">
        <f>+'Proyectos Base digitable'!#REF!</f>
        <v>#REF!</v>
      </c>
      <c r="AQ194" s="186" t="e">
        <f>+'Proyectos Base digitable'!#REF!</f>
        <v>#REF!</v>
      </c>
      <c r="AR194" s="186" t="e">
        <f>+'Proyectos Base digitable'!#REF!</f>
        <v>#REF!</v>
      </c>
      <c r="AS194" s="186" t="e">
        <f>+'Proyectos Base digitable'!#REF!</f>
        <v>#REF!</v>
      </c>
      <c r="AT194" s="187" t="e">
        <f>+'Proyectos Base digitable'!#REF!</f>
        <v>#REF!</v>
      </c>
      <c r="AU194" s="56" t="e">
        <f>+'Proyectos Base digitable'!#REF!</f>
        <v>#REF!</v>
      </c>
      <c r="AV194" s="56" t="e">
        <f>+'Proyectos Base digitable'!#REF!</f>
        <v>#REF!</v>
      </c>
      <c r="AW194" s="56" t="e">
        <f>+'Proyectos Base digitable'!#REF!</f>
        <v>#REF!</v>
      </c>
      <c r="AX194" s="56" t="e">
        <f>+'Proyectos Base digitable'!#REF!</f>
        <v>#REF!</v>
      </c>
      <c r="AY194" s="56" t="e">
        <f>+'Proyectos Base digitable'!#REF!</f>
        <v>#REF!</v>
      </c>
      <c r="AZ194" s="188" t="e">
        <f>+'Proyectos Base digitable'!#REF!</f>
        <v>#REF!</v>
      </c>
      <c r="BA194" s="188" t="e">
        <f>+'Proyectos Base digitable'!#REF!</f>
        <v>#REF!</v>
      </c>
    </row>
    <row r="195" spans="1:53" ht="11.9" customHeight="1">
      <c r="A195" s="60" t="e">
        <f>+'Proyectos Base digitable'!#REF!</f>
        <v>#REF!</v>
      </c>
      <c r="B195" s="56" t="e">
        <f>+'Proyectos Base digitable'!#REF!</f>
        <v>#REF!</v>
      </c>
      <c r="C195" s="56" t="e">
        <f>+'Proyectos Base digitable'!#REF!</f>
        <v>#REF!</v>
      </c>
      <c r="D195" s="56" t="e">
        <f>+'Proyectos Base digitable'!#REF!</f>
        <v>#REF!</v>
      </c>
      <c r="E195" s="56" t="e">
        <f>+'Proyectos Base digitable'!#REF!</f>
        <v>#REF!</v>
      </c>
      <c r="F195" s="56" t="e">
        <f>+'Proyectos Base digitable'!#REF!</f>
        <v>#REF!</v>
      </c>
      <c r="G195" s="57" t="e">
        <f>+'Proyectos Base digitable'!#REF!</f>
        <v>#REF!</v>
      </c>
      <c r="H195" s="56" t="e">
        <f>+'Proyectos Base digitable'!#REF!</f>
        <v>#REF!</v>
      </c>
      <c r="I195" s="56" t="e">
        <f>+'Proyectos Base digitable'!#REF!</f>
        <v>#REF!</v>
      </c>
      <c r="J195" s="56" t="e">
        <f>+'Proyectos Base digitable'!#REF!</f>
        <v>#REF!</v>
      </c>
      <c r="K195" s="56" t="e">
        <f>+'Proyectos Base digitable'!#REF!</f>
        <v>#REF!</v>
      </c>
      <c r="L195" s="56" t="e">
        <f>+'Proyectos Base digitable'!#REF!</f>
        <v>#REF!</v>
      </c>
      <c r="M195" s="56" t="e">
        <f>+'Proyectos Base digitable'!#REF!</f>
        <v>#REF!</v>
      </c>
      <c r="N195" s="52" t="e">
        <f>+'Proyectos Base digitable'!#REF!</f>
        <v>#REF!</v>
      </c>
      <c r="O195" s="52" t="e">
        <f>+'Proyectos Base digitable'!#REF!</f>
        <v>#REF!</v>
      </c>
      <c r="P195" s="185" t="e">
        <f>+'Proyectos Base digitable'!#REF!</f>
        <v>#REF!</v>
      </c>
      <c r="Q195" s="58" t="e">
        <f>+'Proyectos Base digitable'!#REF!</f>
        <v>#REF!</v>
      </c>
      <c r="R195" s="58" t="e">
        <f>+'Proyectos Base digitable'!#REF!</f>
        <v>#REF!</v>
      </c>
      <c r="S195" s="58" t="e">
        <f>+'Proyectos Base digitable'!#REF!</f>
        <v>#REF!</v>
      </c>
      <c r="T195" s="58" t="e">
        <f>+'Proyectos Base digitable'!#REF!</f>
        <v>#REF!</v>
      </c>
      <c r="U195" s="63" t="e">
        <f>'Proyectos Base digitable'!#REF!</f>
        <v>#REF!</v>
      </c>
      <c r="V195" s="63" t="e">
        <f>'Proyectos Base digitable'!#REF!</f>
        <v>#REF!</v>
      </c>
      <c r="W195" s="63" t="e">
        <f>'Proyectos Base digitable'!#REF!</f>
        <v>#REF!</v>
      </c>
      <c r="X195" s="63" t="e">
        <f>'Proyectos Base digitable'!#REF!</f>
        <v>#REF!</v>
      </c>
      <c r="Y195" s="63" t="e">
        <f>'Proyectos Base digitable'!#REF!</f>
        <v>#REF!</v>
      </c>
      <c r="Z195" s="58" t="e">
        <f>+'Proyectos Base digitable'!#REF!</f>
        <v>#REF!</v>
      </c>
      <c r="AA195" s="58" t="e">
        <f>+'Proyectos Base digitable'!#REF!</f>
        <v>#REF!</v>
      </c>
      <c r="AB195" s="63" t="e">
        <f>'Proyectos Base digitable'!#REF!</f>
        <v>#REF!</v>
      </c>
      <c r="AC195" s="56" t="e">
        <f>+'Proyectos Base digitable'!#REF!</f>
        <v>#REF!</v>
      </c>
      <c r="AD195" s="52" t="e">
        <f>+'Proyectos Base digitable'!#REF!</f>
        <v>#REF!</v>
      </c>
      <c r="AE195" s="52" t="e">
        <f>+'Proyectos Base digitable'!#REF!</f>
        <v>#REF!</v>
      </c>
      <c r="AF195" s="52" t="e">
        <f>+'Proyectos Base digitable'!#REF!</f>
        <v>#REF!</v>
      </c>
      <c r="AG195" s="56" t="e">
        <f>+'Proyectos Base digitable'!#REF!</f>
        <v>#REF!</v>
      </c>
      <c r="AH195" s="52" t="e">
        <f>+'Proyectos Base digitable'!#REF!</f>
        <v>#REF!</v>
      </c>
      <c r="AI195" s="52" t="e">
        <f>+'Proyectos Base digitable'!#REF!</f>
        <v>#REF!</v>
      </c>
      <c r="AJ195" s="59" t="e">
        <f>+'Proyectos Base digitable'!#REF!</f>
        <v>#REF!</v>
      </c>
      <c r="AK195" s="186" t="e">
        <f>+'Proyectos Base digitable'!#REF!</f>
        <v>#REF!</v>
      </c>
      <c r="AL195" s="186" t="e">
        <f>+'Proyectos Base digitable'!#REF!</f>
        <v>#REF!</v>
      </c>
      <c r="AM195" s="186" t="e">
        <f>+'Proyectos Base digitable'!#REF!</f>
        <v>#REF!</v>
      </c>
      <c r="AN195" s="186" t="e">
        <f>+'Proyectos Base digitable'!#REF!</f>
        <v>#REF!</v>
      </c>
      <c r="AO195" s="186" t="e">
        <f>+'Proyectos Base digitable'!#REF!</f>
        <v>#REF!</v>
      </c>
      <c r="AP195" s="186" t="e">
        <f>+'Proyectos Base digitable'!#REF!</f>
        <v>#REF!</v>
      </c>
      <c r="AQ195" s="186" t="e">
        <f>+'Proyectos Base digitable'!#REF!</f>
        <v>#REF!</v>
      </c>
      <c r="AR195" s="186" t="e">
        <f>+'Proyectos Base digitable'!#REF!</f>
        <v>#REF!</v>
      </c>
      <c r="AS195" s="186" t="e">
        <f>+'Proyectos Base digitable'!#REF!</f>
        <v>#REF!</v>
      </c>
      <c r="AT195" s="187" t="e">
        <f>+'Proyectos Base digitable'!#REF!</f>
        <v>#REF!</v>
      </c>
      <c r="AU195" s="56" t="e">
        <f>+'Proyectos Base digitable'!#REF!</f>
        <v>#REF!</v>
      </c>
      <c r="AV195" s="56" t="e">
        <f>+'Proyectos Base digitable'!#REF!</f>
        <v>#REF!</v>
      </c>
      <c r="AW195" s="56" t="e">
        <f>+'Proyectos Base digitable'!#REF!</f>
        <v>#REF!</v>
      </c>
      <c r="AX195" s="56" t="e">
        <f>+'Proyectos Base digitable'!#REF!</f>
        <v>#REF!</v>
      </c>
      <c r="AY195" s="56" t="e">
        <f>+'Proyectos Base digitable'!#REF!</f>
        <v>#REF!</v>
      </c>
      <c r="AZ195" s="188" t="e">
        <f>+'Proyectos Base digitable'!#REF!</f>
        <v>#REF!</v>
      </c>
      <c r="BA195" s="188" t="e">
        <f>+'Proyectos Base digitable'!#REF!</f>
        <v>#REF!</v>
      </c>
    </row>
    <row r="196" spans="1:53" ht="12.5">
      <c r="A196" s="60" t="e">
        <f>+'Proyectos Base digitable'!#REF!</f>
        <v>#REF!</v>
      </c>
      <c r="B196" s="56" t="e">
        <f>+'Proyectos Base digitable'!#REF!</f>
        <v>#REF!</v>
      </c>
      <c r="C196" s="56" t="e">
        <f>+'Proyectos Base digitable'!#REF!</f>
        <v>#REF!</v>
      </c>
      <c r="D196" s="56" t="e">
        <f>+'Proyectos Base digitable'!#REF!</f>
        <v>#REF!</v>
      </c>
      <c r="E196" s="56" t="e">
        <f>+'Proyectos Base digitable'!#REF!</f>
        <v>#REF!</v>
      </c>
      <c r="F196" s="56" t="e">
        <f>+'Proyectos Base digitable'!#REF!</f>
        <v>#REF!</v>
      </c>
      <c r="G196" s="57" t="e">
        <f>+'Proyectos Base digitable'!#REF!</f>
        <v>#REF!</v>
      </c>
      <c r="H196" s="56" t="e">
        <f>+'Proyectos Base digitable'!#REF!</f>
        <v>#REF!</v>
      </c>
      <c r="I196" s="56" t="e">
        <f>+'Proyectos Base digitable'!#REF!</f>
        <v>#REF!</v>
      </c>
      <c r="J196" s="56" t="e">
        <f>+'Proyectos Base digitable'!#REF!</f>
        <v>#REF!</v>
      </c>
      <c r="K196" s="56" t="e">
        <f>+'Proyectos Base digitable'!#REF!</f>
        <v>#REF!</v>
      </c>
      <c r="L196" s="56" t="e">
        <f>+'Proyectos Base digitable'!#REF!</f>
        <v>#REF!</v>
      </c>
      <c r="M196" s="56" t="e">
        <f>+'Proyectos Base digitable'!#REF!</f>
        <v>#REF!</v>
      </c>
      <c r="N196" s="52" t="e">
        <f>+'Proyectos Base digitable'!#REF!</f>
        <v>#REF!</v>
      </c>
      <c r="O196" s="52" t="e">
        <f>+'Proyectos Base digitable'!#REF!</f>
        <v>#REF!</v>
      </c>
      <c r="P196" s="185" t="e">
        <f>+'Proyectos Base digitable'!#REF!</f>
        <v>#REF!</v>
      </c>
      <c r="Q196" s="58" t="e">
        <f>+'Proyectos Base digitable'!#REF!</f>
        <v>#REF!</v>
      </c>
      <c r="R196" s="58" t="e">
        <f>+'Proyectos Base digitable'!#REF!</f>
        <v>#REF!</v>
      </c>
      <c r="S196" s="58" t="e">
        <f>+'Proyectos Base digitable'!#REF!</f>
        <v>#REF!</v>
      </c>
      <c r="T196" s="58" t="e">
        <f>+'Proyectos Base digitable'!#REF!</f>
        <v>#REF!</v>
      </c>
      <c r="U196" s="63" t="e">
        <f>'Proyectos Base digitable'!#REF!</f>
        <v>#REF!</v>
      </c>
      <c r="V196" s="63" t="e">
        <f>'Proyectos Base digitable'!#REF!</f>
        <v>#REF!</v>
      </c>
      <c r="W196" s="63" t="e">
        <f>'Proyectos Base digitable'!#REF!</f>
        <v>#REF!</v>
      </c>
      <c r="X196" s="63" t="e">
        <f>'Proyectos Base digitable'!#REF!</f>
        <v>#REF!</v>
      </c>
      <c r="Y196" s="63" t="e">
        <f>'Proyectos Base digitable'!#REF!</f>
        <v>#REF!</v>
      </c>
      <c r="Z196" s="58" t="e">
        <f>+'Proyectos Base digitable'!#REF!</f>
        <v>#REF!</v>
      </c>
      <c r="AA196" s="58" t="e">
        <f>+'Proyectos Base digitable'!#REF!</f>
        <v>#REF!</v>
      </c>
      <c r="AB196" s="63" t="e">
        <f>'Proyectos Base digitable'!#REF!</f>
        <v>#REF!</v>
      </c>
      <c r="AC196" s="56" t="e">
        <f>+'Proyectos Base digitable'!#REF!</f>
        <v>#REF!</v>
      </c>
      <c r="AD196" s="52" t="e">
        <f>+'Proyectos Base digitable'!#REF!</f>
        <v>#REF!</v>
      </c>
      <c r="AE196" s="52" t="e">
        <f>+'Proyectos Base digitable'!#REF!</f>
        <v>#REF!</v>
      </c>
      <c r="AF196" s="52" t="e">
        <f>+'Proyectos Base digitable'!#REF!</f>
        <v>#REF!</v>
      </c>
      <c r="AG196" s="56" t="e">
        <f>+'Proyectos Base digitable'!#REF!</f>
        <v>#REF!</v>
      </c>
      <c r="AH196" s="52" t="e">
        <f>+'Proyectos Base digitable'!#REF!</f>
        <v>#REF!</v>
      </c>
      <c r="AI196" s="52" t="e">
        <f>+'Proyectos Base digitable'!#REF!</f>
        <v>#REF!</v>
      </c>
      <c r="AJ196" s="59" t="e">
        <f>+'Proyectos Base digitable'!#REF!</f>
        <v>#REF!</v>
      </c>
      <c r="AK196" s="186" t="e">
        <f>+'Proyectos Base digitable'!#REF!</f>
        <v>#REF!</v>
      </c>
      <c r="AL196" s="186" t="e">
        <f>+'Proyectos Base digitable'!#REF!</f>
        <v>#REF!</v>
      </c>
      <c r="AM196" s="186" t="e">
        <f>+'Proyectos Base digitable'!#REF!</f>
        <v>#REF!</v>
      </c>
      <c r="AN196" s="186" t="e">
        <f>+'Proyectos Base digitable'!#REF!</f>
        <v>#REF!</v>
      </c>
      <c r="AO196" s="186" t="e">
        <f>+'Proyectos Base digitable'!#REF!</f>
        <v>#REF!</v>
      </c>
      <c r="AP196" s="186" t="e">
        <f>+'Proyectos Base digitable'!#REF!</f>
        <v>#REF!</v>
      </c>
      <c r="AQ196" s="186" t="e">
        <f>+'Proyectos Base digitable'!#REF!</f>
        <v>#REF!</v>
      </c>
      <c r="AR196" s="186" t="e">
        <f>+'Proyectos Base digitable'!#REF!</f>
        <v>#REF!</v>
      </c>
      <c r="AS196" s="186" t="e">
        <f>+'Proyectos Base digitable'!#REF!</f>
        <v>#REF!</v>
      </c>
      <c r="AT196" s="187" t="e">
        <f>+'Proyectos Base digitable'!#REF!</f>
        <v>#REF!</v>
      </c>
      <c r="AU196" s="56" t="e">
        <f>+'Proyectos Base digitable'!#REF!</f>
        <v>#REF!</v>
      </c>
      <c r="AV196" s="56" t="e">
        <f>+'Proyectos Base digitable'!#REF!</f>
        <v>#REF!</v>
      </c>
      <c r="AW196" s="56" t="e">
        <f>+'Proyectos Base digitable'!#REF!</f>
        <v>#REF!</v>
      </c>
      <c r="AX196" s="56" t="e">
        <f>+'Proyectos Base digitable'!#REF!</f>
        <v>#REF!</v>
      </c>
      <c r="AY196" s="56" t="e">
        <f>+'Proyectos Base digitable'!#REF!</f>
        <v>#REF!</v>
      </c>
      <c r="AZ196" s="188" t="e">
        <f>+'Proyectos Base digitable'!#REF!</f>
        <v>#REF!</v>
      </c>
      <c r="BA196" s="188" t="e">
        <f>+'Proyectos Base digitable'!#REF!</f>
        <v>#REF!</v>
      </c>
    </row>
    <row r="197" spans="1:53" ht="12.5">
      <c r="A197" s="60" t="e">
        <f>+'Proyectos Base digitable'!#REF!</f>
        <v>#REF!</v>
      </c>
      <c r="B197" s="56" t="e">
        <f>+'Proyectos Base digitable'!#REF!</f>
        <v>#REF!</v>
      </c>
      <c r="C197" s="56" t="e">
        <f>+'Proyectos Base digitable'!#REF!</f>
        <v>#REF!</v>
      </c>
      <c r="D197" s="56" t="e">
        <f>+'Proyectos Base digitable'!#REF!</f>
        <v>#REF!</v>
      </c>
      <c r="E197" s="56" t="e">
        <f>+'Proyectos Base digitable'!#REF!</f>
        <v>#REF!</v>
      </c>
      <c r="F197" s="56" t="e">
        <f>+'Proyectos Base digitable'!#REF!</f>
        <v>#REF!</v>
      </c>
      <c r="G197" s="57" t="e">
        <f>+'Proyectos Base digitable'!#REF!</f>
        <v>#REF!</v>
      </c>
      <c r="H197" s="56" t="e">
        <f>+'Proyectos Base digitable'!#REF!</f>
        <v>#REF!</v>
      </c>
      <c r="I197" s="56" t="e">
        <f>+'Proyectos Base digitable'!#REF!</f>
        <v>#REF!</v>
      </c>
      <c r="J197" s="56" t="e">
        <f>+'Proyectos Base digitable'!#REF!</f>
        <v>#REF!</v>
      </c>
      <c r="K197" s="56" t="e">
        <f>+'Proyectos Base digitable'!#REF!</f>
        <v>#REF!</v>
      </c>
      <c r="L197" s="56" t="e">
        <f>+'Proyectos Base digitable'!#REF!</f>
        <v>#REF!</v>
      </c>
      <c r="M197" s="56" t="e">
        <f>+'Proyectos Base digitable'!#REF!</f>
        <v>#REF!</v>
      </c>
      <c r="N197" s="52" t="e">
        <f>+'Proyectos Base digitable'!#REF!</f>
        <v>#REF!</v>
      </c>
      <c r="O197" s="52" t="e">
        <f>+'Proyectos Base digitable'!#REF!</f>
        <v>#REF!</v>
      </c>
      <c r="P197" s="185" t="e">
        <f>+'Proyectos Base digitable'!#REF!</f>
        <v>#REF!</v>
      </c>
      <c r="Q197" s="58" t="e">
        <f>+'Proyectos Base digitable'!#REF!</f>
        <v>#REF!</v>
      </c>
      <c r="R197" s="58" t="e">
        <f>+'Proyectos Base digitable'!#REF!</f>
        <v>#REF!</v>
      </c>
      <c r="S197" s="58" t="e">
        <f>+'Proyectos Base digitable'!#REF!</f>
        <v>#REF!</v>
      </c>
      <c r="T197" s="58" t="e">
        <f>+'Proyectos Base digitable'!#REF!</f>
        <v>#REF!</v>
      </c>
      <c r="U197" s="63" t="e">
        <f>'Proyectos Base digitable'!#REF!</f>
        <v>#REF!</v>
      </c>
      <c r="V197" s="63" t="e">
        <f>'Proyectos Base digitable'!#REF!</f>
        <v>#REF!</v>
      </c>
      <c r="W197" s="63" t="e">
        <f>'Proyectos Base digitable'!#REF!</f>
        <v>#REF!</v>
      </c>
      <c r="X197" s="63" t="e">
        <f>'Proyectos Base digitable'!#REF!</f>
        <v>#REF!</v>
      </c>
      <c r="Y197" s="63" t="e">
        <f>'Proyectos Base digitable'!#REF!</f>
        <v>#REF!</v>
      </c>
      <c r="Z197" s="58" t="e">
        <f>+'Proyectos Base digitable'!#REF!</f>
        <v>#REF!</v>
      </c>
      <c r="AA197" s="58" t="e">
        <f>+'Proyectos Base digitable'!#REF!</f>
        <v>#REF!</v>
      </c>
      <c r="AB197" s="63" t="e">
        <f>'Proyectos Base digitable'!#REF!</f>
        <v>#REF!</v>
      </c>
      <c r="AC197" s="56" t="e">
        <f>+'Proyectos Base digitable'!#REF!</f>
        <v>#REF!</v>
      </c>
      <c r="AD197" s="52" t="e">
        <f>+'Proyectos Base digitable'!#REF!</f>
        <v>#REF!</v>
      </c>
      <c r="AE197" s="52" t="e">
        <f>+'Proyectos Base digitable'!#REF!</f>
        <v>#REF!</v>
      </c>
      <c r="AF197" s="52" t="e">
        <f>+'Proyectos Base digitable'!#REF!</f>
        <v>#REF!</v>
      </c>
      <c r="AG197" s="56" t="e">
        <f>+'Proyectos Base digitable'!#REF!</f>
        <v>#REF!</v>
      </c>
      <c r="AH197" s="52" t="e">
        <f>+'Proyectos Base digitable'!#REF!</f>
        <v>#REF!</v>
      </c>
      <c r="AI197" s="52" t="e">
        <f>+'Proyectos Base digitable'!#REF!</f>
        <v>#REF!</v>
      </c>
      <c r="AJ197" s="59" t="e">
        <f>+'Proyectos Base digitable'!#REF!</f>
        <v>#REF!</v>
      </c>
      <c r="AK197" s="186" t="e">
        <f>+'Proyectos Base digitable'!#REF!</f>
        <v>#REF!</v>
      </c>
      <c r="AL197" s="186" t="e">
        <f>+'Proyectos Base digitable'!#REF!</f>
        <v>#REF!</v>
      </c>
      <c r="AM197" s="186" t="e">
        <f>+'Proyectos Base digitable'!#REF!</f>
        <v>#REF!</v>
      </c>
      <c r="AN197" s="186" t="e">
        <f>+'Proyectos Base digitable'!#REF!</f>
        <v>#REF!</v>
      </c>
      <c r="AO197" s="186" t="e">
        <f>+'Proyectos Base digitable'!#REF!</f>
        <v>#REF!</v>
      </c>
      <c r="AP197" s="186" t="e">
        <f>+'Proyectos Base digitable'!#REF!</f>
        <v>#REF!</v>
      </c>
      <c r="AQ197" s="186" t="e">
        <f>+'Proyectos Base digitable'!#REF!</f>
        <v>#REF!</v>
      </c>
      <c r="AR197" s="186" t="e">
        <f>+'Proyectos Base digitable'!#REF!</f>
        <v>#REF!</v>
      </c>
      <c r="AS197" s="186" t="e">
        <f>+'Proyectos Base digitable'!#REF!</f>
        <v>#REF!</v>
      </c>
      <c r="AT197" s="187" t="e">
        <f>+'Proyectos Base digitable'!#REF!</f>
        <v>#REF!</v>
      </c>
      <c r="AU197" s="56" t="e">
        <f>+'Proyectos Base digitable'!#REF!</f>
        <v>#REF!</v>
      </c>
      <c r="AV197" s="56" t="e">
        <f>+'Proyectos Base digitable'!#REF!</f>
        <v>#REF!</v>
      </c>
      <c r="AW197" s="56" t="e">
        <f>+'Proyectos Base digitable'!#REF!</f>
        <v>#REF!</v>
      </c>
      <c r="AX197" s="56" t="e">
        <f>+'Proyectos Base digitable'!#REF!</f>
        <v>#REF!</v>
      </c>
      <c r="AY197" s="56" t="e">
        <f>+'Proyectos Base digitable'!#REF!</f>
        <v>#REF!</v>
      </c>
      <c r="AZ197" s="188" t="e">
        <f>+'Proyectos Base digitable'!#REF!</f>
        <v>#REF!</v>
      </c>
      <c r="BA197" s="188" t="e">
        <f>+'Proyectos Base digitable'!#REF!</f>
        <v>#REF!</v>
      </c>
    </row>
    <row r="198" spans="1:53" ht="12.5">
      <c r="A198" s="60" t="e">
        <f>+'Proyectos Base digitable'!#REF!</f>
        <v>#REF!</v>
      </c>
      <c r="B198" s="56" t="e">
        <f>+'Proyectos Base digitable'!#REF!</f>
        <v>#REF!</v>
      </c>
      <c r="C198" s="56" t="e">
        <f>+'Proyectos Base digitable'!#REF!</f>
        <v>#REF!</v>
      </c>
      <c r="D198" s="56" t="e">
        <f>+'Proyectos Base digitable'!#REF!</f>
        <v>#REF!</v>
      </c>
      <c r="E198" s="56" t="e">
        <f>+'Proyectos Base digitable'!#REF!</f>
        <v>#REF!</v>
      </c>
      <c r="F198" s="56" t="e">
        <f>+'Proyectos Base digitable'!#REF!</f>
        <v>#REF!</v>
      </c>
      <c r="G198" s="57" t="e">
        <f>+'Proyectos Base digitable'!#REF!</f>
        <v>#REF!</v>
      </c>
      <c r="H198" s="56" t="e">
        <f>+'Proyectos Base digitable'!#REF!</f>
        <v>#REF!</v>
      </c>
      <c r="I198" s="56" t="e">
        <f>+'Proyectos Base digitable'!#REF!</f>
        <v>#REF!</v>
      </c>
      <c r="J198" s="56" t="e">
        <f>+'Proyectos Base digitable'!#REF!</f>
        <v>#REF!</v>
      </c>
      <c r="K198" s="56" t="e">
        <f>+'Proyectos Base digitable'!#REF!</f>
        <v>#REF!</v>
      </c>
      <c r="L198" s="56" t="e">
        <f>+'Proyectos Base digitable'!#REF!</f>
        <v>#REF!</v>
      </c>
      <c r="M198" s="56" t="e">
        <f>+'Proyectos Base digitable'!#REF!</f>
        <v>#REF!</v>
      </c>
      <c r="N198" s="52" t="e">
        <f>+'Proyectos Base digitable'!#REF!</f>
        <v>#REF!</v>
      </c>
      <c r="O198" s="52" t="e">
        <f>+'Proyectos Base digitable'!#REF!</f>
        <v>#REF!</v>
      </c>
      <c r="P198" s="185" t="e">
        <f>+'Proyectos Base digitable'!#REF!</f>
        <v>#REF!</v>
      </c>
      <c r="Q198" s="58" t="e">
        <f>+'Proyectos Base digitable'!#REF!</f>
        <v>#REF!</v>
      </c>
      <c r="R198" s="58" t="e">
        <f>+'Proyectos Base digitable'!#REF!</f>
        <v>#REF!</v>
      </c>
      <c r="S198" s="58" t="e">
        <f>+'Proyectos Base digitable'!#REF!</f>
        <v>#REF!</v>
      </c>
      <c r="T198" s="58" t="e">
        <f>+'Proyectos Base digitable'!#REF!</f>
        <v>#REF!</v>
      </c>
      <c r="U198" s="63" t="e">
        <f>'Proyectos Base digitable'!#REF!</f>
        <v>#REF!</v>
      </c>
      <c r="V198" s="63" t="e">
        <f>'Proyectos Base digitable'!#REF!</f>
        <v>#REF!</v>
      </c>
      <c r="W198" s="63" t="e">
        <f>'Proyectos Base digitable'!#REF!</f>
        <v>#REF!</v>
      </c>
      <c r="X198" s="63" t="e">
        <f>'Proyectos Base digitable'!#REF!</f>
        <v>#REF!</v>
      </c>
      <c r="Y198" s="63" t="e">
        <f>'Proyectos Base digitable'!#REF!</f>
        <v>#REF!</v>
      </c>
      <c r="Z198" s="58" t="e">
        <f>+'Proyectos Base digitable'!#REF!</f>
        <v>#REF!</v>
      </c>
      <c r="AA198" s="58" t="e">
        <f>+'Proyectos Base digitable'!#REF!</f>
        <v>#REF!</v>
      </c>
      <c r="AB198" s="63" t="e">
        <f>'Proyectos Base digitable'!#REF!</f>
        <v>#REF!</v>
      </c>
      <c r="AC198" s="56" t="e">
        <f>+'Proyectos Base digitable'!#REF!</f>
        <v>#REF!</v>
      </c>
      <c r="AD198" s="52" t="e">
        <f>+'Proyectos Base digitable'!#REF!</f>
        <v>#REF!</v>
      </c>
      <c r="AE198" s="52" t="e">
        <f>+'Proyectos Base digitable'!#REF!</f>
        <v>#REF!</v>
      </c>
      <c r="AF198" s="52" t="e">
        <f>+'Proyectos Base digitable'!#REF!</f>
        <v>#REF!</v>
      </c>
      <c r="AG198" s="56" t="e">
        <f>+'Proyectos Base digitable'!#REF!</f>
        <v>#REF!</v>
      </c>
      <c r="AH198" s="52" t="e">
        <f>+'Proyectos Base digitable'!#REF!</f>
        <v>#REF!</v>
      </c>
      <c r="AI198" s="52" t="e">
        <f>+'Proyectos Base digitable'!#REF!</f>
        <v>#REF!</v>
      </c>
      <c r="AJ198" s="59" t="e">
        <f>+'Proyectos Base digitable'!#REF!</f>
        <v>#REF!</v>
      </c>
      <c r="AK198" s="186" t="e">
        <f>+'Proyectos Base digitable'!#REF!</f>
        <v>#REF!</v>
      </c>
      <c r="AL198" s="186" t="e">
        <f>+'Proyectos Base digitable'!#REF!</f>
        <v>#REF!</v>
      </c>
      <c r="AM198" s="186" t="e">
        <f>+'Proyectos Base digitable'!#REF!</f>
        <v>#REF!</v>
      </c>
      <c r="AN198" s="186" t="e">
        <f>+'Proyectos Base digitable'!#REF!</f>
        <v>#REF!</v>
      </c>
      <c r="AO198" s="186" t="e">
        <f>+'Proyectos Base digitable'!#REF!</f>
        <v>#REF!</v>
      </c>
      <c r="AP198" s="186" t="e">
        <f>+'Proyectos Base digitable'!#REF!</f>
        <v>#REF!</v>
      </c>
      <c r="AQ198" s="186" t="e">
        <f>+'Proyectos Base digitable'!#REF!</f>
        <v>#REF!</v>
      </c>
      <c r="AR198" s="186" t="e">
        <f>+'Proyectos Base digitable'!#REF!</f>
        <v>#REF!</v>
      </c>
      <c r="AS198" s="186" t="e">
        <f>+'Proyectos Base digitable'!#REF!</f>
        <v>#REF!</v>
      </c>
      <c r="AT198" s="187" t="e">
        <f>+'Proyectos Base digitable'!#REF!</f>
        <v>#REF!</v>
      </c>
      <c r="AU198" s="56" t="e">
        <f>+'Proyectos Base digitable'!#REF!</f>
        <v>#REF!</v>
      </c>
      <c r="AV198" s="56" t="e">
        <f>+'Proyectos Base digitable'!#REF!</f>
        <v>#REF!</v>
      </c>
      <c r="AW198" s="56" t="e">
        <f>+'Proyectos Base digitable'!#REF!</f>
        <v>#REF!</v>
      </c>
      <c r="AX198" s="56" t="e">
        <f>+'Proyectos Base digitable'!#REF!</f>
        <v>#REF!</v>
      </c>
      <c r="AY198" s="56" t="e">
        <f>+'Proyectos Base digitable'!#REF!</f>
        <v>#REF!</v>
      </c>
      <c r="AZ198" s="188" t="e">
        <f>+'Proyectos Base digitable'!#REF!</f>
        <v>#REF!</v>
      </c>
      <c r="BA198" s="188" t="e">
        <f>+'Proyectos Base digitable'!#REF!</f>
        <v>#REF!</v>
      </c>
    </row>
    <row r="199" spans="1:53" ht="12.5">
      <c r="A199" s="60" t="e">
        <f>+'Proyectos Base digitable'!#REF!</f>
        <v>#REF!</v>
      </c>
      <c r="B199" s="56" t="e">
        <f>+'Proyectos Base digitable'!#REF!</f>
        <v>#REF!</v>
      </c>
      <c r="C199" s="56" t="e">
        <f>+'Proyectos Base digitable'!#REF!</f>
        <v>#REF!</v>
      </c>
      <c r="D199" s="56" t="e">
        <f>+'Proyectos Base digitable'!#REF!</f>
        <v>#REF!</v>
      </c>
      <c r="E199" s="56" t="e">
        <f>+'Proyectos Base digitable'!#REF!</f>
        <v>#REF!</v>
      </c>
      <c r="F199" s="56" t="e">
        <f>+'Proyectos Base digitable'!#REF!</f>
        <v>#REF!</v>
      </c>
      <c r="G199" s="57" t="e">
        <f>+'Proyectos Base digitable'!#REF!</f>
        <v>#REF!</v>
      </c>
      <c r="H199" s="56" t="e">
        <f>+'Proyectos Base digitable'!#REF!</f>
        <v>#REF!</v>
      </c>
      <c r="I199" s="56" t="e">
        <f>+'Proyectos Base digitable'!#REF!</f>
        <v>#REF!</v>
      </c>
      <c r="J199" s="56" t="e">
        <f>+'Proyectos Base digitable'!#REF!</f>
        <v>#REF!</v>
      </c>
      <c r="K199" s="56" t="e">
        <f>+'Proyectos Base digitable'!#REF!</f>
        <v>#REF!</v>
      </c>
      <c r="L199" s="56" t="e">
        <f>+'Proyectos Base digitable'!#REF!</f>
        <v>#REF!</v>
      </c>
      <c r="M199" s="56" t="e">
        <f>+'Proyectos Base digitable'!#REF!</f>
        <v>#REF!</v>
      </c>
      <c r="N199" s="52" t="e">
        <f>+'Proyectos Base digitable'!#REF!</f>
        <v>#REF!</v>
      </c>
      <c r="O199" s="52" t="e">
        <f>+'Proyectos Base digitable'!#REF!</f>
        <v>#REF!</v>
      </c>
      <c r="P199" s="185" t="e">
        <f>+'Proyectos Base digitable'!#REF!</f>
        <v>#REF!</v>
      </c>
      <c r="Q199" s="58" t="e">
        <f>+'Proyectos Base digitable'!#REF!</f>
        <v>#REF!</v>
      </c>
      <c r="R199" s="58" t="e">
        <f>+'Proyectos Base digitable'!#REF!</f>
        <v>#REF!</v>
      </c>
      <c r="S199" s="58" t="e">
        <f>+'Proyectos Base digitable'!#REF!</f>
        <v>#REF!</v>
      </c>
      <c r="T199" s="58" t="e">
        <f>+'Proyectos Base digitable'!#REF!</f>
        <v>#REF!</v>
      </c>
      <c r="U199" s="63" t="e">
        <f>'Proyectos Base digitable'!#REF!</f>
        <v>#REF!</v>
      </c>
      <c r="V199" s="63" t="e">
        <f>'Proyectos Base digitable'!#REF!</f>
        <v>#REF!</v>
      </c>
      <c r="W199" s="63" t="e">
        <f>'Proyectos Base digitable'!#REF!</f>
        <v>#REF!</v>
      </c>
      <c r="X199" s="63" t="e">
        <f>'Proyectos Base digitable'!#REF!</f>
        <v>#REF!</v>
      </c>
      <c r="Y199" s="63" t="e">
        <f>'Proyectos Base digitable'!#REF!</f>
        <v>#REF!</v>
      </c>
      <c r="Z199" s="58" t="e">
        <f>+'Proyectos Base digitable'!#REF!</f>
        <v>#REF!</v>
      </c>
      <c r="AA199" s="58" t="e">
        <f>+'Proyectos Base digitable'!#REF!</f>
        <v>#REF!</v>
      </c>
      <c r="AB199" s="63" t="e">
        <f>'Proyectos Base digitable'!#REF!</f>
        <v>#REF!</v>
      </c>
      <c r="AC199" s="56" t="e">
        <f>+'Proyectos Base digitable'!#REF!</f>
        <v>#REF!</v>
      </c>
      <c r="AD199" s="52" t="e">
        <f>+'Proyectos Base digitable'!#REF!</f>
        <v>#REF!</v>
      </c>
      <c r="AE199" s="52" t="e">
        <f>+'Proyectos Base digitable'!#REF!</f>
        <v>#REF!</v>
      </c>
      <c r="AF199" s="52" t="e">
        <f>+'Proyectos Base digitable'!#REF!</f>
        <v>#REF!</v>
      </c>
      <c r="AG199" s="56" t="e">
        <f>+'Proyectos Base digitable'!#REF!</f>
        <v>#REF!</v>
      </c>
      <c r="AH199" s="52" t="e">
        <f>+'Proyectos Base digitable'!#REF!</f>
        <v>#REF!</v>
      </c>
      <c r="AI199" s="52" t="e">
        <f>+'Proyectos Base digitable'!#REF!</f>
        <v>#REF!</v>
      </c>
      <c r="AJ199" s="59" t="e">
        <f>+'Proyectos Base digitable'!#REF!</f>
        <v>#REF!</v>
      </c>
      <c r="AK199" s="186" t="e">
        <f>+'Proyectos Base digitable'!#REF!</f>
        <v>#REF!</v>
      </c>
      <c r="AL199" s="186" t="e">
        <f>+'Proyectos Base digitable'!#REF!</f>
        <v>#REF!</v>
      </c>
      <c r="AM199" s="186" t="e">
        <f>+'Proyectos Base digitable'!#REF!</f>
        <v>#REF!</v>
      </c>
      <c r="AN199" s="186" t="e">
        <f>+'Proyectos Base digitable'!#REF!</f>
        <v>#REF!</v>
      </c>
      <c r="AO199" s="186" t="e">
        <f>+'Proyectos Base digitable'!#REF!</f>
        <v>#REF!</v>
      </c>
      <c r="AP199" s="186" t="e">
        <f>+'Proyectos Base digitable'!#REF!</f>
        <v>#REF!</v>
      </c>
      <c r="AQ199" s="186" t="e">
        <f>+'Proyectos Base digitable'!#REF!</f>
        <v>#REF!</v>
      </c>
      <c r="AR199" s="186" t="e">
        <f>+'Proyectos Base digitable'!#REF!</f>
        <v>#REF!</v>
      </c>
      <c r="AS199" s="186" t="e">
        <f>+'Proyectos Base digitable'!#REF!</f>
        <v>#REF!</v>
      </c>
      <c r="AT199" s="187" t="e">
        <f>+'Proyectos Base digitable'!#REF!</f>
        <v>#REF!</v>
      </c>
      <c r="AU199" s="56" t="e">
        <f>+'Proyectos Base digitable'!#REF!</f>
        <v>#REF!</v>
      </c>
      <c r="AV199" s="56" t="e">
        <f>+'Proyectos Base digitable'!#REF!</f>
        <v>#REF!</v>
      </c>
      <c r="AW199" s="56" t="e">
        <f>+'Proyectos Base digitable'!#REF!</f>
        <v>#REF!</v>
      </c>
      <c r="AX199" s="56" t="e">
        <f>+'Proyectos Base digitable'!#REF!</f>
        <v>#REF!</v>
      </c>
      <c r="AY199" s="56" t="e">
        <f>+'Proyectos Base digitable'!#REF!</f>
        <v>#REF!</v>
      </c>
      <c r="AZ199" s="188" t="e">
        <f>+'Proyectos Base digitable'!#REF!</f>
        <v>#REF!</v>
      </c>
      <c r="BA199" s="188" t="e">
        <f>+'Proyectos Base digitable'!#REF!</f>
        <v>#REF!</v>
      </c>
    </row>
    <row r="200" spans="1:53" ht="12.5">
      <c r="A200" s="60" t="e">
        <f>+'Proyectos Base digitable'!#REF!</f>
        <v>#REF!</v>
      </c>
      <c r="B200" s="56" t="e">
        <f>+'Proyectos Base digitable'!#REF!</f>
        <v>#REF!</v>
      </c>
      <c r="C200" s="56" t="e">
        <f>+'Proyectos Base digitable'!#REF!</f>
        <v>#REF!</v>
      </c>
      <c r="D200" s="56" t="e">
        <f>+'Proyectos Base digitable'!#REF!</f>
        <v>#REF!</v>
      </c>
      <c r="E200" s="56" t="e">
        <f>+'Proyectos Base digitable'!#REF!</f>
        <v>#REF!</v>
      </c>
      <c r="F200" s="56" t="e">
        <f>+'Proyectos Base digitable'!#REF!</f>
        <v>#REF!</v>
      </c>
      <c r="G200" s="57" t="e">
        <f>+'Proyectos Base digitable'!#REF!</f>
        <v>#REF!</v>
      </c>
      <c r="H200" s="56" t="e">
        <f>+'Proyectos Base digitable'!#REF!</f>
        <v>#REF!</v>
      </c>
      <c r="I200" s="56" t="e">
        <f>+'Proyectos Base digitable'!#REF!</f>
        <v>#REF!</v>
      </c>
      <c r="J200" s="56" t="e">
        <f>+'Proyectos Base digitable'!#REF!</f>
        <v>#REF!</v>
      </c>
      <c r="K200" s="56" t="e">
        <f>+'Proyectos Base digitable'!#REF!</f>
        <v>#REF!</v>
      </c>
      <c r="L200" s="56" t="e">
        <f>+'Proyectos Base digitable'!#REF!</f>
        <v>#REF!</v>
      </c>
      <c r="M200" s="56" t="e">
        <f>+'Proyectos Base digitable'!#REF!</f>
        <v>#REF!</v>
      </c>
      <c r="N200" s="52" t="e">
        <f>+'Proyectos Base digitable'!#REF!</f>
        <v>#REF!</v>
      </c>
      <c r="O200" s="52" t="e">
        <f>+'Proyectos Base digitable'!#REF!</f>
        <v>#REF!</v>
      </c>
      <c r="P200" s="185" t="e">
        <f>+'Proyectos Base digitable'!#REF!</f>
        <v>#REF!</v>
      </c>
      <c r="Q200" s="58" t="e">
        <f>+'Proyectos Base digitable'!#REF!</f>
        <v>#REF!</v>
      </c>
      <c r="R200" s="58" t="e">
        <f>+'Proyectos Base digitable'!#REF!</f>
        <v>#REF!</v>
      </c>
      <c r="S200" s="58" t="e">
        <f>+'Proyectos Base digitable'!#REF!</f>
        <v>#REF!</v>
      </c>
      <c r="T200" s="58" t="e">
        <f>+'Proyectos Base digitable'!#REF!</f>
        <v>#REF!</v>
      </c>
      <c r="U200" s="63" t="e">
        <f>'Proyectos Base digitable'!#REF!</f>
        <v>#REF!</v>
      </c>
      <c r="V200" s="63" t="e">
        <f>'Proyectos Base digitable'!#REF!</f>
        <v>#REF!</v>
      </c>
      <c r="W200" s="63" t="e">
        <f>'Proyectos Base digitable'!#REF!</f>
        <v>#REF!</v>
      </c>
      <c r="X200" s="63" t="e">
        <f>'Proyectos Base digitable'!#REF!</f>
        <v>#REF!</v>
      </c>
      <c r="Y200" s="63" t="e">
        <f>'Proyectos Base digitable'!#REF!</f>
        <v>#REF!</v>
      </c>
      <c r="Z200" s="58" t="e">
        <f>+'Proyectos Base digitable'!#REF!</f>
        <v>#REF!</v>
      </c>
      <c r="AA200" s="58" t="e">
        <f>+'Proyectos Base digitable'!#REF!</f>
        <v>#REF!</v>
      </c>
      <c r="AB200" s="63" t="e">
        <f>'Proyectos Base digitable'!#REF!</f>
        <v>#REF!</v>
      </c>
      <c r="AC200" s="56" t="e">
        <f>+'Proyectos Base digitable'!#REF!</f>
        <v>#REF!</v>
      </c>
      <c r="AD200" s="52" t="e">
        <f>+'Proyectos Base digitable'!#REF!</f>
        <v>#REF!</v>
      </c>
      <c r="AE200" s="52" t="e">
        <f>+'Proyectos Base digitable'!#REF!</f>
        <v>#REF!</v>
      </c>
      <c r="AF200" s="52" t="e">
        <f>+'Proyectos Base digitable'!#REF!</f>
        <v>#REF!</v>
      </c>
      <c r="AG200" s="56" t="e">
        <f>+'Proyectos Base digitable'!#REF!</f>
        <v>#REF!</v>
      </c>
      <c r="AH200" s="52" t="e">
        <f>+'Proyectos Base digitable'!#REF!</f>
        <v>#REF!</v>
      </c>
      <c r="AI200" s="52" t="e">
        <f>+'Proyectos Base digitable'!#REF!</f>
        <v>#REF!</v>
      </c>
      <c r="AJ200" s="59" t="e">
        <f>+'Proyectos Base digitable'!#REF!</f>
        <v>#REF!</v>
      </c>
      <c r="AK200" s="186" t="e">
        <f>+'Proyectos Base digitable'!#REF!</f>
        <v>#REF!</v>
      </c>
      <c r="AL200" s="186" t="e">
        <f>+'Proyectos Base digitable'!#REF!</f>
        <v>#REF!</v>
      </c>
      <c r="AM200" s="186" t="e">
        <f>+'Proyectos Base digitable'!#REF!</f>
        <v>#REF!</v>
      </c>
      <c r="AN200" s="186" t="e">
        <f>+'Proyectos Base digitable'!#REF!</f>
        <v>#REF!</v>
      </c>
      <c r="AO200" s="186" t="e">
        <f>+'Proyectos Base digitable'!#REF!</f>
        <v>#REF!</v>
      </c>
      <c r="AP200" s="186" t="e">
        <f>+'Proyectos Base digitable'!#REF!</f>
        <v>#REF!</v>
      </c>
      <c r="AQ200" s="186" t="e">
        <f>+'Proyectos Base digitable'!#REF!</f>
        <v>#REF!</v>
      </c>
      <c r="AR200" s="186" t="e">
        <f>+'Proyectos Base digitable'!#REF!</f>
        <v>#REF!</v>
      </c>
      <c r="AS200" s="186" t="e">
        <f>+'Proyectos Base digitable'!#REF!</f>
        <v>#REF!</v>
      </c>
      <c r="AT200" s="187" t="e">
        <f>+'Proyectos Base digitable'!#REF!</f>
        <v>#REF!</v>
      </c>
      <c r="AU200" s="56" t="e">
        <f>+'Proyectos Base digitable'!#REF!</f>
        <v>#REF!</v>
      </c>
      <c r="AV200" s="56" t="e">
        <f>+'Proyectos Base digitable'!#REF!</f>
        <v>#REF!</v>
      </c>
      <c r="AW200" s="56" t="e">
        <f>+'Proyectos Base digitable'!#REF!</f>
        <v>#REF!</v>
      </c>
      <c r="AX200" s="56" t="e">
        <f>+'Proyectos Base digitable'!#REF!</f>
        <v>#REF!</v>
      </c>
      <c r="AY200" s="56" t="e">
        <f>+'Proyectos Base digitable'!#REF!</f>
        <v>#REF!</v>
      </c>
      <c r="AZ200" s="188" t="e">
        <f>+'Proyectos Base digitable'!#REF!</f>
        <v>#REF!</v>
      </c>
      <c r="BA200" s="188" t="e">
        <f>+'Proyectos Base digitable'!#REF!</f>
        <v>#REF!</v>
      </c>
    </row>
    <row r="201" spans="1:53" ht="12.5">
      <c r="A201" s="60" t="e">
        <f>+'Proyectos Base digitable'!#REF!</f>
        <v>#REF!</v>
      </c>
      <c r="B201" s="56" t="e">
        <f>+'Proyectos Base digitable'!#REF!</f>
        <v>#REF!</v>
      </c>
      <c r="C201" s="56" t="e">
        <f>+'Proyectos Base digitable'!#REF!</f>
        <v>#REF!</v>
      </c>
      <c r="D201" s="56" t="e">
        <f>+'Proyectos Base digitable'!#REF!</f>
        <v>#REF!</v>
      </c>
      <c r="E201" s="56" t="e">
        <f>+'Proyectos Base digitable'!#REF!</f>
        <v>#REF!</v>
      </c>
      <c r="F201" s="56" t="e">
        <f>+'Proyectos Base digitable'!#REF!</f>
        <v>#REF!</v>
      </c>
      <c r="G201" s="57" t="e">
        <f>+'Proyectos Base digitable'!#REF!</f>
        <v>#REF!</v>
      </c>
      <c r="H201" s="56" t="e">
        <f>+'Proyectos Base digitable'!#REF!</f>
        <v>#REF!</v>
      </c>
      <c r="I201" s="56" t="e">
        <f>+'Proyectos Base digitable'!#REF!</f>
        <v>#REF!</v>
      </c>
      <c r="J201" s="56" t="e">
        <f>+'Proyectos Base digitable'!#REF!</f>
        <v>#REF!</v>
      </c>
      <c r="K201" s="56" t="e">
        <f>+'Proyectos Base digitable'!#REF!</f>
        <v>#REF!</v>
      </c>
      <c r="L201" s="56" t="e">
        <f>+'Proyectos Base digitable'!#REF!</f>
        <v>#REF!</v>
      </c>
      <c r="M201" s="56" t="e">
        <f>+'Proyectos Base digitable'!#REF!</f>
        <v>#REF!</v>
      </c>
      <c r="N201" s="52" t="e">
        <f>+'Proyectos Base digitable'!#REF!</f>
        <v>#REF!</v>
      </c>
      <c r="O201" s="52" t="e">
        <f>+'Proyectos Base digitable'!#REF!</f>
        <v>#REF!</v>
      </c>
      <c r="P201" s="185" t="e">
        <f>+'Proyectos Base digitable'!#REF!</f>
        <v>#REF!</v>
      </c>
      <c r="Q201" s="58" t="e">
        <f>+'Proyectos Base digitable'!#REF!</f>
        <v>#REF!</v>
      </c>
      <c r="R201" s="58" t="e">
        <f>+'Proyectos Base digitable'!#REF!</f>
        <v>#REF!</v>
      </c>
      <c r="S201" s="58" t="e">
        <f>+'Proyectos Base digitable'!#REF!</f>
        <v>#REF!</v>
      </c>
      <c r="T201" s="58" t="e">
        <f>+'Proyectos Base digitable'!#REF!</f>
        <v>#REF!</v>
      </c>
      <c r="U201" s="63" t="e">
        <f>'Proyectos Base digitable'!#REF!</f>
        <v>#REF!</v>
      </c>
      <c r="V201" s="63" t="e">
        <f>'Proyectos Base digitable'!#REF!</f>
        <v>#REF!</v>
      </c>
      <c r="W201" s="63" t="e">
        <f>'Proyectos Base digitable'!#REF!</f>
        <v>#REF!</v>
      </c>
      <c r="X201" s="63" t="e">
        <f>'Proyectos Base digitable'!#REF!</f>
        <v>#REF!</v>
      </c>
      <c r="Y201" s="63" t="e">
        <f>'Proyectos Base digitable'!#REF!</f>
        <v>#REF!</v>
      </c>
      <c r="Z201" s="58" t="e">
        <f>+'Proyectos Base digitable'!#REF!</f>
        <v>#REF!</v>
      </c>
      <c r="AA201" s="58" t="e">
        <f>+'Proyectos Base digitable'!#REF!</f>
        <v>#REF!</v>
      </c>
      <c r="AB201" s="63" t="e">
        <f>'Proyectos Base digitable'!#REF!</f>
        <v>#REF!</v>
      </c>
      <c r="AC201" s="56" t="e">
        <f>+'Proyectos Base digitable'!#REF!</f>
        <v>#REF!</v>
      </c>
      <c r="AD201" s="52" t="e">
        <f>+'Proyectos Base digitable'!#REF!</f>
        <v>#REF!</v>
      </c>
      <c r="AE201" s="52" t="e">
        <f>+'Proyectos Base digitable'!#REF!</f>
        <v>#REF!</v>
      </c>
      <c r="AF201" s="52" t="e">
        <f>+'Proyectos Base digitable'!#REF!</f>
        <v>#REF!</v>
      </c>
      <c r="AG201" s="56" t="e">
        <f>+'Proyectos Base digitable'!#REF!</f>
        <v>#REF!</v>
      </c>
      <c r="AH201" s="52" t="e">
        <f>+'Proyectos Base digitable'!#REF!</f>
        <v>#REF!</v>
      </c>
      <c r="AI201" s="52" t="e">
        <f>+'Proyectos Base digitable'!#REF!</f>
        <v>#REF!</v>
      </c>
      <c r="AJ201" s="59" t="e">
        <f>+'Proyectos Base digitable'!#REF!</f>
        <v>#REF!</v>
      </c>
      <c r="AK201" s="186" t="e">
        <f>+'Proyectos Base digitable'!#REF!</f>
        <v>#REF!</v>
      </c>
      <c r="AL201" s="186" t="e">
        <f>+'Proyectos Base digitable'!#REF!</f>
        <v>#REF!</v>
      </c>
      <c r="AM201" s="186" t="e">
        <f>+'Proyectos Base digitable'!#REF!</f>
        <v>#REF!</v>
      </c>
      <c r="AN201" s="186" t="e">
        <f>+'Proyectos Base digitable'!#REF!</f>
        <v>#REF!</v>
      </c>
      <c r="AO201" s="186" t="e">
        <f>+'Proyectos Base digitable'!#REF!</f>
        <v>#REF!</v>
      </c>
      <c r="AP201" s="186" t="e">
        <f>+'Proyectos Base digitable'!#REF!</f>
        <v>#REF!</v>
      </c>
      <c r="AQ201" s="186" t="e">
        <f>+'Proyectos Base digitable'!#REF!</f>
        <v>#REF!</v>
      </c>
      <c r="AR201" s="186" t="e">
        <f>+'Proyectos Base digitable'!#REF!</f>
        <v>#REF!</v>
      </c>
      <c r="AS201" s="186" t="e">
        <f>+'Proyectos Base digitable'!#REF!</f>
        <v>#REF!</v>
      </c>
      <c r="AT201" s="187" t="e">
        <f>+'Proyectos Base digitable'!#REF!</f>
        <v>#REF!</v>
      </c>
      <c r="AU201" s="56" t="e">
        <f>+'Proyectos Base digitable'!#REF!</f>
        <v>#REF!</v>
      </c>
      <c r="AV201" s="56" t="e">
        <f>+'Proyectos Base digitable'!#REF!</f>
        <v>#REF!</v>
      </c>
      <c r="AW201" s="56" t="e">
        <f>+'Proyectos Base digitable'!#REF!</f>
        <v>#REF!</v>
      </c>
      <c r="AX201" s="56" t="e">
        <f>+'Proyectos Base digitable'!#REF!</f>
        <v>#REF!</v>
      </c>
      <c r="AY201" s="56" t="e">
        <f>+'Proyectos Base digitable'!#REF!</f>
        <v>#REF!</v>
      </c>
      <c r="AZ201" s="188" t="e">
        <f>+'Proyectos Base digitable'!#REF!</f>
        <v>#REF!</v>
      </c>
      <c r="BA201" s="188" t="e">
        <f>+'Proyectos Base digitable'!#REF!</f>
        <v>#REF!</v>
      </c>
    </row>
    <row r="202" spans="1:53" ht="12.5">
      <c r="A202" s="60" t="e">
        <f>+'Proyectos Base digitable'!#REF!</f>
        <v>#REF!</v>
      </c>
      <c r="B202" s="56" t="e">
        <f>+'Proyectos Base digitable'!#REF!</f>
        <v>#REF!</v>
      </c>
      <c r="C202" s="56" t="e">
        <f>+'Proyectos Base digitable'!#REF!</f>
        <v>#REF!</v>
      </c>
      <c r="D202" s="56" t="e">
        <f>+'Proyectos Base digitable'!#REF!</f>
        <v>#REF!</v>
      </c>
      <c r="E202" s="56" t="e">
        <f>+'Proyectos Base digitable'!#REF!</f>
        <v>#REF!</v>
      </c>
      <c r="F202" s="56" t="e">
        <f>+'Proyectos Base digitable'!#REF!</f>
        <v>#REF!</v>
      </c>
      <c r="G202" s="57" t="e">
        <f>+'Proyectos Base digitable'!#REF!</f>
        <v>#REF!</v>
      </c>
      <c r="H202" s="56" t="e">
        <f>+'Proyectos Base digitable'!#REF!</f>
        <v>#REF!</v>
      </c>
      <c r="I202" s="56" t="e">
        <f>+'Proyectos Base digitable'!#REF!</f>
        <v>#REF!</v>
      </c>
      <c r="J202" s="56" t="e">
        <f>+'Proyectos Base digitable'!#REF!</f>
        <v>#REF!</v>
      </c>
      <c r="K202" s="56" t="e">
        <f>+'Proyectos Base digitable'!#REF!</f>
        <v>#REF!</v>
      </c>
      <c r="L202" s="56" t="e">
        <f>+'Proyectos Base digitable'!#REF!</f>
        <v>#REF!</v>
      </c>
      <c r="M202" s="56" t="e">
        <f>+'Proyectos Base digitable'!#REF!</f>
        <v>#REF!</v>
      </c>
      <c r="N202" s="52" t="e">
        <f>+'Proyectos Base digitable'!#REF!</f>
        <v>#REF!</v>
      </c>
      <c r="O202" s="52" t="e">
        <f>+'Proyectos Base digitable'!#REF!</f>
        <v>#REF!</v>
      </c>
      <c r="P202" s="185" t="e">
        <f>+'Proyectos Base digitable'!#REF!</f>
        <v>#REF!</v>
      </c>
      <c r="Q202" s="58" t="e">
        <f>+'Proyectos Base digitable'!#REF!</f>
        <v>#REF!</v>
      </c>
      <c r="R202" s="58" t="e">
        <f>+'Proyectos Base digitable'!#REF!</f>
        <v>#REF!</v>
      </c>
      <c r="S202" s="58" t="e">
        <f>+'Proyectos Base digitable'!#REF!</f>
        <v>#REF!</v>
      </c>
      <c r="T202" s="58" t="e">
        <f>+'Proyectos Base digitable'!#REF!</f>
        <v>#REF!</v>
      </c>
      <c r="U202" s="63" t="e">
        <f>'Proyectos Base digitable'!#REF!</f>
        <v>#REF!</v>
      </c>
      <c r="V202" s="63" t="e">
        <f>'Proyectos Base digitable'!#REF!</f>
        <v>#REF!</v>
      </c>
      <c r="W202" s="63" t="e">
        <f>'Proyectos Base digitable'!#REF!</f>
        <v>#REF!</v>
      </c>
      <c r="X202" s="63" t="e">
        <f>'Proyectos Base digitable'!#REF!</f>
        <v>#REF!</v>
      </c>
      <c r="Y202" s="63" t="e">
        <f>'Proyectos Base digitable'!#REF!</f>
        <v>#REF!</v>
      </c>
      <c r="Z202" s="58" t="e">
        <f>+'Proyectos Base digitable'!#REF!</f>
        <v>#REF!</v>
      </c>
      <c r="AA202" s="58" t="e">
        <f>+'Proyectos Base digitable'!#REF!</f>
        <v>#REF!</v>
      </c>
      <c r="AB202" s="63" t="e">
        <f>'Proyectos Base digitable'!#REF!</f>
        <v>#REF!</v>
      </c>
      <c r="AC202" s="56" t="e">
        <f>+'Proyectos Base digitable'!#REF!</f>
        <v>#REF!</v>
      </c>
      <c r="AD202" s="52" t="e">
        <f>+'Proyectos Base digitable'!#REF!</f>
        <v>#REF!</v>
      </c>
      <c r="AE202" s="52" t="e">
        <f>+'Proyectos Base digitable'!#REF!</f>
        <v>#REF!</v>
      </c>
      <c r="AF202" s="52" t="e">
        <f>+'Proyectos Base digitable'!#REF!</f>
        <v>#REF!</v>
      </c>
      <c r="AG202" s="56" t="e">
        <f>+'Proyectos Base digitable'!#REF!</f>
        <v>#REF!</v>
      </c>
      <c r="AH202" s="52" t="e">
        <f>+'Proyectos Base digitable'!#REF!</f>
        <v>#REF!</v>
      </c>
      <c r="AI202" s="52" t="e">
        <f>+'Proyectos Base digitable'!#REF!</f>
        <v>#REF!</v>
      </c>
      <c r="AJ202" s="59" t="e">
        <f>+'Proyectos Base digitable'!#REF!</f>
        <v>#REF!</v>
      </c>
      <c r="AK202" s="186" t="e">
        <f>+'Proyectos Base digitable'!#REF!</f>
        <v>#REF!</v>
      </c>
      <c r="AL202" s="186" t="e">
        <f>+'Proyectos Base digitable'!#REF!</f>
        <v>#REF!</v>
      </c>
      <c r="AM202" s="186" t="e">
        <f>+'Proyectos Base digitable'!#REF!</f>
        <v>#REF!</v>
      </c>
      <c r="AN202" s="186" t="e">
        <f>+'Proyectos Base digitable'!#REF!</f>
        <v>#REF!</v>
      </c>
      <c r="AO202" s="186" t="e">
        <f>+'Proyectos Base digitable'!#REF!</f>
        <v>#REF!</v>
      </c>
      <c r="AP202" s="186" t="e">
        <f>+'Proyectos Base digitable'!#REF!</f>
        <v>#REF!</v>
      </c>
      <c r="AQ202" s="186" t="e">
        <f>+'Proyectos Base digitable'!#REF!</f>
        <v>#REF!</v>
      </c>
      <c r="AR202" s="186" t="e">
        <f>+'Proyectos Base digitable'!#REF!</f>
        <v>#REF!</v>
      </c>
      <c r="AS202" s="186" t="e">
        <f>+'Proyectos Base digitable'!#REF!</f>
        <v>#REF!</v>
      </c>
      <c r="AT202" s="187" t="e">
        <f>+'Proyectos Base digitable'!#REF!</f>
        <v>#REF!</v>
      </c>
      <c r="AU202" s="56" t="e">
        <f>+'Proyectos Base digitable'!#REF!</f>
        <v>#REF!</v>
      </c>
      <c r="AV202" s="56" t="e">
        <f>+'Proyectos Base digitable'!#REF!</f>
        <v>#REF!</v>
      </c>
      <c r="AW202" s="56" t="e">
        <f>+'Proyectos Base digitable'!#REF!</f>
        <v>#REF!</v>
      </c>
      <c r="AX202" s="56" t="e">
        <f>+'Proyectos Base digitable'!#REF!</f>
        <v>#REF!</v>
      </c>
      <c r="AY202" s="56" t="e">
        <f>+'Proyectos Base digitable'!#REF!</f>
        <v>#REF!</v>
      </c>
      <c r="AZ202" s="188" t="e">
        <f>+'Proyectos Base digitable'!#REF!</f>
        <v>#REF!</v>
      </c>
      <c r="BA202" s="188" t="e">
        <f>+'Proyectos Base digitable'!#REF!</f>
        <v>#REF!</v>
      </c>
    </row>
    <row r="203" spans="1:53" ht="12.5">
      <c r="A203" s="60" t="e">
        <f>+'Proyectos Base digitable'!#REF!</f>
        <v>#REF!</v>
      </c>
      <c r="B203" s="56" t="e">
        <f>+'Proyectos Base digitable'!#REF!</f>
        <v>#REF!</v>
      </c>
      <c r="C203" s="56" t="e">
        <f>+'Proyectos Base digitable'!#REF!</f>
        <v>#REF!</v>
      </c>
      <c r="D203" s="56" t="e">
        <f>+'Proyectos Base digitable'!#REF!</f>
        <v>#REF!</v>
      </c>
      <c r="E203" s="56" t="e">
        <f>+'Proyectos Base digitable'!#REF!</f>
        <v>#REF!</v>
      </c>
      <c r="F203" s="56" t="e">
        <f>+'Proyectos Base digitable'!#REF!</f>
        <v>#REF!</v>
      </c>
      <c r="G203" s="57" t="e">
        <f>+'Proyectos Base digitable'!#REF!</f>
        <v>#REF!</v>
      </c>
      <c r="H203" s="56" t="e">
        <f>+'Proyectos Base digitable'!#REF!</f>
        <v>#REF!</v>
      </c>
      <c r="I203" s="56" t="e">
        <f>+'Proyectos Base digitable'!#REF!</f>
        <v>#REF!</v>
      </c>
      <c r="J203" s="56" t="e">
        <f>+'Proyectos Base digitable'!#REF!</f>
        <v>#REF!</v>
      </c>
      <c r="K203" s="56" t="e">
        <f>+'Proyectos Base digitable'!#REF!</f>
        <v>#REF!</v>
      </c>
      <c r="L203" s="56" t="e">
        <f>+'Proyectos Base digitable'!#REF!</f>
        <v>#REF!</v>
      </c>
      <c r="M203" s="56" t="e">
        <f>+'Proyectos Base digitable'!#REF!</f>
        <v>#REF!</v>
      </c>
      <c r="N203" s="52" t="e">
        <f>+'Proyectos Base digitable'!#REF!</f>
        <v>#REF!</v>
      </c>
      <c r="O203" s="52" t="e">
        <f>+'Proyectos Base digitable'!#REF!</f>
        <v>#REF!</v>
      </c>
      <c r="P203" s="185" t="e">
        <f>+'Proyectos Base digitable'!#REF!</f>
        <v>#REF!</v>
      </c>
      <c r="Q203" s="58" t="e">
        <f>+'Proyectos Base digitable'!#REF!</f>
        <v>#REF!</v>
      </c>
      <c r="R203" s="58" t="e">
        <f>+'Proyectos Base digitable'!#REF!</f>
        <v>#REF!</v>
      </c>
      <c r="S203" s="58" t="e">
        <f>+'Proyectos Base digitable'!#REF!</f>
        <v>#REF!</v>
      </c>
      <c r="T203" s="58" t="e">
        <f>+'Proyectos Base digitable'!#REF!</f>
        <v>#REF!</v>
      </c>
      <c r="U203" s="63" t="e">
        <f>'Proyectos Base digitable'!#REF!</f>
        <v>#REF!</v>
      </c>
      <c r="V203" s="63" t="e">
        <f>'Proyectos Base digitable'!#REF!</f>
        <v>#REF!</v>
      </c>
      <c r="W203" s="63" t="e">
        <f>'Proyectos Base digitable'!#REF!</f>
        <v>#REF!</v>
      </c>
      <c r="X203" s="63" t="e">
        <f>'Proyectos Base digitable'!#REF!</f>
        <v>#REF!</v>
      </c>
      <c r="Y203" s="63" t="e">
        <f>'Proyectos Base digitable'!#REF!</f>
        <v>#REF!</v>
      </c>
      <c r="Z203" s="58" t="e">
        <f>+'Proyectos Base digitable'!#REF!</f>
        <v>#REF!</v>
      </c>
      <c r="AA203" s="58" t="e">
        <f>+'Proyectos Base digitable'!#REF!</f>
        <v>#REF!</v>
      </c>
      <c r="AB203" s="63" t="e">
        <f>'Proyectos Base digitable'!#REF!</f>
        <v>#REF!</v>
      </c>
      <c r="AC203" s="56" t="e">
        <f>+'Proyectos Base digitable'!#REF!</f>
        <v>#REF!</v>
      </c>
      <c r="AD203" s="52" t="e">
        <f>+'Proyectos Base digitable'!#REF!</f>
        <v>#REF!</v>
      </c>
      <c r="AE203" s="52" t="e">
        <f>+'Proyectos Base digitable'!#REF!</f>
        <v>#REF!</v>
      </c>
      <c r="AF203" s="52" t="e">
        <f>+'Proyectos Base digitable'!#REF!</f>
        <v>#REF!</v>
      </c>
      <c r="AG203" s="56" t="e">
        <f>+'Proyectos Base digitable'!#REF!</f>
        <v>#REF!</v>
      </c>
      <c r="AH203" s="52" t="e">
        <f>+'Proyectos Base digitable'!#REF!</f>
        <v>#REF!</v>
      </c>
      <c r="AI203" s="52" t="e">
        <f>+'Proyectos Base digitable'!#REF!</f>
        <v>#REF!</v>
      </c>
      <c r="AJ203" s="59" t="e">
        <f>+'Proyectos Base digitable'!#REF!</f>
        <v>#REF!</v>
      </c>
      <c r="AK203" s="186" t="e">
        <f>+'Proyectos Base digitable'!#REF!</f>
        <v>#REF!</v>
      </c>
      <c r="AL203" s="186" t="e">
        <f>+'Proyectos Base digitable'!#REF!</f>
        <v>#REF!</v>
      </c>
      <c r="AM203" s="186" t="e">
        <f>+'Proyectos Base digitable'!#REF!</f>
        <v>#REF!</v>
      </c>
      <c r="AN203" s="186" t="e">
        <f>+'Proyectos Base digitable'!#REF!</f>
        <v>#REF!</v>
      </c>
      <c r="AO203" s="186" t="e">
        <f>+'Proyectos Base digitable'!#REF!</f>
        <v>#REF!</v>
      </c>
      <c r="AP203" s="186" t="e">
        <f>+'Proyectos Base digitable'!#REF!</f>
        <v>#REF!</v>
      </c>
      <c r="AQ203" s="186" t="e">
        <f>+'Proyectos Base digitable'!#REF!</f>
        <v>#REF!</v>
      </c>
      <c r="AR203" s="186" t="e">
        <f>+'Proyectos Base digitable'!#REF!</f>
        <v>#REF!</v>
      </c>
      <c r="AS203" s="186" t="e">
        <f>+'Proyectos Base digitable'!#REF!</f>
        <v>#REF!</v>
      </c>
      <c r="AT203" s="187" t="e">
        <f>+'Proyectos Base digitable'!#REF!</f>
        <v>#REF!</v>
      </c>
      <c r="AU203" s="56" t="e">
        <f>+'Proyectos Base digitable'!#REF!</f>
        <v>#REF!</v>
      </c>
      <c r="AV203" s="56" t="e">
        <f>+'Proyectos Base digitable'!#REF!</f>
        <v>#REF!</v>
      </c>
      <c r="AW203" s="56" t="e">
        <f>+'Proyectos Base digitable'!#REF!</f>
        <v>#REF!</v>
      </c>
      <c r="AX203" s="56" t="e">
        <f>+'Proyectos Base digitable'!#REF!</f>
        <v>#REF!</v>
      </c>
      <c r="AY203" s="56" t="e">
        <f>+'Proyectos Base digitable'!#REF!</f>
        <v>#REF!</v>
      </c>
      <c r="AZ203" s="188" t="e">
        <f>+'Proyectos Base digitable'!#REF!</f>
        <v>#REF!</v>
      </c>
      <c r="BA203" s="188" t="e">
        <f>+'Proyectos Base digitable'!#REF!</f>
        <v>#REF!</v>
      </c>
    </row>
    <row r="204" spans="1:53" ht="12.5">
      <c r="A204" s="60" t="e">
        <f>+'Proyectos Base digitable'!#REF!</f>
        <v>#REF!</v>
      </c>
      <c r="B204" s="56" t="e">
        <f>+'Proyectos Base digitable'!#REF!</f>
        <v>#REF!</v>
      </c>
      <c r="C204" s="56" t="e">
        <f>+'Proyectos Base digitable'!#REF!</f>
        <v>#REF!</v>
      </c>
      <c r="D204" s="56" t="e">
        <f>+'Proyectos Base digitable'!#REF!</f>
        <v>#REF!</v>
      </c>
      <c r="E204" s="56" t="e">
        <f>+'Proyectos Base digitable'!#REF!</f>
        <v>#REF!</v>
      </c>
      <c r="F204" s="56" t="e">
        <f>+'Proyectos Base digitable'!#REF!</f>
        <v>#REF!</v>
      </c>
      <c r="G204" s="57" t="e">
        <f>+'Proyectos Base digitable'!#REF!</f>
        <v>#REF!</v>
      </c>
      <c r="H204" s="56" t="e">
        <f>+'Proyectos Base digitable'!#REF!</f>
        <v>#REF!</v>
      </c>
      <c r="I204" s="56" t="e">
        <f>+'Proyectos Base digitable'!#REF!</f>
        <v>#REF!</v>
      </c>
      <c r="J204" s="56" t="e">
        <f>+'Proyectos Base digitable'!#REF!</f>
        <v>#REF!</v>
      </c>
      <c r="K204" s="56" t="e">
        <f>+'Proyectos Base digitable'!#REF!</f>
        <v>#REF!</v>
      </c>
      <c r="L204" s="56" t="e">
        <f>+'Proyectos Base digitable'!#REF!</f>
        <v>#REF!</v>
      </c>
      <c r="M204" s="56" t="e">
        <f>+'Proyectos Base digitable'!#REF!</f>
        <v>#REF!</v>
      </c>
      <c r="N204" s="52" t="e">
        <f>+'Proyectos Base digitable'!#REF!</f>
        <v>#REF!</v>
      </c>
      <c r="O204" s="52" t="e">
        <f>+'Proyectos Base digitable'!#REF!</f>
        <v>#REF!</v>
      </c>
      <c r="P204" s="185" t="e">
        <f>+'Proyectos Base digitable'!#REF!</f>
        <v>#REF!</v>
      </c>
      <c r="Q204" s="58" t="e">
        <f>+'Proyectos Base digitable'!#REF!</f>
        <v>#REF!</v>
      </c>
      <c r="R204" s="58" t="e">
        <f>+'Proyectos Base digitable'!#REF!</f>
        <v>#REF!</v>
      </c>
      <c r="S204" s="58" t="e">
        <f>+'Proyectos Base digitable'!#REF!</f>
        <v>#REF!</v>
      </c>
      <c r="T204" s="58" t="e">
        <f>+'Proyectos Base digitable'!#REF!</f>
        <v>#REF!</v>
      </c>
      <c r="U204" s="63" t="e">
        <f>'Proyectos Base digitable'!#REF!</f>
        <v>#REF!</v>
      </c>
      <c r="V204" s="63" t="e">
        <f>'Proyectos Base digitable'!#REF!</f>
        <v>#REF!</v>
      </c>
      <c r="W204" s="63" t="e">
        <f>'Proyectos Base digitable'!#REF!</f>
        <v>#REF!</v>
      </c>
      <c r="X204" s="63" t="e">
        <f>'Proyectos Base digitable'!#REF!</f>
        <v>#REF!</v>
      </c>
      <c r="Y204" s="63" t="e">
        <f>'Proyectos Base digitable'!#REF!</f>
        <v>#REF!</v>
      </c>
      <c r="Z204" s="58" t="e">
        <f>+'Proyectos Base digitable'!#REF!</f>
        <v>#REF!</v>
      </c>
      <c r="AA204" s="58" t="e">
        <f>+'Proyectos Base digitable'!#REF!</f>
        <v>#REF!</v>
      </c>
      <c r="AB204" s="63" t="e">
        <f>'Proyectos Base digitable'!#REF!</f>
        <v>#REF!</v>
      </c>
      <c r="AC204" s="56" t="e">
        <f>+'Proyectos Base digitable'!#REF!</f>
        <v>#REF!</v>
      </c>
      <c r="AD204" s="52" t="e">
        <f>+'Proyectos Base digitable'!#REF!</f>
        <v>#REF!</v>
      </c>
      <c r="AE204" s="52" t="e">
        <f>+'Proyectos Base digitable'!#REF!</f>
        <v>#REF!</v>
      </c>
      <c r="AF204" s="52" t="e">
        <f>+'Proyectos Base digitable'!#REF!</f>
        <v>#REF!</v>
      </c>
      <c r="AG204" s="56" t="e">
        <f>+'Proyectos Base digitable'!#REF!</f>
        <v>#REF!</v>
      </c>
      <c r="AH204" s="52" t="e">
        <f>+'Proyectos Base digitable'!#REF!</f>
        <v>#REF!</v>
      </c>
      <c r="AI204" s="52" t="e">
        <f>+'Proyectos Base digitable'!#REF!</f>
        <v>#REF!</v>
      </c>
      <c r="AJ204" s="59" t="e">
        <f>+'Proyectos Base digitable'!#REF!</f>
        <v>#REF!</v>
      </c>
      <c r="AK204" s="186" t="e">
        <f>+'Proyectos Base digitable'!#REF!</f>
        <v>#REF!</v>
      </c>
      <c r="AL204" s="186" t="e">
        <f>+'Proyectos Base digitable'!#REF!</f>
        <v>#REF!</v>
      </c>
      <c r="AM204" s="186" t="e">
        <f>+'Proyectos Base digitable'!#REF!</f>
        <v>#REF!</v>
      </c>
      <c r="AN204" s="186" t="e">
        <f>+'Proyectos Base digitable'!#REF!</f>
        <v>#REF!</v>
      </c>
      <c r="AO204" s="186" t="e">
        <f>+'Proyectos Base digitable'!#REF!</f>
        <v>#REF!</v>
      </c>
      <c r="AP204" s="186" t="e">
        <f>+'Proyectos Base digitable'!#REF!</f>
        <v>#REF!</v>
      </c>
      <c r="AQ204" s="186" t="e">
        <f>+'Proyectos Base digitable'!#REF!</f>
        <v>#REF!</v>
      </c>
      <c r="AR204" s="186" t="e">
        <f>+'Proyectos Base digitable'!#REF!</f>
        <v>#REF!</v>
      </c>
      <c r="AS204" s="186" t="e">
        <f>+'Proyectos Base digitable'!#REF!</f>
        <v>#REF!</v>
      </c>
      <c r="AT204" s="187" t="e">
        <f>+'Proyectos Base digitable'!#REF!</f>
        <v>#REF!</v>
      </c>
      <c r="AU204" s="56" t="e">
        <f>+'Proyectos Base digitable'!#REF!</f>
        <v>#REF!</v>
      </c>
      <c r="AV204" s="56" t="e">
        <f>+'Proyectos Base digitable'!#REF!</f>
        <v>#REF!</v>
      </c>
      <c r="AW204" s="56" t="e">
        <f>+'Proyectos Base digitable'!#REF!</f>
        <v>#REF!</v>
      </c>
      <c r="AX204" s="56" t="e">
        <f>+'Proyectos Base digitable'!#REF!</f>
        <v>#REF!</v>
      </c>
      <c r="AY204" s="56" t="e">
        <f>+'Proyectos Base digitable'!#REF!</f>
        <v>#REF!</v>
      </c>
      <c r="AZ204" s="188" t="e">
        <f>+'Proyectos Base digitable'!#REF!</f>
        <v>#REF!</v>
      </c>
      <c r="BA204" s="188" t="e">
        <f>+'Proyectos Base digitable'!#REF!</f>
        <v>#REF!</v>
      </c>
    </row>
    <row r="205" spans="1:53" ht="12.5">
      <c r="A205" s="60" t="e">
        <f>+'Proyectos Base digitable'!#REF!</f>
        <v>#REF!</v>
      </c>
      <c r="B205" s="56" t="e">
        <f>+'Proyectos Base digitable'!#REF!</f>
        <v>#REF!</v>
      </c>
      <c r="C205" s="56" t="e">
        <f>+'Proyectos Base digitable'!#REF!</f>
        <v>#REF!</v>
      </c>
      <c r="D205" s="56" t="e">
        <f>+'Proyectos Base digitable'!#REF!</f>
        <v>#REF!</v>
      </c>
      <c r="E205" s="56" t="e">
        <f>+'Proyectos Base digitable'!#REF!</f>
        <v>#REF!</v>
      </c>
      <c r="F205" s="56" t="e">
        <f>+'Proyectos Base digitable'!#REF!</f>
        <v>#REF!</v>
      </c>
      <c r="G205" s="57" t="e">
        <f>+'Proyectos Base digitable'!#REF!</f>
        <v>#REF!</v>
      </c>
      <c r="H205" s="56" t="e">
        <f>+'Proyectos Base digitable'!#REF!</f>
        <v>#REF!</v>
      </c>
      <c r="I205" s="56" t="e">
        <f>+'Proyectos Base digitable'!#REF!</f>
        <v>#REF!</v>
      </c>
      <c r="J205" s="56" t="e">
        <f>+'Proyectos Base digitable'!#REF!</f>
        <v>#REF!</v>
      </c>
      <c r="K205" s="56" t="e">
        <f>+'Proyectos Base digitable'!#REF!</f>
        <v>#REF!</v>
      </c>
      <c r="L205" s="56" t="e">
        <f>+'Proyectos Base digitable'!#REF!</f>
        <v>#REF!</v>
      </c>
      <c r="M205" s="56" t="e">
        <f>+'Proyectos Base digitable'!#REF!</f>
        <v>#REF!</v>
      </c>
      <c r="N205" s="52" t="e">
        <f>+'Proyectos Base digitable'!#REF!</f>
        <v>#REF!</v>
      </c>
      <c r="O205" s="52" t="e">
        <f>+'Proyectos Base digitable'!#REF!</f>
        <v>#REF!</v>
      </c>
      <c r="P205" s="185" t="e">
        <f>+'Proyectos Base digitable'!#REF!</f>
        <v>#REF!</v>
      </c>
      <c r="Q205" s="58" t="e">
        <f>+'Proyectos Base digitable'!#REF!</f>
        <v>#REF!</v>
      </c>
      <c r="R205" s="58" t="e">
        <f>+'Proyectos Base digitable'!#REF!</f>
        <v>#REF!</v>
      </c>
      <c r="S205" s="58" t="e">
        <f>+'Proyectos Base digitable'!#REF!</f>
        <v>#REF!</v>
      </c>
      <c r="T205" s="58" t="e">
        <f>+'Proyectos Base digitable'!#REF!</f>
        <v>#REF!</v>
      </c>
      <c r="U205" s="63" t="e">
        <f>'Proyectos Base digitable'!#REF!</f>
        <v>#REF!</v>
      </c>
      <c r="V205" s="63" t="e">
        <f>'Proyectos Base digitable'!#REF!</f>
        <v>#REF!</v>
      </c>
      <c r="W205" s="63" t="e">
        <f>'Proyectos Base digitable'!#REF!</f>
        <v>#REF!</v>
      </c>
      <c r="X205" s="63" t="e">
        <f>'Proyectos Base digitable'!#REF!</f>
        <v>#REF!</v>
      </c>
      <c r="Y205" s="63" t="e">
        <f>'Proyectos Base digitable'!#REF!</f>
        <v>#REF!</v>
      </c>
      <c r="Z205" s="58" t="e">
        <f>+'Proyectos Base digitable'!#REF!</f>
        <v>#REF!</v>
      </c>
      <c r="AA205" s="58" t="e">
        <f>+'Proyectos Base digitable'!#REF!</f>
        <v>#REF!</v>
      </c>
      <c r="AB205" s="63" t="e">
        <f>'Proyectos Base digitable'!#REF!</f>
        <v>#REF!</v>
      </c>
      <c r="AC205" s="56" t="e">
        <f>+'Proyectos Base digitable'!#REF!</f>
        <v>#REF!</v>
      </c>
      <c r="AD205" s="52" t="e">
        <f>+'Proyectos Base digitable'!#REF!</f>
        <v>#REF!</v>
      </c>
      <c r="AE205" s="52" t="e">
        <f>+'Proyectos Base digitable'!#REF!</f>
        <v>#REF!</v>
      </c>
      <c r="AF205" s="52" t="e">
        <f>+'Proyectos Base digitable'!#REF!</f>
        <v>#REF!</v>
      </c>
      <c r="AG205" s="56" t="e">
        <f>+'Proyectos Base digitable'!#REF!</f>
        <v>#REF!</v>
      </c>
      <c r="AH205" s="52" t="e">
        <f>+'Proyectos Base digitable'!#REF!</f>
        <v>#REF!</v>
      </c>
      <c r="AI205" s="52" t="e">
        <f>+'Proyectos Base digitable'!#REF!</f>
        <v>#REF!</v>
      </c>
      <c r="AJ205" s="59" t="e">
        <f>+'Proyectos Base digitable'!#REF!</f>
        <v>#REF!</v>
      </c>
      <c r="AK205" s="186" t="e">
        <f>+'Proyectos Base digitable'!#REF!</f>
        <v>#REF!</v>
      </c>
      <c r="AL205" s="186" t="e">
        <f>+'Proyectos Base digitable'!#REF!</f>
        <v>#REF!</v>
      </c>
      <c r="AM205" s="186" t="e">
        <f>+'Proyectos Base digitable'!#REF!</f>
        <v>#REF!</v>
      </c>
      <c r="AN205" s="186" t="e">
        <f>+'Proyectos Base digitable'!#REF!</f>
        <v>#REF!</v>
      </c>
      <c r="AO205" s="186" t="e">
        <f>+'Proyectos Base digitable'!#REF!</f>
        <v>#REF!</v>
      </c>
      <c r="AP205" s="186" t="e">
        <f>+'Proyectos Base digitable'!#REF!</f>
        <v>#REF!</v>
      </c>
      <c r="AQ205" s="186" t="e">
        <f>+'Proyectos Base digitable'!#REF!</f>
        <v>#REF!</v>
      </c>
      <c r="AR205" s="186" t="e">
        <f>+'Proyectos Base digitable'!#REF!</f>
        <v>#REF!</v>
      </c>
      <c r="AS205" s="186" t="e">
        <f>+'Proyectos Base digitable'!#REF!</f>
        <v>#REF!</v>
      </c>
      <c r="AT205" s="187" t="e">
        <f>+'Proyectos Base digitable'!#REF!</f>
        <v>#REF!</v>
      </c>
      <c r="AU205" s="56" t="e">
        <f>+'Proyectos Base digitable'!#REF!</f>
        <v>#REF!</v>
      </c>
      <c r="AV205" s="56" t="e">
        <f>+'Proyectos Base digitable'!#REF!</f>
        <v>#REF!</v>
      </c>
      <c r="AW205" s="56" t="e">
        <f>+'Proyectos Base digitable'!#REF!</f>
        <v>#REF!</v>
      </c>
      <c r="AX205" s="56" t="e">
        <f>+'Proyectos Base digitable'!#REF!</f>
        <v>#REF!</v>
      </c>
      <c r="AY205" s="56" t="e">
        <f>+'Proyectos Base digitable'!#REF!</f>
        <v>#REF!</v>
      </c>
      <c r="AZ205" s="188" t="e">
        <f>+'Proyectos Base digitable'!#REF!</f>
        <v>#REF!</v>
      </c>
      <c r="BA205" s="188" t="e">
        <f>+'Proyectos Base digitable'!#REF!</f>
        <v>#REF!</v>
      </c>
    </row>
    <row r="206" spans="1:53" ht="12.5">
      <c r="A206" s="60" t="e">
        <f>+'Proyectos Base digitable'!#REF!</f>
        <v>#REF!</v>
      </c>
      <c r="B206" s="56" t="e">
        <f>+'Proyectos Base digitable'!#REF!</f>
        <v>#REF!</v>
      </c>
      <c r="C206" s="56" t="e">
        <f>+'Proyectos Base digitable'!#REF!</f>
        <v>#REF!</v>
      </c>
      <c r="D206" s="56" t="e">
        <f>+'Proyectos Base digitable'!#REF!</f>
        <v>#REF!</v>
      </c>
      <c r="E206" s="56" t="e">
        <f>+'Proyectos Base digitable'!#REF!</f>
        <v>#REF!</v>
      </c>
      <c r="F206" s="56" t="e">
        <f>+'Proyectos Base digitable'!#REF!</f>
        <v>#REF!</v>
      </c>
      <c r="G206" s="57" t="e">
        <f>+'Proyectos Base digitable'!#REF!</f>
        <v>#REF!</v>
      </c>
      <c r="H206" s="56" t="e">
        <f>+'Proyectos Base digitable'!#REF!</f>
        <v>#REF!</v>
      </c>
      <c r="I206" s="56" t="e">
        <f>+'Proyectos Base digitable'!#REF!</f>
        <v>#REF!</v>
      </c>
      <c r="J206" s="56" t="e">
        <f>+'Proyectos Base digitable'!#REF!</f>
        <v>#REF!</v>
      </c>
      <c r="K206" s="56" t="e">
        <f>+'Proyectos Base digitable'!#REF!</f>
        <v>#REF!</v>
      </c>
      <c r="L206" s="56" t="e">
        <f>+'Proyectos Base digitable'!#REF!</f>
        <v>#REF!</v>
      </c>
      <c r="M206" s="56" t="e">
        <f>+'Proyectos Base digitable'!#REF!</f>
        <v>#REF!</v>
      </c>
      <c r="N206" s="52" t="e">
        <f>+'Proyectos Base digitable'!#REF!</f>
        <v>#REF!</v>
      </c>
      <c r="O206" s="52" t="e">
        <f>+'Proyectos Base digitable'!#REF!</f>
        <v>#REF!</v>
      </c>
      <c r="P206" s="185" t="e">
        <f>+'Proyectos Base digitable'!#REF!</f>
        <v>#REF!</v>
      </c>
      <c r="Q206" s="58" t="e">
        <f>+'Proyectos Base digitable'!#REF!</f>
        <v>#REF!</v>
      </c>
      <c r="R206" s="58" t="e">
        <f>+'Proyectos Base digitable'!#REF!</f>
        <v>#REF!</v>
      </c>
      <c r="S206" s="58" t="e">
        <f>+'Proyectos Base digitable'!#REF!</f>
        <v>#REF!</v>
      </c>
      <c r="T206" s="58" t="e">
        <f>+'Proyectos Base digitable'!#REF!</f>
        <v>#REF!</v>
      </c>
      <c r="U206" s="63" t="e">
        <f>'Proyectos Base digitable'!#REF!</f>
        <v>#REF!</v>
      </c>
      <c r="V206" s="63" t="e">
        <f>'Proyectos Base digitable'!#REF!</f>
        <v>#REF!</v>
      </c>
      <c r="W206" s="63" t="e">
        <f>'Proyectos Base digitable'!#REF!</f>
        <v>#REF!</v>
      </c>
      <c r="X206" s="63" t="e">
        <f>'Proyectos Base digitable'!#REF!</f>
        <v>#REF!</v>
      </c>
      <c r="Y206" s="63" t="e">
        <f>'Proyectos Base digitable'!#REF!</f>
        <v>#REF!</v>
      </c>
      <c r="Z206" s="58" t="e">
        <f>+'Proyectos Base digitable'!#REF!</f>
        <v>#REF!</v>
      </c>
      <c r="AA206" s="58" t="e">
        <f>+'Proyectos Base digitable'!#REF!</f>
        <v>#REF!</v>
      </c>
      <c r="AB206" s="63" t="e">
        <f>'Proyectos Base digitable'!#REF!</f>
        <v>#REF!</v>
      </c>
      <c r="AC206" s="56" t="e">
        <f>+'Proyectos Base digitable'!#REF!</f>
        <v>#REF!</v>
      </c>
      <c r="AD206" s="52" t="e">
        <f>+'Proyectos Base digitable'!#REF!</f>
        <v>#REF!</v>
      </c>
      <c r="AE206" s="52" t="e">
        <f>+'Proyectos Base digitable'!#REF!</f>
        <v>#REF!</v>
      </c>
      <c r="AF206" s="52" t="e">
        <f>+'Proyectos Base digitable'!#REF!</f>
        <v>#REF!</v>
      </c>
      <c r="AG206" s="56" t="e">
        <f>+'Proyectos Base digitable'!#REF!</f>
        <v>#REF!</v>
      </c>
      <c r="AH206" s="52" t="e">
        <f>+'Proyectos Base digitable'!#REF!</f>
        <v>#REF!</v>
      </c>
      <c r="AI206" s="52" t="e">
        <f>+'Proyectos Base digitable'!#REF!</f>
        <v>#REF!</v>
      </c>
      <c r="AJ206" s="59" t="e">
        <f>+'Proyectos Base digitable'!#REF!</f>
        <v>#REF!</v>
      </c>
      <c r="AK206" s="186" t="e">
        <f>+'Proyectos Base digitable'!#REF!</f>
        <v>#REF!</v>
      </c>
      <c r="AL206" s="186" t="e">
        <f>+'Proyectos Base digitable'!#REF!</f>
        <v>#REF!</v>
      </c>
      <c r="AM206" s="186" t="e">
        <f>+'Proyectos Base digitable'!#REF!</f>
        <v>#REF!</v>
      </c>
      <c r="AN206" s="186" t="e">
        <f>+'Proyectos Base digitable'!#REF!</f>
        <v>#REF!</v>
      </c>
      <c r="AO206" s="186" t="e">
        <f>+'Proyectos Base digitable'!#REF!</f>
        <v>#REF!</v>
      </c>
      <c r="AP206" s="186" t="e">
        <f>+'Proyectos Base digitable'!#REF!</f>
        <v>#REF!</v>
      </c>
      <c r="AQ206" s="186" t="e">
        <f>+'Proyectos Base digitable'!#REF!</f>
        <v>#REF!</v>
      </c>
      <c r="AR206" s="186" t="e">
        <f>+'Proyectos Base digitable'!#REF!</f>
        <v>#REF!</v>
      </c>
      <c r="AS206" s="186" t="e">
        <f>+'Proyectos Base digitable'!#REF!</f>
        <v>#REF!</v>
      </c>
      <c r="AT206" s="187" t="e">
        <f>+'Proyectos Base digitable'!#REF!</f>
        <v>#REF!</v>
      </c>
      <c r="AU206" s="56" t="e">
        <f>+'Proyectos Base digitable'!#REF!</f>
        <v>#REF!</v>
      </c>
      <c r="AV206" s="56" t="e">
        <f>+'Proyectos Base digitable'!#REF!</f>
        <v>#REF!</v>
      </c>
      <c r="AW206" s="56" t="e">
        <f>+'Proyectos Base digitable'!#REF!</f>
        <v>#REF!</v>
      </c>
      <c r="AX206" s="56" t="e">
        <f>+'Proyectos Base digitable'!#REF!</f>
        <v>#REF!</v>
      </c>
      <c r="AY206" s="56" t="e">
        <f>+'Proyectos Base digitable'!#REF!</f>
        <v>#REF!</v>
      </c>
      <c r="AZ206" s="188" t="e">
        <f>+'Proyectos Base digitable'!#REF!</f>
        <v>#REF!</v>
      </c>
      <c r="BA206" s="188" t="e">
        <f>+'Proyectos Base digitable'!#REF!</f>
        <v>#REF!</v>
      </c>
    </row>
    <row r="207" spans="1:53" ht="12.5">
      <c r="A207" s="60" t="e">
        <f>+'Proyectos Base digitable'!#REF!</f>
        <v>#REF!</v>
      </c>
      <c r="B207" s="56" t="e">
        <f>+'Proyectos Base digitable'!#REF!</f>
        <v>#REF!</v>
      </c>
      <c r="C207" s="56" t="e">
        <f>+'Proyectos Base digitable'!#REF!</f>
        <v>#REF!</v>
      </c>
      <c r="D207" s="56" t="e">
        <f>+'Proyectos Base digitable'!#REF!</f>
        <v>#REF!</v>
      </c>
      <c r="E207" s="56" t="e">
        <f>+'Proyectos Base digitable'!#REF!</f>
        <v>#REF!</v>
      </c>
      <c r="F207" s="56" t="e">
        <f>+'Proyectos Base digitable'!#REF!</f>
        <v>#REF!</v>
      </c>
      <c r="G207" s="57" t="e">
        <f>+'Proyectos Base digitable'!#REF!</f>
        <v>#REF!</v>
      </c>
      <c r="H207" s="56" t="e">
        <f>+'Proyectos Base digitable'!#REF!</f>
        <v>#REF!</v>
      </c>
      <c r="I207" s="56" t="e">
        <f>+'Proyectos Base digitable'!#REF!</f>
        <v>#REF!</v>
      </c>
      <c r="J207" s="56" t="e">
        <f>+'Proyectos Base digitable'!#REF!</f>
        <v>#REF!</v>
      </c>
      <c r="K207" s="56" t="e">
        <f>+'Proyectos Base digitable'!#REF!</f>
        <v>#REF!</v>
      </c>
      <c r="L207" s="56" t="e">
        <f>+'Proyectos Base digitable'!#REF!</f>
        <v>#REF!</v>
      </c>
      <c r="M207" s="56" t="e">
        <f>+'Proyectos Base digitable'!#REF!</f>
        <v>#REF!</v>
      </c>
      <c r="N207" s="52" t="e">
        <f>+'Proyectos Base digitable'!#REF!</f>
        <v>#REF!</v>
      </c>
      <c r="O207" s="52" t="e">
        <f>+'Proyectos Base digitable'!#REF!</f>
        <v>#REF!</v>
      </c>
      <c r="P207" s="185" t="e">
        <f>+'Proyectos Base digitable'!#REF!</f>
        <v>#REF!</v>
      </c>
      <c r="Q207" s="58" t="e">
        <f>+'Proyectos Base digitable'!#REF!</f>
        <v>#REF!</v>
      </c>
      <c r="R207" s="58" t="e">
        <f>+'Proyectos Base digitable'!#REF!</f>
        <v>#REF!</v>
      </c>
      <c r="S207" s="58" t="e">
        <f>+'Proyectos Base digitable'!#REF!</f>
        <v>#REF!</v>
      </c>
      <c r="T207" s="58" t="e">
        <f>+'Proyectos Base digitable'!#REF!</f>
        <v>#REF!</v>
      </c>
      <c r="U207" s="63" t="e">
        <f>'Proyectos Base digitable'!#REF!</f>
        <v>#REF!</v>
      </c>
      <c r="V207" s="63" t="e">
        <f>'Proyectos Base digitable'!#REF!</f>
        <v>#REF!</v>
      </c>
      <c r="W207" s="63" t="e">
        <f>'Proyectos Base digitable'!#REF!</f>
        <v>#REF!</v>
      </c>
      <c r="X207" s="63" t="e">
        <f>'Proyectos Base digitable'!#REF!</f>
        <v>#REF!</v>
      </c>
      <c r="Y207" s="63" t="e">
        <f>'Proyectos Base digitable'!#REF!</f>
        <v>#REF!</v>
      </c>
      <c r="Z207" s="58" t="e">
        <f>+'Proyectos Base digitable'!#REF!</f>
        <v>#REF!</v>
      </c>
      <c r="AA207" s="58" t="e">
        <f>+'Proyectos Base digitable'!#REF!</f>
        <v>#REF!</v>
      </c>
      <c r="AB207" s="63" t="e">
        <f>'Proyectos Base digitable'!#REF!</f>
        <v>#REF!</v>
      </c>
      <c r="AC207" s="56" t="e">
        <f>+'Proyectos Base digitable'!#REF!</f>
        <v>#REF!</v>
      </c>
      <c r="AD207" s="52" t="e">
        <f>+'Proyectos Base digitable'!#REF!</f>
        <v>#REF!</v>
      </c>
      <c r="AE207" s="52" t="e">
        <f>+'Proyectos Base digitable'!#REF!</f>
        <v>#REF!</v>
      </c>
      <c r="AF207" s="52" t="e">
        <f>+'Proyectos Base digitable'!#REF!</f>
        <v>#REF!</v>
      </c>
      <c r="AG207" s="56" t="e">
        <f>+'Proyectos Base digitable'!#REF!</f>
        <v>#REF!</v>
      </c>
      <c r="AH207" s="52" t="e">
        <f>+'Proyectos Base digitable'!#REF!</f>
        <v>#REF!</v>
      </c>
      <c r="AI207" s="52" t="e">
        <f>+'Proyectos Base digitable'!#REF!</f>
        <v>#REF!</v>
      </c>
      <c r="AJ207" s="59" t="e">
        <f>+'Proyectos Base digitable'!#REF!</f>
        <v>#REF!</v>
      </c>
      <c r="AK207" s="186" t="e">
        <f>+'Proyectos Base digitable'!#REF!</f>
        <v>#REF!</v>
      </c>
      <c r="AL207" s="186" t="e">
        <f>+'Proyectos Base digitable'!#REF!</f>
        <v>#REF!</v>
      </c>
      <c r="AM207" s="186" t="e">
        <f>+'Proyectos Base digitable'!#REF!</f>
        <v>#REF!</v>
      </c>
      <c r="AN207" s="186" t="e">
        <f>+'Proyectos Base digitable'!#REF!</f>
        <v>#REF!</v>
      </c>
      <c r="AO207" s="186" t="e">
        <f>+'Proyectos Base digitable'!#REF!</f>
        <v>#REF!</v>
      </c>
      <c r="AP207" s="186" t="e">
        <f>+'Proyectos Base digitable'!#REF!</f>
        <v>#REF!</v>
      </c>
      <c r="AQ207" s="186" t="e">
        <f>+'Proyectos Base digitable'!#REF!</f>
        <v>#REF!</v>
      </c>
      <c r="AR207" s="186" t="e">
        <f>+'Proyectos Base digitable'!#REF!</f>
        <v>#REF!</v>
      </c>
      <c r="AS207" s="186" t="e">
        <f>+'Proyectos Base digitable'!#REF!</f>
        <v>#REF!</v>
      </c>
      <c r="AT207" s="187" t="e">
        <f>+'Proyectos Base digitable'!#REF!</f>
        <v>#REF!</v>
      </c>
      <c r="AU207" s="56" t="e">
        <f>+'Proyectos Base digitable'!#REF!</f>
        <v>#REF!</v>
      </c>
      <c r="AV207" s="56" t="e">
        <f>+'Proyectos Base digitable'!#REF!</f>
        <v>#REF!</v>
      </c>
      <c r="AW207" s="56" t="e">
        <f>+'Proyectos Base digitable'!#REF!</f>
        <v>#REF!</v>
      </c>
      <c r="AX207" s="56" t="e">
        <f>+'Proyectos Base digitable'!#REF!</f>
        <v>#REF!</v>
      </c>
      <c r="AY207" s="56" t="e">
        <f>+'Proyectos Base digitable'!#REF!</f>
        <v>#REF!</v>
      </c>
      <c r="AZ207" s="188" t="e">
        <f>+'Proyectos Base digitable'!#REF!</f>
        <v>#REF!</v>
      </c>
      <c r="BA207" s="188" t="e">
        <f>+'Proyectos Base digitable'!#REF!</f>
        <v>#REF!</v>
      </c>
    </row>
    <row r="208" spans="1:53" ht="12.5">
      <c r="A208" s="60" t="e">
        <f>+'Proyectos Base digitable'!#REF!</f>
        <v>#REF!</v>
      </c>
      <c r="B208" s="56" t="e">
        <f>+'Proyectos Base digitable'!#REF!</f>
        <v>#REF!</v>
      </c>
      <c r="C208" s="56" t="e">
        <f>+'Proyectos Base digitable'!#REF!</f>
        <v>#REF!</v>
      </c>
      <c r="D208" s="56" t="e">
        <f>+'Proyectos Base digitable'!#REF!</f>
        <v>#REF!</v>
      </c>
      <c r="E208" s="56" t="e">
        <f>+'Proyectos Base digitable'!#REF!</f>
        <v>#REF!</v>
      </c>
      <c r="F208" s="56" t="e">
        <f>+'Proyectos Base digitable'!#REF!</f>
        <v>#REF!</v>
      </c>
      <c r="G208" s="57" t="e">
        <f>+'Proyectos Base digitable'!#REF!</f>
        <v>#REF!</v>
      </c>
      <c r="H208" s="56" t="e">
        <f>+'Proyectos Base digitable'!#REF!</f>
        <v>#REF!</v>
      </c>
      <c r="I208" s="56" t="e">
        <f>+'Proyectos Base digitable'!#REF!</f>
        <v>#REF!</v>
      </c>
      <c r="J208" s="56" t="e">
        <f>+'Proyectos Base digitable'!#REF!</f>
        <v>#REF!</v>
      </c>
      <c r="K208" s="56" t="e">
        <f>+'Proyectos Base digitable'!#REF!</f>
        <v>#REF!</v>
      </c>
      <c r="L208" s="56" t="e">
        <f>+'Proyectos Base digitable'!#REF!</f>
        <v>#REF!</v>
      </c>
      <c r="M208" s="56" t="e">
        <f>+'Proyectos Base digitable'!#REF!</f>
        <v>#REF!</v>
      </c>
      <c r="N208" s="52" t="e">
        <f>+'Proyectos Base digitable'!#REF!</f>
        <v>#REF!</v>
      </c>
      <c r="O208" s="52" t="e">
        <f>+'Proyectos Base digitable'!#REF!</f>
        <v>#REF!</v>
      </c>
      <c r="P208" s="185" t="e">
        <f>+'Proyectos Base digitable'!#REF!</f>
        <v>#REF!</v>
      </c>
      <c r="Q208" s="58" t="e">
        <f>+'Proyectos Base digitable'!#REF!</f>
        <v>#REF!</v>
      </c>
      <c r="R208" s="58" t="e">
        <f>+'Proyectos Base digitable'!#REF!</f>
        <v>#REF!</v>
      </c>
      <c r="S208" s="58" t="e">
        <f>+'Proyectos Base digitable'!#REF!</f>
        <v>#REF!</v>
      </c>
      <c r="T208" s="58" t="e">
        <f>+'Proyectos Base digitable'!#REF!</f>
        <v>#REF!</v>
      </c>
      <c r="U208" s="63" t="e">
        <f>'Proyectos Base digitable'!#REF!</f>
        <v>#REF!</v>
      </c>
      <c r="V208" s="63" t="e">
        <f>'Proyectos Base digitable'!#REF!</f>
        <v>#REF!</v>
      </c>
      <c r="W208" s="63" t="e">
        <f>'Proyectos Base digitable'!#REF!</f>
        <v>#REF!</v>
      </c>
      <c r="X208" s="63" t="e">
        <f>'Proyectos Base digitable'!#REF!</f>
        <v>#REF!</v>
      </c>
      <c r="Y208" s="63" t="e">
        <f>'Proyectos Base digitable'!#REF!</f>
        <v>#REF!</v>
      </c>
      <c r="Z208" s="58" t="e">
        <f>+'Proyectos Base digitable'!#REF!</f>
        <v>#REF!</v>
      </c>
      <c r="AA208" s="58" t="e">
        <f>+'Proyectos Base digitable'!#REF!</f>
        <v>#REF!</v>
      </c>
      <c r="AB208" s="63" t="e">
        <f>'Proyectos Base digitable'!#REF!</f>
        <v>#REF!</v>
      </c>
      <c r="AC208" s="56" t="e">
        <f>+'Proyectos Base digitable'!#REF!</f>
        <v>#REF!</v>
      </c>
      <c r="AD208" s="52" t="e">
        <f>+'Proyectos Base digitable'!#REF!</f>
        <v>#REF!</v>
      </c>
      <c r="AE208" s="52" t="e">
        <f>+'Proyectos Base digitable'!#REF!</f>
        <v>#REF!</v>
      </c>
      <c r="AF208" s="52" t="e">
        <f>+'Proyectos Base digitable'!#REF!</f>
        <v>#REF!</v>
      </c>
      <c r="AG208" s="56" t="e">
        <f>+'Proyectos Base digitable'!#REF!</f>
        <v>#REF!</v>
      </c>
      <c r="AH208" s="52" t="e">
        <f>+'Proyectos Base digitable'!#REF!</f>
        <v>#REF!</v>
      </c>
      <c r="AI208" s="52" t="e">
        <f>+'Proyectos Base digitable'!#REF!</f>
        <v>#REF!</v>
      </c>
      <c r="AJ208" s="59" t="e">
        <f>+'Proyectos Base digitable'!#REF!</f>
        <v>#REF!</v>
      </c>
      <c r="AK208" s="186" t="e">
        <f>+'Proyectos Base digitable'!#REF!</f>
        <v>#REF!</v>
      </c>
      <c r="AL208" s="186" t="e">
        <f>+'Proyectos Base digitable'!#REF!</f>
        <v>#REF!</v>
      </c>
      <c r="AM208" s="186" t="e">
        <f>+'Proyectos Base digitable'!#REF!</f>
        <v>#REF!</v>
      </c>
      <c r="AN208" s="186" t="e">
        <f>+'Proyectos Base digitable'!#REF!</f>
        <v>#REF!</v>
      </c>
      <c r="AO208" s="186" t="e">
        <f>+'Proyectos Base digitable'!#REF!</f>
        <v>#REF!</v>
      </c>
      <c r="AP208" s="186" t="e">
        <f>+'Proyectos Base digitable'!#REF!</f>
        <v>#REF!</v>
      </c>
      <c r="AQ208" s="186" t="e">
        <f>+'Proyectos Base digitable'!#REF!</f>
        <v>#REF!</v>
      </c>
      <c r="AR208" s="186" t="e">
        <f>+'Proyectos Base digitable'!#REF!</f>
        <v>#REF!</v>
      </c>
      <c r="AS208" s="186" t="e">
        <f>+'Proyectos Base digitable'!#REF!</f>
        <v>#REF!</v>
      </c>
      <c r="AT208" s="187" t="e">
        <f>+'Proyectos Base digitable'!#REF!</f>
        <v>#REF!</v>
      </c>
      <c r="AU208" s="56" t="e">
        <f>+'Proyectos Base digitable'!#REF!</f>
        <v>#REF!</v>
      </c>
      <c r="AV208" s="56" t="e">
        <f>+'Proyectos Base digitable'!#REF!</f>
        <v>#REF!</v>
      </c>
      <c r="AW208" s="56" t="e">
        <f>+'Proyectos Base digitable'!#REF!</f>
        <v>#REF!</v>
      </c>
      <c r="AX208" s="56" t="e">
        <f>+'Proyectos Base digitable'!#REF!</f>
        <v>#REF!</v>
      </c>
      <c r="AY208" s="56" t="e">
        <f>+'Proyectos Base digitable'!#REF!</f>
        <v>#REF!</v>
      </c>
      <c r="AZ208" s="188" t="e">
        <f>+'Proyectos Base digitable'!#REF!</f>
        <v>#REF!</v>
      </c>
      <c r="BA208" s="188" t="e">
        <f>+'Proyectos Base digitable'!#REF!</f>
        <v>#REF!</v>
      </c>
    </row>
    <row r="209" spans="1:53" ht="12.5">
      <c r="A209" s="60" t="e">
        <f>+'Proyectos Base digitable'!#REF!</f>
        <v>#REF!</v>
      </c>
      <c r="B209" s="56" t="e">
        <f>+'Proyectos Base digitable'!#REF!</f>
        <v>#REF!</v>
      </c>
      <c r="C209" s="56" t="e">
        <f>+'Proyectos Base digitable'!#REF!</f>
        <v>#REF!</v>
      </c>
      <c r="D209" s="56" t="e">
        <f>+'Proyectos Base digitable'!#REF!</f>
        <v>#REF!</v>
      </c>
      <c r="E209" s="56" t="e">
        <f>+'Proyectos Base digitable'!#REF!</f>
        <v>#REF!</v>
      </c>
      <c r="F209" s="56" t="e">
        <f>+'Proyectos Base digitable'!#REF!</f>
        <v>#REF!</v>
      </c>
      <c r="G209" s="57" t="e">
        <f>+'Proyectos Base digitable'!#REF!</f>
        <v>#REF!</v>
      </c>
      <c r="H209" s="56" t="e">
        <f>+'Proyectos Base digitable'!#REF!</f>
        <v>#REF!</v>
      </c>
      <c r="I209" s="56" t="e">
        <f>+'Proyectos Base digitable'!#REF!</f>
        <v>#REF!</v>
      </c>
      <c r="J209" s="56" t="e">
        <f>+'Proyectos Base digitable'!#REF!</f>
        <v>#REF!</v>
      </c>
      <c r="K209" s="56" t="e">
        <f>+'Proyectos Base digitable'!#REF!</f>
        <v>#REF!</v>
      </c>
      <c r="L209" s="56" t="e">
        <f>+'Proyectos Base digitable'!#REF!</f>
        <v>#REF!</v>
      </c>
      <c r="M209" s="56" t="e">
        <f>+'Proyectos Base digitable'!#REF!</f>
        <v>#REF!</v>
      </c>
      <c r="N209" s="52" t="e">
        <f>+'Proyectos Base digitable'!#REF!</f>
        <v>#REF!</v>
      </c>
      <c r="O209" s="52" t="e">
        <f>+'Proyectos Base digitable'!#REF!</f>
        <v>#REF!</v>
      </c>
      <c r="P209" s="185" t="e">
        <f>+'Proyectos Base digitable'!#REF!</f>
        <v>#REF!</v>
      </c>
      <c r="Q209" s="58" t="e">
        <f>+'Proyectos Base digitable'!#REF!</f>
        <v>#REF!</v>
      </c>
      <c r="R209" s="58" t="e">
        <f>+'Proyectos Base digitable'!#REF!</f>
        <v>#REF!</v>
      </c>
      <c r="S209" s="58" t="e">
        <f>+'Proyectos Base digitable'!#REF!</f>
        <v>#REF!</v>
      </c>
      <c r="T209" s="58" t="e">
        <f>+'Proyectos Base digitable'!#REF!</f>
        <v>#REF!</v>
      </c>
      <c r="U209" s="63" t="e">
        <f>'Proyectos Base digitable'!#REF!</f>
        <v>#REF!</v>
      </c>
      <c r="V209" s="63" t="e">
        <f>'Proyectos Base digitable'!#REF!</f>
        <v>#REF!</v>
      </c>
      <c r="W209" s="63" t="e">
        <f>'Proyectos Base digitable'!#REF!</f>
        <v>#REF!</v>
      </c>
      <c r="X209" s="63" t="e">
        <f>'Proyectos Base digitable'!#REF!</f>
        <v>#REF!</v>
      </c>
      <c r="Y209" s="63" t="e">
        <f>'Proyectos Base digitable'!#REF!</f>
        <v>#REF!</v>
      </c>
      <c r="Z209" s="58" t="e">
        <f>+'Proyectos Base digitable'!#REF!</f>
        <v>#REF!</v>
      </c>
      <c r="AA209" s="58" t="e">
        <f>+'Proyectos Base digitable'!#REF!</f>
        <v>#REF!</v>
      </c>
      <c r="AB209" s="63" t="e">
        <f>'Proyectos Base digitable'!#REF!</f>
        <v>#REF!</v>
      </c>
      <c r="AC209" s="56" t="e">
        <f>+'Proyectos Base digitable'!#REF!</f>
        <v>#REF!</v>
      </c>
      <c r="AD209" s="52" t="e">
        <f>+'Proyectos Base digitable'!#REF!</f>
        <v>#REF!</v>
      </c>
      <c r="AE209" s="52" t="e">
        <f>+'Proyectos Base digitable'!#REF!</f>
        <v>#REF!</v>
      </c>
      <c r="AF209" s="52" t="e">
        <f>+'Proyectos Base digitable'!#REF!</f>
        <v>#REF!</v>
      </c>
      <c r="AG209" s="56" t="e">
        <f>+'Proyectos Base digitable'!#REF!</f>
        <v>#REF!</v>
      </c>
      <c r="AH209" s="52" t="e">
        <f>+'Proyectos Base digitable'!#REF!</f>
        <v>#REF!</v>
      </c>
      <c r="AI209" s="52" t="e">
        <f>+'Proyectos Base digitable'!#REF!</f>
        <v>#REF!</v>
      </c>
      <c r="AJ209" s="59" t="e">
        <f>+'Proyectos Base digitable'!#REF!</f>
        <v>#REF!</v>
      </c>
      <c r="AK209" s="186" t="e">
        <f>+'Proyectos Base digitable'!#REF!</f>
        <v>#REF!</v>
      </c>
      <c r="AL209" s="186" t="e">
        <f>+'Proyectos Base digitable'!#REF!</f>
        <v>#REF!</v>
      </c>
      <c r="AM209" s="186" t="e">
        <f>+'Proyectos Base digitable'!#REF!</f>
        <v>#REF!</v>
      </c>
      <c r="AN209" s="186" t="e">
        <f>+'Proyectos Base digitable'!#REF!</f>
        <v>#REF!</v>
      </c>
      <c r="AO209" s="186" t="e">
        <f>+'Proyectos Base digitable'!#REF!</f>
        <v>#REF!</v>
      </c>
      <c r="AP209" s="186" t="e">
        <f>+'Proyectos Base digitable'!#REF!</f>
        <v>#REF!</v>
      </c>
      <c r="AQ209" s="186" t="e">
        <f>+'Proyectos Base digitable'!#REF!</f>
        <v>#REF!</v>
      </c>
      <c r="AR209" s="186" t="e">
        <f>+'Proyectos Base digitable'!#REF!</f>
        <v>#REF!</v>
      </c>
      <c r="AS209" s="186" t="e">
        <f>+'Proyectos Base digitable'!#REF!</f>
        <v>#REF!</v>
      </c>
      <c r="AT209" s="187" t="e">
        <f>+'Proyectos Base digitable'!#REF!</f>
        <v>#REF!</v>
      </c>
      <c r="AU209" s="56" t="e">
        <f>+'Proyectos Base digitable'!#REF!</f>
        <v>#REF!</v>
      </c>
      <c r="AV209" s="56" t="e">
        <f>+'Proyectos Base digitable'!#REF!</f>
        <v>#REF!</v>
      </c>
      <c r="AW209" s="56" t="e">
        <f>+'Proyectos Base digitable'!#REF!</f>
        <v>#REF!</v>
      </c>
      <c r="AX209" s="56" t="e">
        <f>+'Proyectos Base digitable'!#REF!</f>
        <v>#REF!</v>
      </c>
      <c r="AY209" s="56" t="e">
        <f>+'Proyectos Base digitable'!#REF!</f>
        <v>#REF!</v>
      </c>
      <c r="AZ209" s="188" t="e">
        <f>+'Proyectos Base digitable'!#REF!</f>
        <v>#REF!</v>
      </c>
      <c r="BA209" s="188" t="e">
        <f>+'Proyectos Base digitable'!#REF!</f>
        <v>#REF!</v>
      </c>
    </row>
    <row r="210" spans="1:53" ht="12.5">
      <c r="A210" s="60" t="e">
        <f>+'Proyectos Base digitable'!#REF!</f>
        <v>#REF!</v>
      </c>
      <c r="B210" s="56" t="e">
        <f>+'Proyectos Base digitable'!#REF!</f>
        <v>#REF!</v>
      </c>
      <c r="C210" s="56" t="e">
        <f>+'Proyectos Base digitable'!#REF!</f>
        <v>#REF!</v>
      </c>
      <c r="D210" s="56" t="e">
        <f>+'Proyectos Base digitable'!#REF!</f>
        <v>#REF!</v>
      </c>
      <c r="E210" s="56" t="e">
        <f>+'Proyectos Base digitable'!#REF!</f>
        <v>#REF!</v>
      </c>
      <c r="F210" s="56" t="e">
        <f>+'Proyectos Base digitable'!#REF!</f>
        <v>#REF!</v>
      </c>
      <c r="G210" s="57" t="e">
        <f>+'Proyectos Base digitable'!#REF!</f>
        <v>#REF!</v>
      </c>
      <c r="H210" s="56" t="e">
        <f>+'Proyectos Base digitable'!#REF!</f>
        <v>#REF!</v>
      </c>
      <c r="I210" s="56" t="e">
        <f>+'Proyectos Base digitable'!#REF!</f>
        <v>#REF!</v>
      </c>
      <c r="J210" s="56" t="e">
        <f>+'Proyectos Base digitable'!#REF!</f>
        <v>#REF!</v>
      </c>
      <c r="K210" s="56" t="e">
        <f>+'Proyectos Base digitable'!#REF!</f>
        <v>#REF!</v>
      </c>
      <c r="L210" s="56" t="e">
        <f>+'Proyectos Base digitable'!#REF!</f>
        <v>#REF!</v>
      </c>
      <c r="M210" s="56" t="e">
        <f>+'Proyectos Base digitable'!#REF!</f>
        <v>#REF!</v>
      </c>
      <c r="N210" s="52" t="e">
        <f>+'Proyectos Base digitable'!#REF!</f>
        <v>#REF!</v>
      </c>
      <c r="O210" s="52" t="e">
        <f>+'Proyectos Base digitable'!#REF!</f>
        <v>#REF!</v>
      </c>
      <c r="P210" s="185" t="e">
        <f>+'Proyectos Base digitable'!#REF!</f>
        <v>#REF!</v>
      </c>
      <c r="Q210" s="58" t="e">
        <f>+'Proyectos Base digitable'!#REF!</f>
        <v>#REF!</v>
      </c>
      <c r="R210" s="58" t="e">
        <f>+'Proyectos Base digitable'!#REF!</f>
        <v>#REF!</v>
      </c>
      <c r="S210" s="58" t="e">
        <f>+'Proyectos Base digitable'!#REF!</f>
        <v>#REF!</v>
      </c>
      <c r="T210" s="58" t="e">
        <f>+'Proyectos Base digitable'!#REF!</f>
        <v>#REF!</v>
      </c>
      <c r="U210" s="63" t="e">
        <f>'Proyectos Base digitable'!#REF!</f>
        <v>#REF!</v>
      </c>
      <c r="V210" s="63" t="e">
        <f>'Proyectos Base digitable'!#REF!</f>
        <v>#REF!</v>
      </c>
      <c r="W210" s="63" t="e">
        <f>'Proyectos Base digitable'!#REF!</f>
        <v>#REF!</v>
      </c>
      <c r="X210" s="63" t="e">
        <f>'Proyectos Base digitable'!#REF!</f>
        <v>#REF!</v>
      </c>
      <c r="Y210" s="63" t="e">
        <f>'Proyectos Base digitable'!#REF!</f>
        <v>#REF!</v>
      </c>
      <c r="Z210" s="58" t="e">
        <f>+'Proyectos Base digitable'!#REF!</f>
        <v>#REF!</v>
      </c>
      <c r="AA210" s="58" t="e">
        <f>+'Proyectos Base digitable'!#REF!</f>
        <v>#REF!</v>
      </c>
      <c r="AB210" s="63" t="e">
        <f>'Proyectos Base digitable'!#REF!</f>
        <v>#REF!</v>
      </c>
      <c r="AC210" s="56" t="e">
        <f>+'Proyectos Base digitable'!#REF!</f>
        <v>#REF!</v>
      </c>
      <c r="AD210" s="52" t="e">
        <f>+'Proyectos Base digitable'!#REF!</f>
        <v>#REF!</v>
      </c>
      <c r="AE210" s="52" t="e">
        <f>+'Proyectos Base digitable'!#REF!</f>
        <v>#REF!</v>
      </c>
      <c r="AF210" s="52" t="e">
        <f>+'Proyectos Base digitable'!#REF!</f>
        <v>#REF!</v>
      </c>
      <c r="AG210" s="56" t="e">
        <f>+'Proyectos Base digitable'!#REF!</f>
        <v>#REF!</v>
      </c>
      <c r="AH210" s="52" t="e">
        <f>+'Proyectos Base digitable'!#REF!</f>
        <v>#REF!</v>
      </c>
      <c r="AI210" s="52" t="e">
        <f>+'Proyectos Base digitable'!#REF!</f>
        <v>#REF!</v>
      </c>
      <c r="AJ210" s="59" t="e">
        <f>+'Proyectos Base digitable'!#REF!</f>
        <v>#REF!</v>
      </c>
      <c r="AK210" s="186" t="e">
        <f>+'Proyectos Base digitable'!#REF!</f>
        <v>#REF!</v>
      </c>
      <c r="AL210" s="186" t="e">
        <f>+'Proyectos Base digitable'!#REF!</f>
        <v>#REF!</v>
      </c>
      <c r="AM210" s="186" t="e">
        <f>+'Proyectos Base digitable'!#REF!</f>
        <v>#REF!</v>
      </c>
      <c r="AN210" s="186" t="e">
        <f>+'Proyectos Base digitable'!#REF!</f>
        <v>#REF!</v>
      </c>
      <c r="AO210" s="186" t="e">
        <f>+'Proyectos Base digitable'!#REF!</f>
        <v>#REF!</v>
      </c>
      <c r="AP210" s="186" t="e">
        <f>+'Proyectos Base digitable'!#REF!</f>
        <v>#REF!</v>
      </c>
      <c r="AQ210" s="186" t="e">
        <f>+'Proyectos Base digitable'!#REF!</f>
        <v>#REF!</v>
      </c>
      <c r="AR210" s="186" t="e">
        <f>+'Proyectos Base digitable'!#REF!</f>
        <v>#REF!</v>
      </c>
      <c r="AS210" s="186" t="e">
        <f>+'Proyectos Base digitable'!#REF!</f>
        <v>#REF!</v>
      </c>
      <c r="AT210" s="187" t="e">
        <f>+'Proyectos Base digitable'!#REF!</f>
        <v>#REF!</v>
      </c>
      <c r="AU210" s="56" t="e">
        <f>+'Proyectos Base digitable'!#REF!</f>
        <v>#REF!</v>
      </c>
      <c r="AV210" s="56" t="e">
        <f>+'Proyectos Base digitable'!#REF!</f>
        <v>#REF!</v>
      </c>
      <c r="AW210" s="56" t="e">
        <f>+'Proyectos Base digitable'!#REF!</f>
        <v>#REF!</v>
      </c>
      <c r="AX210" s="56" t="e">
        <f>+'Proyectos Base digitable'!#REF!</f>
        <v>#REF!</v>
      </c>
      <c r="AY210" s="56" t="e">
        <f>+'Proyectos Base digitable'!#REF!</f>
        <v>#REF!</v>
      </c>
      <c r="AZ210" s="188" t="e">
        <f>+'Proyectos Base digitable'!#REF!</f>
        <v>#REF!</v>
      </c>
      <c r="BA210" s="188" t="e">
        <f>+'Proyectos Base digitable'!#REF!</f>
        <v>#REF!</v>
      </c>
    </row>
    <row r="211" spans="1:53" ht="12.5">
      <c r="A211" s="60" t="e">
        <f>+'Proyectos Base digitable'!#REF!</f>
        <v>#REF!</v>
      </c>
      <c r="B211" s="56" t="e">
        <f>+'Proyectos Base digitable'!#REF!</f>
        <v>#REF!</v>
      </c>
      <c r="C211" s="56" t="e">
        <f>+'Proyectos Base digitable'!#REF!</f>
        <v>#REF!</v>
      </c>
      <c r="D211" s="56" t="e">
        <f>+'Proyectos Base digitable'!#REF!</f>
        <v>#REF!</v>
      </c>
      <c r="E211" s="56" t="e">
        <f>+'Proyectos Base digitable'!#REF!</f>
        <v>#REF!</v>
      </c>
      <c r="F211" s="56" t="e">
        <f>+'Proyectos Base digitable'!#REF!</f>
        <v>#REF!</v>
      </c>
      <c r="G211" s="57" t="e">
        <f>+'Proyectos Base digitable'!#REF!</f>
        <v>#REF!</v>
      </c>
      <c r="H211" s="56" t="e">
        <f>+'Proyectos Base digitable'!#REF!</f>
        <v>#REF!</v>
      </c>
      <c r="I211" s="56" t="e">
        <f>+'Proyectos Base digitable'!#REF!</f>
        <v>#REF!</v>
      </c>
      <c r="J211" s="56" t="e">
        <f>+'Proyectos Base digitable'!#REF!</f>
        <v>#REF!</v>
      </c>
      <c r="K211" s="56" t="e">
        <f>+'Proyectos Base digitable'!#REF!</f>
        <v>#REF!</v>
      </c>
      <c r="L211" s="56" t="e">
        <f>+'Proyectos Base digitable'!#REF!</f>
        <v>#REF!</v>
      </c>
      <c r="M211" s="56" t="e">
        <f>+'Proyectos Base digitable'!#REF!</f>
        <v>#REF!</v>
      </c>
      <c r="N211" s="52" t="e">
        <f>+'Proyectos Base digitable'!#REF!</f>
        <v>#REF!</v>
      </c>
      <c r="O211" s="52" t="e">
        <f>+'Proyectos Base digitable'!#REF!</f>
        <v>#REF!</v>
      </c>
      <c r="P211" s="185" t="e">
        <f>+'Proyectos Base digitable'!#REF!</f>
        <v>#REF!</v>
      </c>
      <c r="Q211" s="58" t="e">
        <f>+'Proyectos Base digitable'!#REF!</f>
        <v>#REF!</v>
      </c>
      <c r="R211" s="58" t="e">
        <f>+'Proyectos Base digitable'!#REF!</f>
        <v>#REF!</v>
      </c>
      <c r="S211" s="58" t="e">
        <f>+'Proyectos Base digitable'!#REF!</f>
        <v>#REF!</v>
      </c>
      <c r="T211" s="58" t="e">
        <f>+'Proyectos Base digitable'!#REF!</f>
        <v>#REF!</v>
      </c>
      <c r="U211" s="63" t="e">
        <f>'Proyectos Base digitable'!#REF!</f>
        <v>#REF!</v>
      </c>
      <c r="V211" s="63" t="e">
        <f>'Proyectos Base digitable'!#REF!</f>
        <v>#REF!</v>
      </c>
      <c r="W211" s="63" t="e">
        <f>'Proyectos Base digitable'!#REF!</f>
        <v>#REF!</v>
      </c>
      <c r="X211" s="63" t="e">
        <f>'Proyectos Base digitable'!#REF!</f>
        <v>#REF!</v>
      </c>
      <c r="Y211" s="63" t="e">
        <f>'Proyectos Base digitable'!#REF!</f>
        <v>#REF!</v>
      </c>
      <c r="Z211" s="58" t="e">
        <f>+'Proyectos Base digitable'!#REF!</f>
        <v>#REF!</v>
      </c>
      <c r="AA211" s="58" t="e">
        <f>+'Proyectos Base digitable'!#REF!</f>
        <v>#REF!</v>
      </c>
      <c r="AB211" s="63" t="e">
        <f>'Proyectos Base digitable'!#REF!</f>
        <v>#REF!</v>
      </c>
      <c r="AC211" s="56" t="e">
        <f>+'Proyectos Base digitable'!#REF!</f>
        <v>#REF!</v>
      </c>
      <c r="AD211" s="52" t="e">
        <f>+'Proyectos Base digitable'!#REF!</f>
        <v>#REF!</v>
      </c>
      <c r="AE211" s="52" t="e">
        <f>+'Proyectos Base digitable'!#REF!</f>
        <v>#REF!</v>
      </c>
      <c r="AF211" s="52" t="e">
        <f>+'Proyectos Base digitable'!#REF!</f>
        <v>#REF!</v>
      </c>
      <c r="AG211" s="56" t="e">
        <f>+'Proyectos Base digitable'!#REF!</f>
        <v>#REF!</v>
      </c>
      <c r="AH211" s="52" t="e">
        <f>+'Proyectos Base digitable'!#REF!</f>
        <v>#REF!</v>
      </c>
      <c r="AI211" s="52" t="e">
        <f>+'Proyectos Base digitable'!#REF!</f>
        <v>#REF!</v>
      </c>
      <c r="AJ211" s="59" t="e">
        <f>+'Proyectos Base digitable'!#REF!</f>
        <v>#REF!</v>
      </c>
      <c r="AK211" s="186" t="e">
        <f>+'Proyectos Base digitable'!#REF!</f>
        <v>#REF!</v>
      </c>
      <c r="AL211" s="186" t="e">
        <f>+'Proyectos Base digitable'!#REF!</f>
        <v>#REF!</v>
      </c>
      <c r="AM211" s="186" t="e">
        <f>+'Proyectos Base digitable'!#REF!</f>
        <v>#REF!</v>
      </c>
      <c r="AN211" s="186" t="e">
        <f>+'Proyectos Base digitable'!#REF!</f>
        <v>#REF!</v>
      </c>
      <c r="AO211" s="186" t="e">
        <f>+'Proyectos Base digitable'!#REF!</f>
        <v>#REF!</v>
      </c>
      <c r="AP211" s="186" t="e">
        <f>+'Proyectos Base digitable'!#REF!</f>
        <v>#REF!</v>
      </c>
      <c r="AQ211" s="186" t="e">
        <f>+'Proyectos Base digitable'!#REF!</f>
        <v>#REF!</v>
      </c>
      <c r="AR211" s="186" t="e">
        <f>+'Proyectos Base digitable'!#REF!</f>
        <v>#REF!</v>
      </c>
      <c r="AS211" s="186" t="e">
        <f>+'Proyectos Base digitable'!#REF!</f>
        <v>#REF!</v>
      </c>
      <c r="AT211" s="187" t="e">
        <f>+'Proyectos Base digitable'!#REF!</f>
        <v>#REF!</v>
      </c>
      <c r="AU211" s="56" t="e">
        <f>+'Proyectos Base digitable'!#REF!</f>
        <v>#REF!</v>
      </c>
      <c r="AV211" s="56" t="e">
        <f>+'Proyectos Base digitable'!#REF!</f>
        <v>#REF!</v>
      </c>
      <c r="AW211" s="56" t="e">
        <f>+'Proyectos Base digitable'!#REF!</f>
        <v>#REF!</v>
      </c>
      <c r="AX211" s="56" t="e">
        <f>+'Proyectos Base digitable'!#REF!</f>
        <v>#REF!</v>
      </c>
      <c r="AY211" s="56" t="e">
        <f>+'Proyectos Base digitable'!#REF!</f>
        <v>#REF!</v>
      </c>
      <c r="AZ211" s="188" t="e">
        <f>+'Proyectos Base digitable'!#REF!</f>
        <v>#REF!</v>
      </c>
      <c r="BA211" s="188" t="e">
        <f>+'Proyectos Base digitable'!#REF!</f>
        <v>#REF!</v>
      </c>
    </row>
    <row r="212" spans="1:53" ht="12.5">
      <c r="A212" s="60" t="e">
        <f>+'Proyectos Base digitable'!#REF!</f>
        <v>#REF!</v>
      </c>
      <c r="B212" s="56" t="e">
        <f>+'Proyectos Base digitable'!#REF!</f>
        <v>#REF!</v>
      </c>
      <c r="C212" s="56" t="e">
        <f>+'Proyectos Base digitable'!#REF!</f>
        <v>#REF!</v>
      </c>
      <c r="D212" s="56" t="e">
        <f>+'Proyectos Base digitable'!#REF!</f>
        <v>#REF!</v>
      </c>
      <c r="E212" s="56" t="e">
        <f>+'Proyectos Base digitable'!#REF!</f>
        <v>#REF!</v>
      </c>
      <c r="F212" s="56" t="e">
        <f>+'Proyectos Base digitable'!#REF!</f>
        <v>#REF!</v>
      </c>
      <c r="G212" s="57" t="e">
        <f>+'Proyectos Base digitable'!#REF!</f>
        <v>#REF!</v>
      </c>
      <c r="H212" s="56" t="e">
        <f>+'Proyectos Base digitable'!#REF!</f>
        <v>#REF!</v>
      </c>
      <c r="I212" s="56" t="e">
        <f>+'Proyectos Base digitable'!#REF!</f>
        <v>#REF!</v>
      </c>
      <c r="J212" s="56" t="e">
        <f>+'Proyectos Base digitable'!#REF!</f>
        <v>#REF!</v>
      </c>
      <c r="K212" s="56" t="e">
        <f>+'Proyectos Base digitable'!#REF!</f>
        <v>#REF!</v>
      </c>
      <c r="L212" s="56" t="e">
        <f>+'Proyectos Base digitable'!#REF!</f>
        <v>#REF!</v>
      </c>
      <c r="M212" s="56" t="e">
        <f>+'Proyectos Base digitable'!#REF!</f>
        <v>#REF!</v>
      </c>
      <c r="N212" s="52" t="e">
        <f>+'Proyectos Base digitable'!#REF!</f>
        <v>#REF!</v>
      </c>
      <c r="O212" s="52" t="e">
        <f>+'Proyectos Base digitable'!#REF!</f>
        <v>#REF!</v>
      </c>
      <c r="P212" s="185" t="e">
        <f>+'Proyectos Base digitable'!#REF!</f>
        <v>#REF!</v>
      </c>
      <c r="Q212" s="58" t="e">
        <f>+'Proyectos Base digitable'!#REF!</f>
        <v>#REF!</v>
      </c>
      <c r="R212" s="58" t="e">
        <f>+'Proyectos Base digitable'!#REF!</f>
        <v>#REF!</v>
      </c>
      <c r="S212" s="58" t="e">
        <f>+'Proyectos Base digitable'!#REF!</f>
        <v>#REF!</v>
      </c>
      <c r="T212" s="58" t="e">
        <f>+'Proyectos Base digitable'!#REF!</f>
        <v>#REF!</v>
      </c>
      <c r="U212" s="63" t="e">
        <f>'Proyectos Base digitable'!#REF!</f>
        <v>#REF!</v>
      </c>
      <c r="V212" s="63" t="e">
        <f>'Proyectos Base digitable'!#REF!</f>
        <v>#REF!</v>
      </c>
      <c r="W212" s="63" t="e">
        <f>'Proyectos Base digitable'!#REF!</f>
        <v>#REF!</v>
      </c>
      <c r="X212" s="63" t="e">
        <f>'Proyectos Base digitable'!#REF!</f>
        <v>#REF!</v>
      </c>
      <c r="Y212" s="63" t="e">
        <f>'Proyectos Base digitable'!#REF!</f>
        <v>#REF!</v>
      </c>
      <c r="Z212" s="58" t="e">
        <f>+'Proyectos Base digitable'!#REF!</f>
        <v>#REF!</v>
      </c>
      <c r="AA212" s="58" t="e">
        <f>+'Proyectos Base digitable'!#REF!</f>
        <v>#REF!</v>
      </c>
      <c r="AB212" s="63" t="e">
        <f>'Proyectos Base digitable'!#REF!</f>
        <v>#REF!</v>
      </c>
      <c r="AC212" s="56" t="e">
        <f>+'Proyectos Base digitable'!#REF!</f>
        <v>#REF!</v>
      </c>
      <c r="AD212" s="52" t="e">
        <f>+'Proyectos Base digitable'!#REF!</f>
        <v>#REF!</v>
      </c>
      <c r="AE212" s="52" t="e">
        <f>+'Proyectos Base digitable'!#REF!</f>
        <v>#REF!</v>
      </c>
      <c r="AF212" s="52" t="e">
        <f>+'Proyectos Base digitable'!#REF!</f>
        <v>#REF!</v>
      </c>
      <c r="AG212" s="56" t="e">
        <f>+'Proyectos Base digitable'!#REF!</f>
        <v>#REF!</v>
      </c>
      <c r="AH212" s="52" t="e">
        <f>+'Proyectos Base digitable'!#REF!</f>
        <v>#REF!</v>
      </c>
      <c r="AI212" s="52" t="e">
        <f>+'Proyectos Base digitable'!#REF!</f>
        <v>#REF!</v>
      </c>
      <c r="AJ212" s="59" t="e">
        <f>+'Proyectos Base digitable'!#REF!</f>
        <v>#REF!</v>
      </c>
      <c r="AK212" s="186" t="e">
        <f>+'Proyectos Base digitable'!#REF!</f>
        <v>#REF!</v>
      </c>
      <c r="AL212" s="186" t="e">
        <f>+'Proyectos Base digitable'!#REF!</f>
        <v>#REF!</v>
      </c>
      <c r="AM212" s="186" t="e">
        <f>+'Proyectos Base digitable'!#REF!</f>
        <v>#REF!</v>
      </c>
      <c r="AN212" s="186" t="e">
        <f>+'Proyectos Base digitable'!#REF!</f>
        <v>#REF!</v>
      </c>
      <c r="AO212" s="186" t="e">
        <f>+'Proyectos Base digitable'!#REF!</f>
        <v>#REF!</v>
      </c>
      <c r="AP212" s="186" t="e">
        <f>+'Proyectos Base digitable'!#REF!</f>
        <v>#REF!</v>
      </c>
      <c r="AQ212" s="186" t="e">
        <f>+'Proyectos Base digitable'!#REF!</f>
        <v>#REF!</v>
      </c>
      <c r="AR212" s="186" t="e">
        <f>+'Proyectos Base digitable'!#REF!</f>
        <v>#REF!</v>
      </c>
      <c r="AS212" s="186" t="e">
        <f>+'Proyectos Base digitable'!#REF!</f>
        <v>#REF!</v>
      </c>
      <c r="AT212" s="187" t="e">
        <f>+'Proyectos Base digitable'!#REF!</f>
        <v>#REF!</v>
      </c>
      <c r="AU212" s="56" t="e">
        <f>+'Proyectos Base digitable'!#REF!</f>
        <v>#REF!</v>
      </c>
      <c r="AV212" s="56" t="e">
        <f>+'Proyectos Base digitable'!#REF!</f>
        <v>#REF!</v>
      </c>
      <c r="AW212" s="56" t="e">
        <f>+'Proyectos Base digitable'!#REF!</f>
        <v>#REF!</v>
      </c>
      <c r="AX212" s="56" t="e">
        <f>+'Proyectos Base digitable'!#REF!</f>
        <v>#REF!</v>
      </c>
      <c r="AY212" s="56" t="e">
        <f>+'Proyectos Base digitable'!#REF!</f>
        <v>#REF!</v>
      </c>
      <c r="AZ212" s="188" t="e">
        <f>+'Proyectos Base digitable'!#REF!</f>
        <v>#REF!</v>
      </c>
      <c r="BA212" s="188" t="e">
        <f>+'Proyectos Base digitable'!#REF!</f>
        <v>#REF!</v>
      </c>
    </row>
    <row r="213" spans="1:53" ht="12.5">
      <c r="A213" s="60" t="e">
        <f>+'Proyectos Base digitable'!#REF!</f>
        <v>#REF!</v>
      </c>
      <c r="B213" s="56" t="e">
        <f>+'Proyectos Base digitable'!#REF!</f>
        <v>#REF!</v>
      </c>
      <c r="C213" s="56" t="e">
        <f>+'Proyectos Base digitable'!#REF!</f>
        <v>#REF!</v>
      </c>
      <c r="D213" s="56" t="e">
        <f>+'Proyectos Base digitable'!#REF!</f>
        <v>#REF!</v>
      </c>
      <c r="E213" s="56" t="e">
        <f>+'Proyectos Base digitable'!#REF!</f>
        <v>#REF!</v>
      </c>
      <c r="F213" s="56" t="e">
        <f>+'Proyectos Base digitable'!#REF!</f>
        <v>#REF!</v>
      </c>
      <c r="G213" s="57" t="e">
        <f>+'Proyectos Base digitable'!#REF!</f>
        <v>#REF!</v>
      </c>
      <c r="H213" s="56" t="e">
        <f>+'Proyectos Base digitable'!#REF!</f>
        <v>#REF!</v>
      </c>
      <c r="I213" s="56" t="e">
        <f>+'Proyectos Base digitable'!#REF!</f>
        <v>#REF!</v>
      </c>
      <c r="J213" s="56" t="e">
        <f>+'Proyectos Base digitable'!#REF!</f>
        <v>#REF!</v>
      </c>
      <c r="K213" s="56" t="e">
        <f>+'Proyectos Base digitable'!#REF!</f>
        <v>#REF!</v>
      </c>
      <c r="L213" s="56" t="e">
        <f>+'Proyectos Base digitable'!#REF!</f>
        <v>#REF!</v>
      </c>
      <c r="M213" s="56" t="e">
        <f>+'Proyectos Base digitable'!#REF!</f>
        <v>#REF!</v>
      </c>
      <c r="N213" s="52" t="e">
        <f>+'Proyectos Base digitable'!#REF!</f>
        <v>#REF!</v>
      </c>
      <c r="O213" s="52" t="e">
        <f>+'Proyectos Base digitable'!#REF!</f>
        <v>#REF!</v>
      </c>
      <c r="P213" s="185" t="e">
        <f>+'Proyectos Base digitable'!#REF!</f>
        <v>#REF!</v>
      </c>
      <c r="Q213" s="58" t="e">
        <f>+'Proyectos Base digitable'!#REF!</f>
        <v>#REF!</v>
      </c>
      <c r="R213" s="58" t="e">
        <f>+'Proyectos Base digitable'!#REF!</f>
        <v>#REF!</v>
      </c>
      <c r="S213" s="58" t="e">
        <f>+'Proyectos Base digitable'!#REF!</f>
        <v>#REF!</v>
      </c>
      <c r="T213" s="58" t="e">
        <f>+'Proyectos Base digitable'!#REF!</f>
        <v>#REF!</v>
      </c>
      <c r="U213" s="63" t="e">
        <f>'Proyectos Base digitable'!#REF!</f>
        <v>#REF!</v>
      </c>
      <c r="V213" s="63" t="e">
        <f>'Proyectos Base digitable'!#REF!</f>
        <v>#REF!</v>
      </c>
      <c r="W213" s="63" t="e">
        <f>'Proyectos Base digitable'!#REF!</f>
        <v>#REF!</v>
      </c>
      <c r="X213" s="63" t="e">
        <f>'Proyectos Base digitable'!#REF!</f>
        <v>#REF!</v>
      </c>
      <c r="Y213" s="63" t="e">
        <f>'Proyectos Base digitable'!#REF!</f>
        <v>#REF!</v>
      </c>
      <c r="Z213" s="58" t="e">
        <f>+'Proyectos Base digitable'!#REF!</f>
        <v>#REF!</v>
      </c>
      <c r="AA213" s="58" t="e">
        <f>+'Proyectos Base digitable'!#REF!</f>
        <v>#REF!</v>
      </c>
      <c r="AB213" s="63" t="e">
        <f>'Proyectos Base digitable'!#REF!</f>
        <v>#REF!</v>
      </c>
      <c r="AC213" s="56" t="e">
        <f>+'Proyectos Base digitable'!#REF!</f>
        <v>#REF!</v>
      </c>
      <c r="AD213" s="52" t="e">
        <f>+'Proyectos Base digitable'!#REF!</f>
        <v>#REF!</v>
      </c>
      <c r="AE213" s="52" t="e">
        <f>+'Proyectos Base digitable'!#REF!</f>
        <v>#REF!</v>
      </c>
      <c r="AF213" s="52" t="e">
        <f>+'Proyectos Base digitable'!#REF!</f>
        <v>#REF!</v>
      </c>
      <c r="AG213" s="56" t="e">
        <f>+'Proyectos Base digitable'!#REF!</f>
        <v>#REF!</v>
      </c>
      <c r="AH213" s="52" t="e">
        <f>+'Proyectos Base digitable'!#REF!</f>
        <v>#REF!</v>
      </c>
      <c r="AI213" s="52" t="e">
        <f>+'Proyectos Base digitable'!#REF!</f>
        <v>#REF!</v>
      </c>
      <c r="AJ213" s="59" t="e">
        <f>+'Proyectos Base digitable'!#REF!</f>
        <v>#REF!</v>
      </c>
      <c r="AK213" s="186" t="e">
        <f>+'Proyectos Base digitable'!#REF!</f>
        <v>#REF!</v>
      </c>
      <c r="AL213" s="186" t="e">
        <f>+'Proyectos Base digitable'!#REF!</f>
        <v>#REF!</v>
      </c>
      <c r="AM213" s="186" t="e">
        <f>+'Proyectos Base digitable'!#REF!</f>
        <v>#REF!</v>
      </c>
      <c r="AN213" s="186" t="e">
        <f>+'Proyectos Base digitable'!#REF!</f>
        <v>#REF!</v>
      </c>
      <c r="AO213" s="186" t="e">
        <f>+'Proyectos Base digitable'!#REF!</f>
        <v>#REF!</v>
      </c>
      <c r="AP213" s="186" t="e">
        <f>+'Proyectos Base digitable'!#REF!</f>
        <v>#REF!</v>
      </c>
      <c r="AQ213" s="186" t="e">
        <f>+'Proyectos Base digitable'!#REF!</f>
        <v>#REF!</v>
      </c>
      <c r="AR213" s="186" t="e">
        <f>+'Proyectos Base digitable'!#REF!</f>
        <v>#REF!</v>
      </c>
      <c r="AS213" s="186" t="e">
        <f>+'Proyectos Base digitable'!#REF!</f>
        <v>#REF!</v>
      </c>
      <c r="AT213" s="187" t="e">
        <f>+'Proyectos Base digitable'!#REF!</f>
        <v>#REF!</v>
      </c>
      <c r="AU213" s="56" t="e">
        <f>+'Proyectos Base digitable'!#REF!</f>
        <v>#REF!</v>
      </c>
      <c r="AV213" s="56" t="e">
        <f>+'Proyectos Base digitable'!#REF!</f>
        <v>#REF!</v>
      </c>
      <c r="AW213" s="56" t="e">
        <f>+'Proyectos Base digitable'!#REF!</f>
        <v>#REF!</v>
      </c>
      <c r="AX213" s="56" t="e">
        <f>+'Proyectos Base digitable'!#REF!</f>
        <v>#REF!</v>
      </c>
      <c r="AY213" s="56" t="e">
        <f>+'Proyectos Base digitable'!#REF!</f>
        <v>#REF!</v>
      </c>
      <c r="AZ213" s="188" t="e">
        <f>+'Proyectos Base digitable'!#REF!</f>
        <v>#REF!</v>
      </c>
      <c r="BA213" s="188" t="e">
        <f>+'Proyectos Base digitable'!#REF!</f>
        <v>#REF!</v>
      </c>
    </row>
    <row r="214" spans="1:53" ht="12.5">
      <c r="A214" s="60" t="e">
        <f>+'Proyectos Base digitable'!#REF!</f>
        <v>#REF!</v>
      </c>
      <c r="B214" s="56" t="e">
        <f>+'Proyectos Base digitable'!#REF!</f>
        <v>#REF!</v>
      </c>
      <c r="C214" s="56" t="e">
        <f>+'Proyectos Base digitable'!#REF!</f>
        <v>#REF!</v>
      </c>
      <c r="D214" s="56" t="e">
        <f>+'Proyectos Base digitable'!#REF!</f>
        <v>#REF!</v>
      </c>
      <c r="E214" s="56" t="e">
        <f>+'Proyectos Base digitable'!#REF!</f>
        <v>#REF!</v>
      </c>
      <c r="F214" s="56" t="e">
        <f>+'Proyectos Base digitable'!#REF!</f>
        <v>#REF!</v>
      </c>
      <c r="G214" s="57" t="e">
        <f>+'Proyectos Base digitable'!#REF!</f>
        <v>#REF!</v>
      </c>
      <c r="H214" s="56" t="e">
        <f>+'Proyectos Base digitable'!#REF!</f>
        <v>#REF!</v>
      </c>
      <c r="I214" s="56" t="e">
        <f>+'Proyectos Base digitable'!#REF!</f>
        <v>#REF!</v>
      </c>
      <c r="J214" s="56" t="e">
        <f>+'Proyectos Base digitable'!#REF!</f>
        <v>#REF!</v>
      </c>
      <c r="K214" s="56" t="e">
        <f>+'Proyectos Base digitable'!#REF!</f>
        <v>#REF!</v>
      </c>
      <c r="L214" s="56" t="e">
        <f>+'Proyectos Base digitable'!#REF!</f>
        <v>#REF!</v>
      </c>
      <c r="M214" s="56" t="e">
        <f>+'Proyectos Base digitable'!#REF!</f>
        <v>#REF!</v>
      </c>
      <c r="N214" s="52" t="e">
        <f>+'Proyectos Base digitable'!#REF!</f>
        <v>#REF!</v>
      </c>
      <c r="O214" s="52" t="e">
        <f>+'Proyectos Base digitable'!#REF!</f>
        <v>#REF!</v>
      </c>
      <c r="P214" s="185" t="e">
        <f>+'Proyectos Base digitable'!#REF!</f>
        <v>#REF!</v>
      </c>
      <c r="Q214" s="58" t="e">
        <f>+'Proyectos Base digitable'!#REF!</f>
        <v>#REF!</v>
      </c>
      <c r="R214" s="58" t="e">
        <f>+'Proyectos Base digitable'!#REF!</f>
        <v>#REF!</v>
      </c>
      <c r="S214" s="58" t="e">
        <f>+'Proyectos Base digitable'!#REF!</f>
        <v>#REF!</v>
      </c>
      <c r="T214" s="58" t="e">
        <f>+'Proyectos Base digitable'!#REF!</f>
        <v>#REF!</v>
      </c>
      <c r="U214" s="63" t="e">
        <f>'Proyectos Base digitable'!#REF!</f>
        <v>#REF!</v>
      </c>
      <c r="V214" s="63" t="e">
        <f>'Proyectos Base digitable'!#REF!</f>
        <v>#REF!</v>
      </c>
      <c r="W214" s="63" t="e">
        <f>'Proyectos Base digitable'!#REF!</f>
        <v>#REF!</v>
      </c>
      <c r="X214" s="63" t="e">
        <f>'Proyectos Base digitable'!#REF!</f>
        <v>#REF!</v>
      </c>
      <c r="Y214" s="63" t="e">
        <f>'Proyectos Base digitable'!#REF!</f>
        <v>#REF!</v>
      </c>
      <c r="Z214" s="58" t="e">
        <f>+'Proyectos Base digitable'!#REF!</f>
        <v>#REF!</v>
      </c>
      <c r="AA214" s="58" t="e">
        <f>+'Proyectos Base digitable'!#REF!</f>
        <v>#REF!</v>
      </c>
      <c r="AB214" s="63" t="e">
        <f>'Proyectos Base digitable'!#REF!</f>
        <v>#REF!</v>
      </c>
      <c r="AC214" s="56" t="e">
        <f>+'Proyectos Base digitable'!#REF!</f>
        <v>#REF!</v>
      </c>
      <c r="AD214" s="52" t="e">
        <f>+'Proyectos Base digitable'!#REF!</f>
        <v>#REF!</v>
      </c>
      <c r="AE214" s="52" t="e">
        <f>+'Proyectos Base digitable'!#REF!</f>
        <v>#REF!</v>
      </c>
      <c r="AF214" s="52" t="e">
        <f>+'Proyectos Base digitable'!#REF!</f>
        <v>#REF!</v>
      </c>
      <c r="AG214" s="56" t="e">
        <f>+'Proyectos Base digitable'!#REF!</f>
        <v>#REF!</v>
      </c>
      <c r="AH214" s="52" t="e">
        <f>+'Proyectos Base digitable'!#REF!</f>
        <v>#REF!</v>
      </c>
      <c r="AI214" s="52" t="e">
        <f>+'Proyectos Base digitable'!#REF!</f>
        <v>#REF!</v>
      </c>
      <c r="AJ214" s="59" t="e">
        <f>+'Proyectos Base digitable'!#REF!</f>
        <v>#REF!</v>
      </c>
      <c r="AK214" s="186" t="e">
        <f>+'Proyectos Base digitable'!#REF!</f>
        <v>#REF!</v>
      </c>
      <c r="AL214" s="186" t="e">
        <f>+'Proyectos Base digitable'!#REF!</f>
        <v>#REF!</v>
      </c>
      <c r="AM214" s="186" t="e">
        <f>+'Proyectos Base digitable'!#REF!</f>
        <v>#REF!</v>
      </c>
      <c r="AN214" s="186" t="e">
        <f>+'Proyectos Base digitable'!#REF!</f>
        <v>#REF!</v>
      </c>
      <c r="AO214" s="186" t="e">
        <f>+'Proyectos Base digitable'!#REF!</f>
        <v>#REF!</v>
      </c>
      <c r="AP214" s="186" t="e">
        <f>+'Proyectos Base digitable'!#REF!</f>
        <v>#REF!</v>
      </c>
      <c r="AQ214" s="186" t="e">
        <f>+'Proyectos Base digitable'!#REF!</f>
        <v>#REF!</v>
      </c>
      <c r="AR214" s="186" t="e">
        <f>+'Proyectos Base digitable'!#REF!</f>
        <v>#REF!</v>
      </c>
      <c r="AS214" s="186" t="e">
        <f>+'Proyectos Base digitable'!#REF!</f>
        <v>#REF!</v>
      </c>
      <c r="AT214" s="187" t="e">
        <f>+'Proyectos Base digitable'!#REF!</f>
        <v>#REF!</v>
      </c>
      <c r="AU214" s="56" t="e">
        <f>+'Proyectos Base digitable'!#REF!</f>
        <v>#REF!</v>
      </c>
      <c r="AV214" s="56" t="e">
        <f>+'Proyectos Base digitable'!#REF!</f>
        <v>#REF!</v>
      </c>
      <c r="AW214" s="56" t="e">
        <f>+'Proyectos Base digitable'!#REF!</f>
        <v>#REF!</v>
      </c>
      <c r="AX214" s="56" t="e">
        <f>+'Proyectos Base digitable'!#REF!</f>
        <v>#REF!</v>
      </c>
      <c r="AY214" s="56" t="e">
        <f>+'Proyectos Base digitable'!#REF!</f>
        <v>#REF!</v>
      </c>
      <c r="AZ214" s="188" t="e">
        <f>+'Proyectos Base digitable'!#REF!</f>
        <v>#REF!</v>
      </c>
      <c r="BA214" s="188" t="e">
        <f>+'Proyectos Base digitable'!#REF!</f>
        <v>#REF!</v>
      </c>
    </row>
    <row r="215" spans="1:53" ht="12.5">
      <c r="A215" s="60" t="e">
        <f>+'Proyectos Base digitable'!#REF!</f>
        <v>#REF!</v>
      </c>
      <c r="B215" s="56" t="e">
        <f>+'Proyectos Base digitable'!#REF!</f>
        <v>#REF!</v>
      </c>
      <c r="C215" s="56" t="e">
        <f>+'Proyectos Base digitable'!#REF!</f>
        <v>#REF!</v>
      </c>
      <c r="D215" s="56" t="e">
        <f>+'Proyectos Base digitable'!#REF!</f>
        <v>#REF!</v>
      </c>
      <c r="E215" s="56" t="e">
        <f>+'Proyectos Base digitable'!#REF!</f>
        <v>#REF!</v>
      </c>
      <c r="F215" s="56" t="e">
        <f>+'Proyectos Base digitable'!#REF!</f>
        <v>#REF!</v>
      </c>
      <c r="G215" s="57" t="e">
        <f>+'Proyectos Base digitable'!#REF!</f>
        <v>#REF!</v>
      </c>
      <c r="H215" s="56" t="e">
        <f>+'Proyectos Base digitable'!#REF!</f>
        <v>#REF!</v>
      </c>
      <c r="I215" s="56" t="e">
        <f>+'Proyectos Base digitable'!#REF!</f>
        <v>#REF!</v>
      </c>
      <c r="J215" s="56" t="e">
        <f>+'Proyectos Base digitable'!#REF!</f>
        <v>#REF!</v>
      </c>
      <c r="K215" s="56" t="e">
        <f>+'Proyectos Base digitable'!#REF!</f>
        <v>#REF!</v>
      </c>
      <c r="L215" s="56" t="e">
        <f>+'Proyectos Base digitable'!#REF!</f>
        <v>#REF!</v>
      </c>
      <c r="M215" s="56" t="e">
        <f>+'Proyectos Base digitable'!#REF!</f>
        <v>#REF!</v>
      </c>
      <c r="N215" s="52" t="e">
        <f>+'Proyectos Base digitable'!#REF!</f>
        <v>#REF!</v>
      </c>
      <c r="O215" s="52" t="e">
        <f>+'Proyectos Base digitable'!#REF!</f>
        <v>#REF!</v>
      </c>
      <c r="P215" s="185" t="e">
        <f>+'Proyectos Base digitable'!#REF!</f>
        <v>#REF!</v>
      </c>
      <c r="Q215" s="58" t="e">
        <f>+'Proyectos Base digitable'!#REF!</f>
        <v>#REF!</v>
      </c>
      <c r="R215" s="58" t="e">
        <f>+'Proyectos Base digitable'!#REF!</f>
        <v>#REF!</v>
      </c>
      <c r="S215" s="58" t="e">
        <f>+'Proyectos Base digitable'!#REF!</f>
        <v>#REF!</v>
      </c>
      <c r="T215" s="58" t="e">
        <f>+'Proyectos Base digitable'!#REF!</f>
        <v>#REF!</v>
      </c>
      <c r="U215" s="63" t="e">
        <f>'Proyectos Base digitable'!#REF!</f>
        <v>#REF!</v>
      </c>
      <c r="V215" s="63" t="e">
        <f>'Proyectos Base digitable'!#REF!</f>
        <v>#REF!</v>
      </c>
      <c r="W215" s="63" t="e">
        <f>'Proyectos Base digitable'!#REF!</f>
        <v>#REF!</v>
      </c>
      <c r="X215" s="63" t="e">
        <f>'Proyectos Base digitable'!#REF!</f>
        <v>#REF!</v>
      </c>
      <c r="Y215" s="63" t="e">
        <f>'Proyectos Base digitable'!#REF!</f>
        <v>#REF!</v>
      </c>
      <c r="Z215" s="58" t="e">
        <f>+'Proyectos Base digitable'!#REF!</f>
        <v>#REF!</v>
      </c>
      <c r="AA215" s="58" t="e">
        <f>+'Proyectos Base digitable'!#REF!</f>
        <v>#REF!</v>
      </c>
      <c r="AB215" s="63" t="e">
        <f>'Proyectos Base digitable'!#REF!</f>
        <v>#REF!</v>
      </c>
      <c r="AC215" s="56" t="e">
        <f>+'Proyectos Base digitable'!#REF!</f>
        <v>#REF!</v>
      </c>
      <c r="AD215" s="52" t="e">
        <f>+'Proyectos Base digitable'!#REF!</f>
        <v>#REF!</v>
      </c>
      <c r="AE215" s="52" t="e">
        <f>+'Proyectos Base digitable'!#REF!</f>
        <v>#REF!</v>
      </c>
      <c r="AF215" s="52" t="e">
        <f>+'Proyectos Base digitable'!#REF!</f>
        <v>#REF!</v>
      </c>
      <c r="AG215" s="56" t="e">
        <f>+'Proyectos Base digitable'!#REF!</f>
        <v>#REF!</v>
      </c>
      <c r="AH215" s="52" t="e">
        <f>+'Proyectos Base digitable'!#REF!</f>
        <v>#REF!</v>
      </c>
      <c r="AI215" s="52" t="e">
        <f>+'Proyectos Base digitable'!#REF!</f>
        <v>#REF!</v>
      </c>
      <c r="AJ215" s="59" t="e">
        <f>+'Proyectos Base digitable'!#REF!</f>
        <v>#REF!</v>
      </c>
      <c r="AK215" s="186" t="e">
        <f>+'Proyectos Base digitable'!#REF!</f>
        <v>#REF!</v>
      </c>
      <c r="AL215" s="186" t="e">
        <f>+'Proyectos Base digitable'!#REF!</f>
        <v>#REF!</v>
      </c>
      <c r="AM215" s="186" t="e">
        <f>+'Proyectos Base digitable'!#REF!</f>
        <v>#REF!</v>
      </c>
      <c r="AN215" s="186" t="e">
        <f>+'Proyectos Base digitable'!#REF!</f>
        <v>#REF!</v>
      </c>
      <c r="AO215" s="186" t="e">
        <f>+'Proyectos Base digitable'!#REF!</f>
        <v>#REF!</v>
      </c>
      <c r="AP215" s="186" t="e">
        <f>+'Proyectos Base digitable'!#REF!</f>
        <v>#REF!</v>
      </c>
      <c r="AQ215" s="186" t="e">
        <f>+'Proyectos Base digitable'!#REF!</f>
        <v>#REF!</v>
      </c>
      <c r="AR215" s="186" t="e">
        <f>+'Proyectos Base digitable'!#REF!</f>
        <v>#REF!</v>
      </c>
      <c r="AS215" s="186" t="e">
        <f>+'Proyectos Base digitable'!#REF!</f>
        <v>#REF!</v>
      </c>
      <c r="AT215" s="187" t="e">
        <f>+'Proyectos Base digitable'!#REF!</f>
        <v>#REF!</v>
      </c>
      <c r="AU215" s="56" t="e">
        <f>+'Proyectos Base digitable'!#REF!</f>
        <v>#REF!</v>
      </c>
      <c r="AV215" s="56" t="e">
        <f>+'Proyectos Base digitable'!#REF!</f>
        <v>#REF!</v>
      </c>
      <c r="AW215" s="56" t="e">
        <f>+'Proyectos Base digitable'!#REF!</f>
        <v>#REF!</v>
      </c>
      <c r="AX215" s="56" t="e">
        <f>+'Proyectos Base digitable'!#REF!</f>
        <v>#REF!</v>
      </c>
      <c r="AY215" s="56" t="e">
        <f>+'Proyectos Base digitable'!#REF!</f>
        <v>#REF!</v>
      </c>
      <c r="AZ215" s="188" t="e">
        <f>+'Proyectos Base digitable'!#REF!</f>
        <v>#REF!</v>
      </c>
      <c r="BA215" s="188" t="e">
        <f>+'Proyectos Base digitable'!#REF!</f>
        <v>#REF!</v>
      </c>
    </row>
    <row r="216" spans="1:53" ht="12.5">
      <c r="A216" s="60" t="e">
        <f>+'Proyectos Base digitable'!#REF!</f>
        <v>#REF!</v>
      </c>
      <c r="B216" s="56" t="e">
        <f>+'Proyectos Base digitable'!#REF!</f>
        <v>#REF!</v>
      </c>
      <c r="C216" s="56" t="e">
        <f>+'Proyectos Base digitable'!#REF!</f>
        <v>#REF!</v>
      </c>
      <c r="D216" s="56" t="e">
        <f>+'Proyectos Base digitable'!#REF!</f>
        <v>#REF!</v>
      </c>
      <c r="E216" s="56" t="e">
        <f>+'Proyectos Base digitable'!#REF!</f>
        <v>#REF!</v>
      </c>
      <c r="F216" s="56" t="e">
        <f>+'Proyectos Base digitable'!#REF!</f>
        <v>#REF!</v>
      </c>
      <c r="G216" s="57" t="e">
        <f>+'Proyectos Base digitable'!#REF!</f>
        <v>#REF!</v>
      </c>
      <c r="H216" s="56" t="e">
        <f>+'Proyectos Base digitable'!#REF!</f>
        <v>#REF!</v>
      </c>
      <c r="I216" s="56" t="e">
        <f>+'Proyectos Base digitable'!#REF!</f>
        <v>#REF!</v>
      </c>
      <c r="J216" s="56" t="e">
        <f>+'Proyectos Base digitable'!#REF!</f>
        <v>#REF!</v>
      </c>
      <c r="K216" s="56" t="e">
        <f>+'Proyectos Base digitable'!#REF!</f>
        <v>#REF!</v>
      </c>
      <c r="L216" s="56" t="e">
        <f>+'Proyectos Base digitable'!#REF!</f>
        <v>#REF!</v>
      </c>
      <c r="M216" s="56" t="e">
        <f>+'Proyectos Base digitable'!#REF!</f>
        <v>#REF!</v>
      </c>
      <c r="N216" s="52" t="e">
        <f>+'Proyectos Base digitable'!#REF!</f>
        <v>#REF!</v>
      </c>
      <c r="O216" s="52" t="e">
        <f>+'Proyectos Base digitable'!#REF!</f>
        <v>#REF!</v>
      </c>
      <c r="P216" s="185" t="e">
        <f>+'Proyectos Base digitable'!#REF!</f>
        <v>#REF!</v>
      </c>
      <c r="Q216" s="58" t="e">
        <f>+'Proyectos Base digitable'!#REF!</f>
        <v>#REF!</v>
      </c>
      <c r="R216" s="58" t="e">
        <f>+'Proyectos Base digitable'!#REF!</f>
        <v>#REF!</v>
      </c>
      <c r="S216" s="58" t="e">
        <f>+'Proyectos Base digitable'!#REF!</f>
        <v>#REF!</v>
      </c>
      <c r="T216" s="58" t="e">
        <f>+'Proyectos Base digitable'!#REF!</f>
        <v>#REF!</v>
      </c>
      <c r="U216" s="63" t="e">
        <f>'Proyectos Base digitable'!#REF!</f>
        <v>#REF!</v>
      </c>
      <c r="V216" s="63" t="e">
        <f>'Proyectos Base digitable'!#REF!</f>
        <v>#REF!</v>
      </c>
      <c r="W216" s="63" t="e">
        <f>'Proyectos Base digitable'!#REF!</f>
        <v>#REF!</v>
      </c>
      <c r="X216" s="63" t="e">
        <f>'Proyectos Base digitable'!#REF!</f>
        <v>#REF!</v>
      </c>
      <c r="Y216" s="63" t="e">
        <f>'Proyectos Base digitable'!#REF!</f>
        <v>#REF!</v>
      </c>
      <c r="Z216" s="58" t="e">
        <f>+'Proyectos Base digitable'!#REF!</f>
        <v>#REF!</v>
      </c>
      <c r="AA216" s="58" t="e">
        <f>+'Proyectos Base digitable'!#REF!</f>
        <v>#REF!</v>
      </c>
      <c r="AB216" s="63" t="e">
        <f>'Proyectos Base digitable'!#REF!</f>
        <v>#REF!</v>
      </c>
      <c r="AC216" s="56" t="e">
        <f>+'Proyectos Base digitable'!#REF!</f>
        <v>#REF!</v>
      </c>
      <c r="AD216" s="52" t="e">
        <f>+'Proyectos Base digitable'!#REF!</f>
        <v>#REF!</v>
      </c>
      <c r="AE216" s="52" t="e">
        <f>+'Proyectos Base digitable'!#REF!</f>
        <v>#REF!</v>
      </c>
      <c r="AF216" s="52" t="e">
        <f>+'Proyectos Base digitable'!#REF!</f>
        <v>#REF!</v>
      </c>
      <c r="AG216" s="56" t="e">
        <f>+'Proyectos Base digitable'!#REF!</f>
        <v>#REF!</v>
      </c>
      <c r="AH216" s="52" t="e">
        <f>+'Proyectos Base digitable'!#REF!</f>
        <v>#REF!</v>
      </c>
      <c r="AI216" s="52" t="e">
        <f>+'Proyectos Base digitable'!#REF!</f>
        <v>#REF!</v>
      </c>
      <c r="AJ216" s="59" t="e">
        <f>+'Proyectos Base digitable'!#REF!</f>
        <v>#REF!</v>
      </c>
      <c r="AK216" s="186" t="e">
        <f>+'Proyectos Base digitable'!#REF!</f>
        <v>#REF!</v>
      </c>
      <c r="AL216" s="186" t="e">
        <f>+'Proyectos Base digitable'!#REF!</f>
        <v>#REF!</v>
      </c>
      <c r="AM216" s="186" t="e">
        <f>+'Proyectos Base digitable'!#REF!</f>
        <v>#REF!</v>
      </c>
      <c r="AN216" s="186" t="e">
        <f>+'Proyectos Base digitable'!#REF!</f>
        <v>#REF!</v>
      </c>
      <c r="AO216" s="186" t="e">
        <f>+'Proyectos Base digitable'!#REF!</f>
        <v>#REF!</v>
      </c>
      <c r="AP216" s="186" t="e">
        <f>+'Proyectos Base digitable'!#REF!</f>
        <v>#REF!</v>
      </c>
      <c r="AQ216" s="186" t="e">
        <f>+'Proyectos Base digitable'!#REF!</f>
        <v>#REF!</v>
      </c>
      <c r="AR216" s="186" t="e">
        <f>+'Proyectos Base digitable'!#REF!</f>
        <v>#REF!</v>
      </c>
      <c r="AS216" s="186" t="e">
        <f>+'Proyectos Base digitable'!#REF!</f>
        <v>#REF!</v>
      </c>
      <c r="AT216" s="187" t="e">
        <f>+'Proyectos Base digitable'!#REF!</f>
        <v>#REF!</v>
      </c>
      <c r="AU216" s="56" t="e">
        <f>+'Proyectos Base digitable'!#REF!</f>
        <v>#REF!</v>
      </c>
      <c r="AV216" s="56" t="e">
        <f>+'Proyectos Base digitable'!#REF!</f>
        <v>#REF!</v>
      </c>
      <c r="AW216" s="56" t="e">
        <f>+'Proyectos Base digitable'!#REF!</f>
        <v>#REF!</v>
      </c>
      <c r="AX216" s="56" t="e">
        <f>+'Proyectos Base digitable'!#REF!</f>
        <v>#REF!</v>
      </c>
      <c r="AY216" s="56" t="e">
        <f>+'Proyectos Base digitable'!#REF!</f>
        <v>#REF!</v>
      </c>
      <c r="AZ216" s="188" t="e">
        <f>+'Proyectos Base digitable'!#REF!</f>
        <v>#REF!</v>
      </c>
      <c r="BA216" s="188" t="e">
        <f>+'Proyectos Base digitable'!#REF!</f>
        <v>#REF!</v>
      </c>
    </row>
    <row r="217" spans="1:53" ht="12.5">
      <c r="A217" s="60" t="e">
        <f>+'Proyectos Base digitable'!#REF!</f>
        <v>#REF!</v>
      </c>
      <c r="B217" s="56" t="e">
        <f>+'Proyectos Base digitable'!#REF!</f>
        <v>#REF!</v>
      </c>
      <c r="C217" s="56" t="e">
        <f>+'Proyectos Base digitable'!#REF!</f>
        <v>#REF!</v>
      </c>
      <c r="D217" s="56" t="e">
        <f>+'Proyectos Base digitable'!#REF!</f>
        <v>#REF!</v>
      </c>
      <c r="E217" s="56" t="e">
        <f>+'Proyectos Base digitable'!#REF!</f>
        <v>#REF!</v>
      </c>
      <c r="F217" s="56" t="e">
        <f>+'Proyectos Base digitable'!#REF!</f>
        <v>#REF!</v>
      </c>
      <c r="G217" s="57" t="e">
        <f>+'Proyectos Base digitable'!#REF!</f>
        <v>#REF!</v>
      </c>
      <c r="H217" s="56" t="e">
        <f>+'Proyectos Base digitable'!#REF!</f>
        <v>#REF!</v>
      </c>
      <c r="I217" s="56" t="e">
        <f>+'Proyectos Base digitable'!#REF!</f>
        <v>#REF!</v>
      </c>
      <c r="J217" s="56" t="e">
        <f>+'Proyectos Base digitable'!#REF!</f>
        <v>#REF!</v>
      </c>
      <c r="K217" s="56" t="e">
        <f>+'Proyectos Base digitable'!#REF!</f>
        <v>#REF!</v>
      </c>
      <c r="L217" s="56" t="e">
        <f>+'Proyectos Base digitable'!#REF!</f>
        <v>#REF!</v>
      </c>
      <c r="M217" s="56" t="e">
        <f>+'Proyectos Base digitable'!#REF!</f>
        <v>#REF!</v>
      </c>
      <c r="N217" s="52" t="e">
        <f>+'Proyectos Base digitable'!#REF!</f>
        <v>#REF!</v>
      </c>
      <c r="O217" s="52" t="e">
        <f>+'Proyectos Base digitable'!#REF!</f>
        <v>#REF!</v>
      </c>
      <c r="P217" s="185" t="e">
        <f>+'Proyectos Base digitable'!#REF!</f>
        <v>#REF!</v>
      </c>
      <c r="Q217" s="58" t="e">
        <f>+'Proyectos Base digitable'!#REF!</f>
        <v>#REF!</v>
      </c>
      <c r="R217" s="58" t="e">
        <f>+'Proyectos Base digitable'!#REF!</f>
        <v>#REF!</v>
      </c>
      <c r="S217" s="58" t="e">
        <f>+'Proyectos Base digitable'!#REF!</f>
        <v>#REF!</v>
      </c>
      <c r="T217" s="58" t="e">
        <f>+'Proyectos Base digitable'!#REF!</f>
        <v>#REF!</v>
      </c>
      <c r="U217" s="63" t="e">
        <f>'Proyectos Base digitable'!#REF!</f>
        <v>#REF!</v>
      </c>
      <c r="V217" s="63" t="e">
        <f>'Proyectos Base digitable'!#REF!</f>
        <v>#REF!</v>
      </c>
      <c r="W217" s="63" t="e">
        <f>'Proyectos Base digitable'!#REF!</f>
        <v>#REF!</v>
      </c>
      <c r="X217" s="63" t="e">
        <f>'Proyectos Base digitable'!#REF!</f>
        <v>#REF!</v>
      </c>
      <c r="Y217" s="63" t="e">
        <f>'Proyectos Base digitable'!#REF!</f>
        <v>#REF!</v>
      </c>
      <c r="Z217" s="58" t="e">
        <f>+'Proyectos Base digitable'!#REF!</f>
        <v>#REF!</v>
      </c>
      <c r="AA217" s="58" t="e">
        <f>+'Proyectos Base digitable'!#REF!</f>
        <v>#REF!</v>
      </c>
      <c r="AB217" s="63" t="e">
        <f>'Proyectos Base digitable'!#REF!</f>
        <v>#REF!</v>
      </c>
      <c r="AC217" s="56" t="e">
        <f>+'Proyectos Base digitable'!#REF!</f>
        <v>#REF!</v>
      </c>
      <c r="AD217" s="52" t="e">
        <f>+'Proyectos Base digitable'!#REF!</f>
        <v>#REF!</v>
      </c>
      <c r="AE217" s="52" t="e">
        <f>+'Proyectos Base digitable'!#REF!</f>
        <v>#REF!</v>
      </c>
      <c r="AF217" s="52" t="e">
        <f>+'Proyectos Base digitable'!#REF!</f>
        <v>#REF!</v>
      </c>
      <c r="AG217" s="56" t="e">
        <f>+'Proyectos Base digitable'!#REF!</f>
        <v>#REF!</v>
      </c>
      <c r="AH217" s="52" t="e">
        <f>+'Proyectos Base digitable'!#REF!</f>
        <v>#REF!</v>
      </c>
      <c r="AI217" s="52" t="e">
        <f>+'Proyectos Base digitable'!#REF!</f>
        <v>#REF!</v>
      </c>
      <c r="AJ217" s="59" t="e">
        <f>+'Proyectos Base digitable'!#REF!</f>
        <v>#REF!</v>
      </c>
      <c r="AK217" s="186" t="e">
        <f>+'Proyectos Base digitable'!#REF!</f>
        <v>#REF!</v>
      </c>
      <c r="AL217" s="186" t="e">
        <f>+'Proyectos Base digitable'!#REF!</f>
        <v>#REF!</v>
      </c>
      <c r="AM217" s="186" t="e">
        <f>+'Proyectos Base digitable'!#REF!</f>
        <v>#REF!</v>
      </c>
      <c r="AN217" s="186" t="e">
        <f>+'Proyectos Base digitable'!#REF!</f>
        <v>#REF!</v>
      </c>
      <c r="AO217" s="186" t="e">
        <f>+'Proyectos Base digitable'!#REF!</f>
        <v>#REF!</v>
      </c>
      <c r="AP217" s="186" t="e">
        <f>+'Proyectos Base digitable'!#REF!</f>
        <v>#REF!</v>
      </c>
      <c r="AQ217" s="186" t="e">
        <f>+'Proyectos Base digitable'!#REF!</f>
        <v>#REF!</v>
      </c>
      <c r="AR217" s="186" t="e">
        <f>+'Proyectos Base digitable'!#REF!</f>
        <v>#REF!</v>
      </c>
      <c r="AS217" s="186" t="e">
        <f>+'Proyectos Base digitable'!#REF!</f>
        <v>#REF!</v>
      </c>
      <c r="AT217" s="187" t="e">
        <f>+'Proyectos Base digitable'!#REF!</f>
        <v>#REF!</v>
      </c>
      <c r="AU217" s="56" t="e">
        <f>+'Proyectos Base digitable'!#REF!</f>
        <v>#REF!</v>
      </c>
      <c r="AV217" s="56" t="e">
        <f>+'Proyectos Base digitable'!#REF!</f>
        <v>#REF!</v>
      </c>
      <c r="AW217" s="56" t="e">
        <f>+'Proyectos Base digitable'!#REF!</f>
        <v>#REF!</v>
      </c>
      <c r="AX217" s="56" t="e">
        <f>+'Proyectos Base digitable'!#REF!</f>
        <v>#REF!</v>
      </c>
      <c r="AY217" s="56" t="e">
        <f>+'Proyectos Base digitable'!#REF!</f>
        <v>#REF!</v>
      </c>
      <c r="AZ217" s="188" t="e">
        <f>+'Proyectos Base digitable'!#REF!</f>
        <v>#REF!</v>
      </c>
      <c r="BA217" s="188" t="e">
        <f>+'Proyectos Base digitable'!#REF!</f>
        <v>#REF!</v>
      </c>
    </row>
    <row r="218" spans="1:53" ht="12.5">
      <c r="A218" s="60" t="e">
        <f>+'Proyectos Base digitable'!#REF!</f>
        <v>#REF!</v>
      </c>
      <c r="B218" s="56" t="e">
        <f>+'Proyectos Base digitable'!#REF!</f>
        <v>#REF!</v>
      </c>
      <c r="C218" s="56" t="e">
        <f>+'Proyectos Base digitable'!#REF!</f>
        <v>#REF!</v>
      </c>
      <c r="D218" s="56" t="e">
        <f>+'Proyectos Base digitable'!#REF!</f>
        <v>#REF!</v>
      </c>
      <c r="E218" s="56" t="e">
        <f>+'Proyectos Base digitable'!#REF!</f>
        <v>#REF!</v>
      </c>
      <c r="F218" s="56" t="e">
        <f>+'Proyectos Base digitable'!#REF!</f>
        <v>#REF!</v>
      </c>
      <c r="G218" s="57" t="e">
        <f>+'Proyectos Base digitable'!#REF!</f>
        <v>#REF!</v>
      </c>
      <c r="H218" s="56" t="e">
        <f>+'Proyectos Base digitable'!#REF!</f>
        <v>#REF!</v>
      </c>
      <c r="I218" s="56" t="e">
        <f>+'Proyectos Base digitable'!#REF!</f>
        <v>#REF!</v>
      </c>
      <c r="J218" s="56" t="e">
        <f>+'Proyectos Base digitable'!#REF!</f>
        <v>#REF!</v>
      </c>
      <c r="K218" s="56" t="e">
        <f>+'Proyectos Base digitable'!#REF!</f>
        <v>#REF!</v>
      </c>
      <c r="L218" s="56" t="e">
        <f>+'Proyectos Base digitable'!#REF!</f>
        <v>#REF!</v>
      </c>
      <c r="M218" s="56" t="e">
        <f>+'Proyectos Base digitable'!#REF!</f>
        <v>#REF!</v>
      </c>
      <c r="N218" s="52" t="e">
        <f>+'Proyectos Base digitable'!#REF!</f>
        <v>#REF!</v>
      </c>
      <c r="O218" s="52" t="e">
        <f>+'Proyectos Base digitable'!#REF!</f>
        <v>#REF!</v>
      </c>
      <c r="P218" s="185" t="e">
        <f>+'Proyectos Base digitable'!#REF!</f>
        <v>#REF!</v>
      </c>
      <c r="Q218" s="58" t="e">
        <f>+'Proyectos Base digitable'!#REF!</f>
        <v>#REF!</v>
      </c>
      <c r="R218" s="58" t="e">
        <f>+'Proyectos Base digitable'!#REF!</f>
        <v>#REF!</v>
      </c>
      <c r="S218" s="58" t="e">
        <f>+'Proyectos Base digitable'!#REF!</f>
        <v>#REF!</v>
      </c>
      <c r="T218" s="58" t="e">
        <f>+'Proyectos Base digitable'!#REF!</f>
        <v>#REF!</v>
      </c>
      <c r="U218" s="63" t="e">
        <f>'Proyectos Base digitable'!#REF!</f>
        <v>#REF!</v>
      </c>
      <c r="V218" s="63" t="e">
        <f>'Proyectos Base digitable'!#REF!</f>
        <v>#REF!</v>
      </c>
      <c r="W218" s="63" t="e">
        <f>'Proyectos Base digitable'!#REF!</f>
        <v>#REF!</v>
      </c>
      <c r="X218" s="63" t="e">
        <f>'Proyectos Base digitable'!#REF!</f>
        <v>#REF!</v>
      </c>
      <c r="Y218" s="63" t="e">
        <f>'Proyectos Base digitable'!#REF!</f>
        <v>#REF!</v>
      </c>
      <c r="Z218" s="58" t="e">
        <f>+'Proyectos Base digitable'!#REF!</f>
        <v>#REF!</v>
      </c>
      <c r="AA218" s="58" t="e">
        <f>+'Proyectos Base digitable'!#REF!</f>
        <v>#REF!</v>
      </c>
      <c r="AB218" s="63" t="e">
        <f>'Proyectos Base digitable'!#REF!</f>
        <v>#REF!</v>
      </c>
      <c r="AC218" s="56" t="e">
        <f>+'Proyectos Base digitable'!#REF!</f>
        <v>#REF!</v>
      </c>
      <c r="AD218" s="52" t="e">
        <f>+'Proyectos Base digitable'!#REF!</f>
        <v>#REF!</v>
      </c>
      <c r="AE218" s="52" t="e">
        <f>+'Proyectos Base digitable'!#REF!</f>
        <v>#REF!</v>
      </c>
      <c r="AF218" s="52" t="e">
        <f>+'Proyectos Base digitable'!#REF!</f>
        <v>#REF!</v>
      </c>
      <c r="AG218" s="56" t="e">
        <f>+'Proyectos Base digitable'!#REF!</f>
        <v>#REF!</v>
      </c>
      <c r="AH218" s="52" t="e">
        <f>+'Proyectos Base digitable'!#REF!</f>
        <v>#REF!</v>
      </c>
      <c r="AI218" s="52" t="e">
        <f>+'Proyectos Base digitable'!#REF!</f>
        <v>#REF!</v>
      </c>
      <c r="AJ218" s="59" t="e">
        <f>+'Proyectos Base digitable'!#REF!</f>
        <v>#REF!</v>
      </c>
      <c r="AK218" s="186" t="e">
        <f>+'Proyectos Base digitable'!#REF!</f>
        <v>#REF!</v>
      </c>
      <c r="AL218" s="186" t="e">
        <f>+'Proyectos Base digitable'!#REF!</f>
        <v>#REF!</v>
      </c>
      <c r="AM218" s="186" t="e">
        <f>+'Proyectos Base digitable'!#REF!</f>
        <v>#REF!</v>
      </c>
      <c r="AN218" s="186" t="e">
        <f>+'Proyectos Base digitable'!#REF!</f>
        <v>#REF!</v>
      </c>
      <c r="AO218" s="186" t="e">
        <f>+'Proyectos Base digitable'!#REF!</f>
        <v>#REF!</v>
      </c>
      <c r="AP218" s="186" t="e">
        <f>+'Proyectos Base digitable'!#REF!</f>
        <v>#REF!</v>
      </c>
      <c r="AQ218" s="186" t="e">
        <f>+'Proyectos Base digitable'!#REF!</f>
        <v>#REF!</v>
      </c>
      <c r="AR218" s="186" t="e">
        <f>+'Proyectos Base digitable'!#REF!</f>
        <v>#REF!</v>
      </c>
      <c r="AS218" s="186" t="e">
        <f>+'Proyectos Base digitable'!#REF!</f>
        <v>#REF!</v>
      </c>
      <c r="AT218" s="187" t="e">
        <f>+'Proyectos Base digitable'!#REF!</f>
        <v>#REF!</v>
      </c>
      <c r="AU218" s="56" t="e">
        <f>+'Proyectos Base digitable'!#REF!</f>
        <v>#REF!</v>
      </c>
      <c r="AV218" s="56" t="e">
        <f>+'Proyectos Base digitable'!#REF!</f>
        <v>#REF!</v>
      </c>
      <c r="AW218" s="56" t="e">
        <f>+'Proyectos Base digitable'!#REF!</f>
        <v>#REF!</v>
      </c>
      <c r="AX218" s="56" t="e">
        <f>+'Proyectos Base digitable'!#REF!</f>
        <v>#REF!</v>
      </c>
      <c r="AY218" s="56" t="e">
        <f>+'Proyectos Base digitable'!#REF!</f>
        <v>#REF!</v>
      </c>
      <c r="AZ218" s="188" t="e">
        <f>+'Proyectos Base digitable'!#REF!</f>
        <v>#REF!</v>
      </c>
      <c r="BA218" s="188" t="e">
        <f>+'Proyectos Base digitable'!#REF!</f>
        <v>#REF!</v>
      </c>
    </row>
    <row r="219" spans="1:53" ht="12.5">
      <c r="A219" s="60" t="e">
        <f>+'Proyectos Base digitable'!#REF!</f>
        <v>#REF!</v>
      </c>
      <c r="B219" s="56" t="e">
        <f>+'Proyectos Base digitable'!#REF!</f>
        <v>#REF!</v>
      </c>
      <c r="C219" s="56" t="e">
        <f>+'Proyectos Base digitable'!#REF!</f>
        <v>#REF!</v>
      </c>
      <c r="D219" s="56" t="e">
        <f>+'Proyectos Base digitable'!#REF!</f>
        <v>#REF!</v>
      </c>
      <c r="E219" s="56" t="e">
        <f>+'Proyectos Base digitable'!#REF!</f>
        <v>#REF!</v>
      </c>
      <c r="F219" s="56" t="e">
        <f>+'Proyectos Base digitable'!#REF!</f>
        <v>#REF!</v>
      </c>
      <c r="G219" s="57" t="e">
        <f>+'Proyectos Base digitable'!#REF!</f>
        <v>#REF!</v>
      </c>
      <c r="H219" s="56" t="e">
        <f>+'Proyectos Base digitable'!#REF!</f>
        <v>#REF!</v>
      </c>
      <c r="I219" s="56" t="e">
        <f>+'Proyectos Base digitable'!#REF!</f>
        <v>#REF!</v>
      </c>
      <c r="J219" s="56" t="e">
        <f>+'Proyectos Base digitable'!#REF!</f>
        <v>#REF!</v>
      </c>
      <c r="K219" s="56" t="e">
        <f>+'Proyectos Base digitable'!#REF!</f>
        <v>#REF!</v>
      </c>
      <c r="L219" s="56" t="e">
        <f>+'Proyectos Base digitable'!#REF!</f>
        <v>#REF!</v>
      </c>
      <c r="M219" s="56" t="e">
        <f>+'Proyectos Base digitable'!#REF!</f>
        <v>#REF!</v>
      </c>
      <c r="N219" s="52" t="e">
        <f>+'Proyectos Base digitable'!#REF!</f>
        <v>#REF!</v>
      </c>
      <c r="O219" s="52" t="e">
        <f>+'Proyectos Base digitable'!#REF!</f>
        <v>#REF!</v>
      </c>
      <c r="P219" s="185" t="e">
        <f>+'Proyectos Base digitable'!#REF!</f>
        <v>#REF!</v>
      </c>
      <c r="Q219" s="58" t="e">
        <f>+'Proyectos Base digitable'!#REF!</f>
        <v>#REF!</v>
      </c>
      <c r="R219" s="58" t="e">
        <f>+'Proyectos Base digitable'!#REF!</f>
        <v>#REF!</v>
      </c>
      <c r="S219" s="58" t="e">
        <f>+'Proyectos Base digitable'!#REF!</f>
        <v>#REF!</v>
      </c>
      <c r="T219" s="58" t="e">
        <f>+'Proyectos Base digitable'!#REF!</f>
        <v>#REF!</v>
      </c>
      <c r="U219" s="63" t="e">
        <f>'Proyectos Base digitable'!#REF!</f>
        <v>#REF!</v>
      </c>
      <c r="V219" s="63" t="e">
        <f>'Proyectos Base digitable'!#REF!</f>
        <v>#REF!</v>
      </c>
      <c r="W219" s="63" t="e">
        <f>'Proyectos Base digitable'!#REF!</f>
        <v>#REF!</v>
      </c>
      <c r="X219" s="63" t="e">
        <f>'Proyectos Base digitable'!#REF!</f>
        <v>#REF!</v>
      </c>
      <c r="Y219" s="63" t="e">
        <f>'Proyectos Base digitable'!#REF!</f>
        <v>#REF!</v>
      </c>
      <c r="Z219" s="58" t="e">
        <f>+'Proyectos Base digitable'!#REF!</f>
        <v>#REF!</v>
      </c>
      <c r="AA219" s="58" t="e">
        <f>+'Proyectos Base digitable'!#REF!</f>
        <v>#REF!</v>
      </c>
      <c r="AB219" s="63" t="e">
        <f>'Proyectos Base digitable'!#REF!</f>
        <v>#REF!</v>
      </c>
      <c r="AC219" s="56" t="e">
        <f>+'Proyectos Base digitable'!#REF!</f>
        <v>#REF!</v>
      </c>
      <c r="AD219" s="52" t="e">
        <f>+'Proyectos Base digitable'!#REF!</f>
        <v>#REF!</v>
      </c>
      <c r="AE219" s="52" t="e">
        <f>+'Proyectos Base digitable'!#REF!</f>
        <v>#REF!</v>
      </c>
      <c r="AF219" s="52" t="e">
        <f>+'Proyectos Base digitable'!#REF!</f>
        <v>#REF!</v>
      </c>
      <c r="AG219" s="56" t="e">
        <f>+'Proyectos Base digitable'!#REF!</f>
        <v>#REF!</v>
      </c>
      <c r="AH219" s="52" t="e">
        <f>+'Proyectos Base digitable'!#REF!</f>
        <v>#REF!</v>
      </c>
      <c r="AI219" s="52" t="e">
        <f>+'Proyectos Base digitable'!#REF!</f>
        <v>#REF!</v>
      </c>
      <c r="AJ219" s="59" t="e">
        <f>+'Proyectos Base digitable'!#REF!</f>
        <v>#REF!</v>
      </c>
      <c r="AK219" s="186" t="e">
        <f>+'Proyectos Base digitable'!#REF!</f>
        <v>#REF!</v>
      </c>
      <c r="AL219" s="186" t="e">
        <f>+'Proyectos Base digitable'!#REF!</f>
        <v>#REF!</v>
      </c>
      <c r="AM219" s="186" t="e">
        <f>+'Proyectos Base digitable'!#REF!</f>
        <v>#REF!</v>
      </c>
      <c r="AN219" s="186" t="e">
        <f>+'Proyectos Base digitable'!#REF!</f>
        <v>#REF!</v>
      </c>
      <c r="AO219" s="186" t="e">
        <f>+'Proyectos Base digitable'!#REF!</f>
        <v>#REF!</v>
      </c>
      <c r="AP219" s="186" t="e">
        <f>+'Proyectos Base digitable'!#REF!</f>
        <v>#REF!</v>
      </c>
      <c r="AQ219" s="186" t="e">
        <f>+'Proyectos Base digitable'!#REF!</f>
        <v>#REF!</v>
      </c>
      <c r="AR219" s="186" t="e">
        <f>+'Proyectos Base digitable'!#REF!</f>
        <v>#REF!</v>
      </c>
      <c r="AS219" s="186" t="e">
        <f>+'Proyectos Base digitable'!#REF!</f>
        <v>#REF!</v>
      </c>
      <c r="AT219" s="187" t="e">
        <f>+'Proyectos Base digitable'!#REF!</f>
        <v>#REF!</v>
      </c>
      <c r="AU219" s="56" t="e">
        <f>+'Proyectos Base digitable'!#REF!</f>
        <v>#REF!</v>
      </c>
      <c r="AV219" s="56" t="e">
        <f>+'Proyectos Base digitable'!#REF!</f>
        <v>#REF!</v>
      </c>
      <c r="AW219" s="56" t="e">
        <f>+'Proyectos Base digitable'!#REF!</f>
        <v>#REF!</v>
      </c>
      <c r="AX219" s="56" t="e">
        <f>+'Proyectos Base digitable'!#REF!</f>
        <v>#REF!</v>
      </c>
      <c r="AY219" s="56" t="e">
        <f>+'Proyectos Base digitable'!#REF!</f>
        <v>#REF!</v>
      </c>
      <c r="AZ219" s="188" t="e">
        <f>+'Proyectos Base digitable'!#REF!</f>
        <v>#REF!</v>
      </c>
      <c r="BA219" s="188" t="e">
        <f>+'Proyectos Base digitable'!#REF!</f>
        <v>#REF!</v>
      </c>
    </row>
    <row r="220" spans="1:53" ht="12.5">
      <c r="A220" s="60" t="e">
        <f>+'Proyectos Base digitable'!#REF!</f>
        <v>#REF!</v>
      </c>
      <c r="B220" s="56" t="e">
        <f>+'Proyectos Base digitable'!#REF!</f>
        <v>#REF!</v>
      </c>
      <c r="C220" s="56" t="e">
        <f>+'Proyectos Base digitable'!#REF!</f>
        <v>#REF!</v>
      </c>
      <c r="D220" s="56" t="e">
        <f>+'Proyectos Base digitable'!#REF!</f>
        <v>#REF!</v>
      </c>
      <c r="E220" s="56" t="e">
        <f>+'Proyectos Base digitable'!#REF!</f>
        <v>#REF!</v>
      </c>
      <c r="F220" s="56" t="e">
        <f>+'Proyectos Base digitable'!#REF!</f>
        <v>#REF!</v>
      </c>
      <c r="G220" s="57" t="e">
        <f>+'Proyectos Base digitable'!#REF!</f>
        <v>#REF!</v>
      </c>
      <c r="H220" s="56" t="e">
        <f>+'Proyectos Base digitable'!#REF!</f>
        <v>#REF!</v>
      </c>
      <c r="I220" s="56" t="e">
        <f>+'Proyectos Base digitable'!#REF!</f>
        <v>#REF!</v>
      </c>
      <c r="J220" s="56" t="e">
        <f>+'Proyectos Base digitable'!#REF!</f>
        <v>#REF!</v>
      </c>
      <c r="K220" s="56" t="e">
        <f>+'Proyectos Base digitable'!#REF!</f>
        <v>#REF!</v>
      </c>
      <c r="L220" s="56" t="e">
        <f>+'Proyectos Base digitable'!#REF!</f>
        <v>#REF!</v>
      </c>
      <c r="M220" s="56" t="e">
        <f>+'Proyectos Base digitable'!#REF!</f>
        <v>#REF!</v>
      </c>
      <c r="N220" s="52" t="e">
        <f>+'Proyectos Base digitable'!#REF!</f>
        <v>#REF!</v>
      </c>
      <c r="O220" s="52" t="e">
        <f>+'Proyectos Base digitable'!#REF!</f>
        <v>#REF!</v>
      </c>
      <c r="P220" s="185" t="e">
        <f>+'Proyectos Base digitable'!#REF!</f>
        <v>#REF!</v>
      </c>
      <c r="Q220" s="58" t="e">
        <f>+'Proyectos Base digitable'!#REF!</f>
        <v>#REF!</v>
      </c>
      <c r="R220" s="58" t="e">
        <f>+'Proyectos Base digitable'!#REF!</f>
        <v>#REF!</v>
      </c>
      <c r="S220" s="58" t="e">
        <f>+'Proyectos Base digitable'!#REF!</f>
        <v>#REF!</v>
      </c>
      <c r="T220" s="58" t="e">
        <f>+'Proyectos Base digitable'!#REF!</f>
        <v>#REF!</v>
      </c>
      <c r="U220" s="63" t="e">
        <f>'Proyectos Base digitable'!#REF!</f>
        <v>#REF!</v>
      </c>
      <c r="V220" s="63" t="e">
        <f>'Proyectos Base digitable'!#REF!</f>
        <v>#REF!</v>
      </c>
      <c r="W220" s="63" t="e">
        <f>'Proyectos Base digitable'!#REF!</f>
        <v>#REF!</v>
      </c>
      <c r="X220" s="63" t="e">
        <f>'Proyectos Base digitable'!#REF!</f>
        <v>#REF!</v>
      </c>
      <c r="Y220" s="63" t="e">
        <f>'Proyectos Base digitable'!#REF!</f>
        <v>#REF!</v>
      </c>
      <c r="Z220" s="58" t="e">
        <f>+'Proyectos Base digitable'!#REF!</f>
        <v>#REF!</v>
      </c>
      <c r="AA220" s="58" t="e">
        <f>+'Proyectos Base digitable'!#REF!</f>
        <v>#REF!</v>
      </c>
      <c r="AB220" s="63" t="e">
        <f>'Proyectos Base digitable'!#REF!</f>
        <v>#REF!</v>
      </c>
      <c r="AC220" s="56" t="e">
        <f>+'Proyectos Base digitable'!#REF!</f>
        <v>#REF!</v>
      </c>
      <c r="AD220" s="52" t="e">
        <f>+'Proyectos Base digitable'!#REF!</f>
        <v>#REF!</v>
      </c>
      <c r="AE220" s="52" t="e">
        <f>+'Proyectos Base digitable'!#REF!</f>
        <v>#REF!</v>
      </c>
      <c r="AF220" s="52" t="e">
        <f>+'Proyectos Base digitable'!#REF!</f>
        <v>#REF!</v>
      </c>
      <c r="AG220" s="56" t="e">
        <f>+'Proyectos Base digitable'!#REF!</f>
        <v>#REF!</v>
      </c>
      <c r="AH220" s="52" t="e">
        <f>+'Proyectos Base digitable'!#REF!</f>
        <v>#REF!</v>
      </c>
      <c r="AI220" s="52" t="e">
        <f>+'Proyectos Base digitable'!#REF!</f>
        <v>#REF!</v>
      </c>
      <c r="AJ220" s="59" t="e">
        <f>+'Proyectos Base digitable'!#REF!</f>
        <v>#REF!</v>
      </c>
      <c r="AK220" s="186" t="e">
        <f>+'Proyectos Base digitable'!#REF!</f>
        <v>#REF!</v>
      </c>
      <c r="AL220" s="186" t="e">
        <f>+'Proyectos Base digitable'!#REF!</f>
        <v>#REF!</v>
      </c>
      <c r="AM220" s="186" t="e">
        <f>+'Proyectos Base digitable'!#REF!</f>
        <v>#REF!</v>
      </c>
      <c r="AN220" s="186" t="e">
        <f>+'Proyectos Base digitable'!#REF!</f>
        <v>#REF!</v>
      </c>
      <c r="AO220" s="186" t="e">
        <f>+'Proyectos Base digitable'!#REF!</f>
        <v>#REF!</v>
      </c>
      <c r="AP220" s="186" t="e">
        <f>+'Proyectos Base digitable'!#REF!</f>
        <v>#REF!</v>
      </c>
      <c r="AQ220" s="186" t="e">
        <f>+'Proyectos Base digitable'!#REF!</f>
        <v>#REF!</v>
      </c>
      <c r="AR220" s="186" t="e">
        <f>+'Proyectos Base digitable'!#REF!</f>
        <v>#REF!</v>
      </c>
      <c r="AS220" s="186" t="e">
        <f>+'Proyectos Base digitable'!#REF!</f>
        <v>#REF!</v>
      </c>
      <c r="AT220" s="187" t="e">
        <f>+'Proyectos Base digitable'!#REF!</f>
        <v>#REF!</v>
      </c>
      <c r="AU220" s="56" t="e">
        <f>+'Proyectos Base digitable'!#REF!</f>
        <v>#REF!</v>
      </c>
      <c r="AV220" s="56" t="e">
        <f>+'Proyectos Base digitable'!#REF!</f>
        <v>#REF!</v>
      </c>
      <c r="AW220" s="56" t="e">
        <f>+'Proyectos Base digitable'!#REF!</f>
        <v>#REF!</v>
      </c>
      <c r="AX220" s="56" t="e">
        <f>+'Proyectos Base digitable'!#REF!</f>
        <v>#REF!</v>
      </c>
      <c r="AY220" s="56" t="e">
        <f>+'Proyectos Base digitable'!#REF!</f>
        <v>#REF!</v>
      </c>
      <c r="AZ220" s="188" t="e">
        <f>+'Proyectos Base digitable'!#REF!</f>
        <v>#REF!</v>
      </c>
      <c r="BA220" s="188" t="e">
        <f>+'Proyectos Base digitable'!#REF!</f>
        <v>#REF!</v>
      </c>
    </row>
    <row r="221" spans="1:53" ht="12.5">
      <c r="A221" s="60" t="e">
        <f>+'Proyectos Base digitable'!#REF!</f>
        <v>#REF!</v>
      </c>
      <c r="B221" s="56" t="e">
        <f>+'Proyectos Base digitable'!#REF!</f>
        <v>#REF!</v>
      </c>
      <c r="C221" s="56" t="e">
        <f>+'Proyectos Base digitable'!#REF!</f>
        <v>#REF!</v>
      </c>
      <c r="D221" s="56" t="e">
        <f>+'Proyectos Base digitable'!#REF!</f>
        <v>#REF!</v>
      </c>
      <c r="E221" s="56" t="e">
        <f>+'Proyectos Base digitable'!#REF!</f>
        <v>#REF!</v>
      </c>
      <c r="F221" s="56" t="e">
        <f>+'Proyectos Base digitable'!#REF!</f>
        <v>#REF!</v>
      </c>
      <c r="G221" s="57" t="e">
        <f>+'Proyectos Base digitable'!#REF!</f>
        <v>#REF!</v>
      </c>
      <c r="H221" s="56" t="e">
        <f>+'Proyectos Base digitable'!#REF!</f>
        <v>#REF!</v>
      </c>
      <c r="I221" s="56" t="e">
        <f>+'Proyectos Base digitable'!#REF!</f>
        <v>#REF!</v>
      </c>
      <c r="J221" s="56" t="e">
        <f>+'Proyectos Base digitable'!#REF!</f>
        <v>#REF!</v>
      </c>
      <c r="K221" s="56" t="e">
        <f>+'Proyectos Base digitable'!#REF!</f>
        <v>#REF!</v>
      </c>
      <c r="L221" s="56" t="e">
        <f>+'Proyectos Base digitable'!#REF!</f>
        <v>#REF!</v>
      </c>
      <c r="M221" s="56" t="e">
        <f>+'Proyectos Base digitable'!#REF!</f>
        <v>#REF!</v>
      </c>
      <c r="N221" s="52" t="e">
        <f>+'Proyectos Base digitable'!#REF!</f>
        <v>#REF!</v>
      </c>
      <c r="O221" s="52" t="e">
        <f>+'Proyectos Base digitable'!#REF!</f>
        <v>#REF!</v>
      </c>
      <c r="P221" s="185" t="e">
        <f>+'Proyectos Base digitable'!#REF!</f>
        <v>#REF!</v>
      </c>
      <c r="Q221" s="58" t="e">
        <f>+'Proyectos Base digitable'!#REF!</f>
        <v>#REF!</v>
      </c>
      <c r="R221" s="58" t="e">
        <f>+'Proyectos Base digitable'!#REF!</f>
        <v>#REF!</v>
      </c>
      <c r="S221" s="58" t="e">
        <f>+'Proyectos Base digitable'!#REF!</f>
        <v>#REF!</v>
      </c>
      <c r="T221" s="58" t="e">
        <f>+'Proyectos Base digitable'!#REF!</f>
        <v>#REF!</v>
      </c>
      <c r="U221" s="63" t="e">
        <f>'Proyectos Base digitable'!#REF!</f>
        <v>#REF!</v>
      </c>
      <c r="V221" s="63" t="e">
        <f>'Proyectos Base digitable'!#REF!</f>
        <v>#REF!</v>
      </c>
      <c r="W221" s="63" t="e">
        <f>'Proyectos Base digitable'!#REF!</f>
        <v>#REF!</v>
      </c>
      <c r="X221" s="63" t="e">
        <f>'Proyectos Base digitable'!#REF!</f>
        <v>#REF!</v>
      </c>
      <c r="Y221" s="63" t="e">
        <f>'Proyectos Base digitable'!#REF!</f>
        <v>#REF!</v>
      </c>
      <c r="Z221" s="58" t="e">
        <f>+'Proyectos Base digitable'!#REF!</f>
        <v>#REF!</v>
      </c>
      <c r="AA221" s="58" t="e">
        <f>+'Proyectos Base digitable'!#REF!</f>
        <v>#REF!</v>
      </c>
      <c r="AB221" s="63" t="e">
        <f>'Proyectos Base digitable'!#REF!</f>
        <v>#REF!</v>
      </c>
      <c r="AC221" s="56" t="e">
        <f>+'Proyectos Base digitable'!#REF!</f>
        <v>#REF!</v>
      </c>
      <c r="AD221" s="52" t="e">
        <f>+'Proyectos Base digitable'!#REF!</f>
        <v>#REF!</v>
      </c>
      <c r="AE221" s="52" t="e">
        <f>+'Proyectos Base digitable'!#REF!</f>
        <v>#REF!</v>
      </c>
      <c r="AF221" s="52" t="e">
        <f>+'Proyectos Base digitable'!#REF!</f>
        <v>#REF!</v>
      </c>
      <c r="AG221" s="56" t="e">
        <f>+'Proyectos Base digitable'!#REF!</f>
        <v>#REF!</v>
      </c>
      <c r="AH221" s="52" t="e">
        <f>+'Proyectos Base digitable'!#REF!</f>
        <v>#REF!</v>
      </c>
      <c r="AI221" s="52" t="e">
        <f>+'Proyectos Base digitable'!#REF!</f>
        <v>#REF!</v>
      </c>
      <c r="AJ221" s="59" t="e">
        <f>+'Proyectos Base digitable'!#REF!</f>
        <v>#REF!</v>
      </c>
      <c r="AK221" s="186" t="e">
        <f>+'Proyectos Base digitable'!#REF!</f>
        <v>#REF!</v>
      </c>
      <c r="AL221" s="186" t="e">
        <f>+'Proyectos Base digitable'!#REF!</f>
        <v>#REF!</v>
      </c>
      <c r="AM221" s="186" t="e">
        <f>+'Proyectos Base digitable'!#REF!</f>
        <v>#REF!</v>
      </c>
      <c r="AN221" s="186" t="e">
        <f>+'Proyectos Base digitable'!#REF!</f>
        <v>#REF!</v>
      </c>
      <c r="AO221" s="186" t="e">
        <f>+'Proyectos Base digitable'!#REF!</f>
        <v>#REF!</v>
      </c>
      <c r="AP221" s="186" t="e">
        <f>+'Proyectos Base digitable'!#REF!</f>
        <v>#REF!</v>
      </c>
      <c r="AQ221" s="186" t="e">
        <f>+'Proyectos Base digitable'!#REF!</f>
        <v>#REF!</v>
      </c>
      <c r="AR221" s="186" t="e">
        <f>+'Proyectos Base digitable'!#REF!</f>
        <v>#REF!</v>
      </c>
      <c r="AS221" s="186" t="e">
        <f>+'Proyectos Base digitable'!#REF!</f>
        <v>#REF!</v>
      </c>
      <c r="AT221" s="187" t="e">
        <f>+'Proyectos Base digitable'!#REF!</f>
        <v>#REF!</v>
      </c>
      <c r="AU221" s="56" t="e">
        <f>+'Proyectos Base digitable'!#REF!</f>
        <v>#REF!</v>
      </c>
      <c r="AV221" s="56" t="e">
        <f>+'Proyectos Base digitable'!#REF!</f>
        <v>#REF!</v>
      </c>
      <c r="AW221" s="56" t="e">
        <f>+'Proyectos Base digitable'!#REF!</f>
        <v>#REF!</v>
      </c>
      <c r="AX221" s="56" t="e">
        <f>+'Proyectos Base digitable'!#REF!</f>
        <v>#REF!</v>
      </c>
      <c r="AY221" s="56" t="e">
        <f>+'Proyectos Base digitable'!#REF!</f>
        <v>#REF!</v>
      </c>
      <c r="AZ221" s="188" t="e">
        <f>+'Proyectos Base digitable'!#REF!</f>
        <v>#REF!</v>
      </c>
      <c r="BA221" s="188" t="e">
        <f>+'Proyectos Base digitable'!#REF!</f>
        <v>#REF!</v>
      </c>
    </row>
    <row r="222" spans="1:53" ht="12.5">
      <c r="A222" s="60" t="e">
        <f>+'Proyectos Base digitable'!#REF!</f>
        <v>#REF!</v>
      </c>
      <c r="B222" s="56" t="e">
        <f>+'Proyectos Base digitable'!#REF!</f>
        <v>#REF!</v>
      </c>
      <c r="C222" s="56" t="e">
        <f>+'Proyectos Base digitable'!#REF!</f>
        <v>#REF!</v>
      </c>
      <c r="D222" s="56" t="e">
        <f>+'Proyectos Base digitable'!#REF!</f>
        <v>#REF!</v>
      </c>
      <c r="E222" s="56" t="e">
        <f>+'Proyectos Base digitable'!#REF!</f>
        <v>#REF!</v>
      </c>
      <c r="F222" s="56" t="e">
        <f>+'Proyectos Base digitable'!#REF!</f>
        <v>#REF!</v>
      </c>
      <c r="G222" s="57" t="e">
        <f>+'Proyectos Base digitable'!#REF!</f>
        <v>#REF!</v>
      </c>
      <c r="H222" s="56" t="e">
        <f>+'Proyectos Base digitable'!#REF!</f>
        <v>#REF!</v>
      </c>
      <c r="I222" s="56" t="e">
        <f>+'Proyectos Base digitable'!#REF!</f>
        <v>#REF!</v>
      </c>
      <c r="J222" s="56" t="e">
        <f>+'Proyectos Base digitable'!#REF!</f>
        <v>#REF!</v>
      </c>
      <c r="K222" s="56" t="e">
        <f>+'Proyectos Base digitable'!#REF!</f>
        <v>#REF!</v>
      </c>
      <c r="L222" s="56" t="e">
        <f>+'Proyectos Base digitable'!#REF!</f>
        <v>#REF!</v>
      </c>
      <c r="M222" s="56" t="e">
        <f>+'Proyectos Base digitable'!#REF!</f>
        <v>#REF!</v>
      </c>
      <c r="N222" s="52" t="e">
        <f>+'Proyectos Base digitable'!#REF!</f>
        <v>#REF!</v>
      </c>
      <c r="O222" s="52" t="e">
        <f>+'Proyectos Base digitable'!#REF!</f>
        <v>#REF!</v>
      </c>
      <c r="P222" s="185" t="e">
        <f>+'Proyectos Base digitable'!#REF!</f>
        <v>#REF!</v>
      </c>
      <c r="Q222" s="58" t="e">
        <f>+'Proyectos Base digitable'!#REF!</f>
        <v>#REF!</v>
      </c>
      <c r="R222" s="58" t="e">
        <f>+'Proyectos Base digitable'!#REF!</f>
        <v>#REF!</v>
      </c>
      <c r="S222" s="58" t="e">
        <f>+'Proyectos Base digitable'!#REF!</f>
        <v>#REF!</v>
      </c>
      <c r="T222" s="58" t="e">
        <f>+'Proyectos Base digitable'!#REF!</f>
        <v>#REF!</v>
      </c>
      <c r="U222" s="63" t="e">
        <f>'Proyectos Base digitable'!#REF!</f>
        <v>#REF!</v>
      </c>
      <c r="V222" s="63" t="e">
        <f>'Proyectos Base digitable'!#REF!</f>
        <v>#REF!</v>
      </c>
      <c r="W222" s="63" t="e">
        <f>'Proyectos Base digitable'!#REF!</f>
        <v>#REF!</v>
      </c>
      <c r="X222" s="63" t="e">
        <f>'Proyectos Base digitable'!#REF!</f>
        <v>#REF!</v>
      </c>
      <c r="Y222" s="63" t="e">
        <f>'Proyectos Base digitable'!#REF!</f>
        <v>#REF!</v>
      </c>
      <c r="Z222" s="58" t="e">
        <f>+'Proyectos Base digitable'!#REF!</f>
        <v>#REF!</v>
      </c>
      <c r="AA222" s="58" t="e">
        <f>+'Proyectos Base digitable'!#REF!</f>
        <v>#REF!</v>
      </c>
      <c r="AB222" s="63" t="e">
        <f>'Proyectos Base digitable'!#REF!</f>
        <v>#REF!</v>
      </c>
      <c r="AC222" s="56" t="e">
        <f>+'Proyectos Base digitable'!#REF!</f>
        <v>#REF!</v>
      </c>
      <c r="AD222" s="52" t="e">
        <f>+'Proyectos Base digitable'!#REF!</f>
        <v>#REF!</v>
      </c>
      <c r="AE222" s="52" t="e">
        <f>+'Proyectos Base digitable'!#REF!</f>
        <v>#REF!</v>
      </c>
      <c r="AF222" s="52" t="e">
        <f>+'Proyectos Base digitable'!#REF!</f>
        <v>#REF!</v>
      </c>
      <c r="AG222" s="56" t="e">
        <f>+'Proyectos Base digitable'!#REF!</f>
        <v>#REF!</v>
      </c>
      <c r="AH222" s="52" t="e">
        <f>+'Proyectos Base digitable'!#REF!</f>
        <v>#REF!</v>
      </c>
      <c r="AI222" s="52" t="e">
        <f>+'Proyectos Base digitable'!#REF!</f>
        <v>#REF!</v>
      </c>
      <c r="AJ222" s="59" t="e">
        <f>+'Proyectos Base digitable'!#REF!</f>
        <v>#REF!</v>
      </c>
      <c r="AK222" s="186" t="e">
        <f>+'Proyectos Base digitable'!#REF!</f>
        <v>#REF!</v>
      </c>
      <c r="AL222" s="186" t="e">
        <f>+'Proyectos Base digitable'!#REF!</f>
        <v>#REF!</v>
      </c>
      <c r="AM222" s="186" t="e">
        <f>+'Proyectos Base digitable'!#REF!</f>
        <v>#REF!</v>
      </c>
      <c r="AN222" s="186" t="e">
        <f>+'Proyectos Base digitable'!#REF!</f>
        <v>#REF!</v>
      </c>
      <c r="AO222" s="186" t="e">
        <f>+'Proyectos Base digitable'!#REF!</f>
        <v>#REF!</v>
      </c>
      <c r="AP222" s="186" t="e">
        <f>+'Proyectos Base digitable'!#REF!</f>
        <v>#REF!</v>
      </c>
      <c r="AQ222" s="186" t="e">
        <f>+'Proyectos Base digitable'!#REF!</f>
        <v>#REF!</v>
      </c>
      <c r="AR222" s="186" t="e">
        <f>+'Proyectos Base digitable'!#REF!</f>
        <v>#REF!</v>
      </c>
      <c r="AS222" s="186" t="e">
        <f>+'Proyectos Base digitable'!#REF!</f>
        <v>#REF!</v>
      </c>
      <c r="AT222" s="187" t="e">
        <f>+'Proyectos Base digitable'!#REF!</f>
        <v>#REF!</v>
      </c>
      <c r="AU222" s="56" t="e">
        <f>+'Proyectos Base digitable'!#REF!</f>
        <v>#REF!</v>
      </c>
      <c r="AV222" s="56" t="e">
        <f>+'Proyectos Base digitable'!#REF!</f>
        <v>#REF!</v>
      </c>
      <c r="AW222" s="56" t="e">
        <f>+'Proyectos Base digitable'!#REF!</f>
        <v>#REF!</v>
      </c>
      <c r="AX222" s="56" t="e">
        <f>+'Proyectos Base digitable'!#REF!</f>
        <v>#REF!</v>
      </c>
      <c r="AY222" s="56" t="e">
        <f>+'Proyectos Base digitable'!#REF!</f>
        <v>#REF!</v>
      </c>
      <c r="AZ222" s="188" t="e">
        <f>+'Proyectos Base digitable'!#REF!</f>
        <v>#REF!</v>
      </c>
      <c r="BA222" s="188" t="e">
        <f>+'Proyectos Base digitable'!#REF!</f>
        <v>#REF!</v>
      </c>
    </row>
    <row r="223" spans="1:53" ht="12.5">
      <c r="A223" s="60" t="e">
        <f>+'Proyectos Base digitable'!#REF!</f>
        <v>#REF!</v>
      </c>
      <c r="B223" s="56" t="e">
        <f>+'Proyectos Base digitable'!#REF!</f>
        <v>#REF!</v>
      </c>
      <c r="C223" s="56" t="e">
        <f>+'Proyectos Base digitable'!#REF!</f>
        <v>#REF!</v>
      </c>
      <c r="D223" s="56" t="e">
        <f>+'Proyectos Base digitable'!#REF!</f>
        <v>#REF!</v>
      </c>
      <c r="E223" s="56" t="e">
        <f>+'Proyectos Base digitable'!#REF!</f>
        <v>#REF!</v>
      </c>
      <c r="F223" s="56" t="e">
        <f>+'Proyectos Base digitable'!#REF!</f>
        <v>#REF!</v>
      </c>
      <c r="G223" s="57" t="e">
        <f>+'Proyectos Base digitable'!#REF!</f>
        <v>#REF!</v>
      </c>
      <c r="H223" s="56" t="e">
        <f>+'Proyectos Base digitable'!#REF!</f>
        <v>#REF!</v>
      </c>
      <c r="I223" s="56" t="e">
        <f>+'Proyectos Base digitable'!#REF!</f>
        <v>#REF!</v>
      </c>
      <c r="J223" s="56" t="e">
        <f>+'Proyectos Base digitable'!#REF!</f>
        <v>#REF!</v>
      </c>
      <c r="K223" s="56" t="e">
        <f>+'Proyectos Base digitable'!#REF!</f>
        <v>#REF!</v>
      </c>
      <c r="L223" s="56" t="e">
        <f>+'Proyectos Base digitable'!#REF!</f>
        <v>#REF!</v>
      </c>
      <c r="M223" s="56" t="e">
        <f>+'Proyectos Base digitable'!#REF!</f>
        <v>#REF!</v>
      </c>
      <c r="N223" s="52" t="e">
        <f>+'Proyectos Base digitable'!#REF!</f>
        <v>#REF!</v>
      </c>
      <c r="O223" s="52" t="e">
        <f>+'Proyectos Base digitable'!#REF!</f>
        <v>#REF!</v>
      </c>
      <c r="P223" s="185" t="e">
        <f>+'Proyectos Base digitable'!#REF!</f>
        <v>#REF!</v>
      </c>
      <c r="Q223" s="58" t="e">
        <f>+'Proyectos Base digitable'!#REF!</f>
        <v>#REF!</v>
      </c>
      <c r="R223" s="58" t="e">
        <f>+'Proyectos Base digitable'!#REF!</f>
        <v>#REF!</v>
      </c>
      <c r="S223" s="58" t="e">
        <f>+'Proyectos Base digitable'!#REF!</f>
        <v>#REF!</v>
      </c>
      <c r="T223" s="58" t="e">
        <f>+'Proyectos Base digitable'!#REF!</f>
        <v>#REF!</v>
      </c>
      <c r="U223" s="63" t="e">
        <f>'Proyectos Base digitable'!#REF!</f>
        <v>#REF!</v>
      </c>
      <c r="V223" s="63" t="e">
        <f>'Proyectos Base digitable'!#REF!</f>
        <v>#REF!</v>
      </c>
      <c r="W223" s="63" t="e">
        <f>'Proyectos Base digitable'!#REF!</f>
        <v>#REF!</v>
      </c>
      <c r="X223" s="63" t="e">
        <f>'Proyectos Base digitable'!#REF!</f>
        <v>#REF!</v>
      </c>
      <c r="Y223" s="63" t="e">
        <f>'Proyectos Base digitable'!#REF!</f>
        <v>#REF!</v>
      </c>
      <c r="Z223" s="58" t="e">
        <f>+'Proyectos Base digitable'!#REF!</f>
        <v>#REF!</v>
      </c>
      <c r="AA223" s="58" t="e">
        <f>+'Proyectos Base digitable'!#REF!</f>
        <v>#REF!</v>
      </c>
      <c r="AB223" s="63" t="e">
        <f>'Proyectos Base digitable'!#REF!</f>
        <v>#REF!</v>
      </c>
      <c r="AC223" s="56" t="e">
        <f>+'Proyectos Base digitable'!#REF!</f>
        <v>#REF!</v>
      </c>
      <c r="AD223" s="52" t="e">
        <f>+'Proyectos Base digitable'!#REF!</f>
        <v>#REF!</v>
      </c>
      <c r="AE223" s="52" t="e">
        <f>+'Proyectos Base digitable'!#REF!</f>
        <v>#REF!</v>
      </c>
      <c r="AF223" s="52" t="e">
        <f>+'Proyectos Base digitable'!#REF!</f>
        <v>#REF!</v>
      </c>
      <c r="AG223" s="56" t="e">
        <f>+'Proyectos Base digitable'!#REF!</f>
        <v>#REF!</v>
      </c>
      <c r="AH223" s="52" t="e">
        <f>+'Proyectos Base digitable'!#REF!</f>
        <v>#REF!</v>
      </c>
      <c r="AI223" s="52" t="e">
        <f>+'Proyectos Base digitable'!#REF!</f>
        <v>#REF!</v>
      </c>
      <c r="AJ223" s="59" t="e">
        <f>+'Proyectos Base digitable'!#REF!</f>
        <v>#REF!</v>
      </c>
      <c r="AK223" s="186" t="e">
        <f>+'Proyectos Base digitable'!#REF!</f>
        <v>#REF!</v>
      </c>
      <c r="AL223" s="186" t="e">
        <f>+'Proyectos Base digitable'!#REF!</f>
        <v>#REF!</v>
      </c>
      <c r="AM223" s="186" t="e">
        <f>+'Proyectos Base digitable'!#REF!</f>
        <v>#REF!</v>
      </c>
      <c r="AN223" s="186" t="e">
        <f>+'Proyectos Base digitable'!#REF!</f>
        <v>#REF!</v>
      </c>
      <c r="AO223" s="186" t="e">
        <f>+'Proyectos Base digitable'!#REF!</f>
        <v>#REF!</v>
      </c>
      <c r="AP223" s="186" t="e">
        <f>+'Proyectos Base digitable'!#REF!</f>
        <v>#REF!</v>
      </c>
      <c r="AQ223" s="186" t="e">
        <f>+'Proyectos Base digitable'!#REF!</f>
        <v>#REF!</v>
      </c>
      <c r="AR223" s="186" t="e">
        <f>+'Proyectos Base digitable'!#REF!</f>
        <v>#REF!</v>
      </c>
      <c r="AS223" s="186" t="e">
        <f>+'Proyectos Base digitable'!#REF!</f>
        <v>#REF!</v>
      </c>
      <c r="AT223" s="187" t="e">
        <f>+'Proyectos Base digitable'!#REF!</f>
        <v>#REF!</v>
      </c>
      <c r="AU223" s="56" t="e">
        <f>+'Proyectos Base digitable'!#REF!</f>
        <v>#REF!</v>
      </c>
      <c r="AV223" s="56" t="e">
        <f>+'Proyectos Base digitable'!#REF!</f>
        <v>#REF!</v>
      </c>
      <c r="AW223" s="56" t="e">
        <f>+'Proyectos Base digitable'!#REF!</f>
        <v>#REF!</v>
      </c>
      <c r="AX223" s="56" t="e">
        <f>+'Proyectos Base digitable'!#REF!</f>
        <v>#REF!</v>
      </c>
      <c r="AY223" s="56" t="e">
        <f>+'Proyectos Base digitable'!#REF!</f>
        <v>#REF!</v>
      </c>
      <c r="AZ223" s="188" t="e">
        <f>+'Proyectos Base digitable'!#REF!</f>
        <v>#REF!</v>
      </c>
      <c r="BA223" s="188" t="e">
        <f>+'Proyectos Base digitable'!#REF!</f>
        <v>#REF!</v>
      </c>
    </row>
    <row r="224" spans="1:53" ht="13.5" customHeight="1">
      <c r="A224" s="60" t="e">
        <f>+'Proyectos Base digitable'!#REF!</f>
        <v>#REF!</v>
      </c>
      <c r="B224" s="56" t="e">
        <f>+'Proyectos Base digitable'!#REF!</f>
        <v>#REF!</v>
      </c>
      <c r="C224" s="56" t="e">
        <f>+'Proyectos Base digitable'!#REF!</f>
        <v>#REF!</v>
      </c>
      <c r="D224" s="56" t="e">
        <f>+'Proyectos Base digitable'!#REF!</f>
        <v>#REF!</v>
      </c>
      <c r="E224" s="56" t="e">
        <f>+'Proyectos Base digitable'!#REF!</f>
        <v>#REF!</v>
      </c>
      <c r="F224" s="56" t="e">
        <f>+'Proyectos Base digitable'!#REF!</f>
        <v>#REF!</v>
      </c>
      <c r="G224" s="57" t="e">
        <f>+'Proyectos Base digitable'!#REF!</f>
        <v>#REF!</v>
      </c>
      <c r="H224" s="56" t="e">
        <f>+'Proyectos Base digitable'!#REF!</f>
        <v>#REF!</v>
      </c>
      <c r="I224" s="56" t="e">
        <f>+'Proyectos Base digitable'!#REF!</f>
        <v>#REF!</v>
      </c>
      <c r="J224" s="56" t="e">
        <f>+'Proyectos Base digitable'!#REF!</f>
        <v>#REF!</v>
      </c>
      <c r="K224" s="56" t="e">
        <f>+'Proyectos Base digitable'!#REF!</f>
        <v>#REF!</v>
      </c>
      <c r="L224" s="56" t="e">
        <f>+'Proyectos Base digitable'!#REF!</f>
        <v>#REF!</v>
      </c>
      <c r="M224" s="56" t="e">
        <f>+'Proyectos Base digitable'!#REF!</f>
        <v>#REF!</v>
      </c>
      <c r="N224" s="52" t="e">
        <f>+'Proyectos Base digitable'!#REF!</f>
        <v>#REF!</v>
      </c>
      <c r="O224" s="52" t="e">
        <f>+'Proyectos Base digitable'!#REF!</f>
        <v>#REF!</v>
      </c>
      <c r="P224" s="185" t="e">
        <f>+'Proyectos Base digitable'!#REF!</f>
        <v>#REF!</v>
      </c>
      <c r="Q224" s="58" t="e">
        <f>+'Proyectos Base digitable'!#REF!</f>
        <v>#REF!</v>
      </c>
      <c r="R224" s="58" t="e">
        <f>+'Proyectos Base digitable'!#REF!</f>
        <v>#REF!</v>
      </c>
      <c r="S224" s="58" t="e">
        <f>+'Proyectos Base digitable'!#REF!</f>
        <v>#REF!</v>
      </c>
      <c r="T224" s="58" t="e">
        <f>+'Proyectos Base digitable'!#REF!</f>
        <v>#REF!</v>
      </c>
      <c r="U224" s="63" t="e">
        <f>'Proyectos Base digitable'!#REF!</f>
        <v>#REF!</v>
      </c>
      <c r="V224" s="63" t="e">
        <f>'Proyectos Base digitable'!#REF!</f>
        <v>#REF!</v>
      </c>
      <c r="W224" s="63" t="e">
        <f>'Proyectos Base digitable'!#REF!</f>
        <v>#REF!</v>
      </c>
      <c r="X224" s="63" t="e">
        <f>'Proyectos Base digitable'!#REF!</f>
        <v>#REF!</v>
      </c>
      <c r="Y224" s="63" t="e">
        <f>'Proyectos Base digitable'!#REF!</f>
        <v>#REF!</v>
      </c>
      <c r="Z224" s="58" t="e">
        <f>+'Proyectos Base digitable'!#REF!</f>
        <v>#REF!</v>
      </c>
      <c r="AA224" s="58" t="e">
        <f>+'Proyectos Base digitable'!#REF!</f>
        <v>#REF!</v>
      </c>
      <c r="AB224" s="63" t="e">
        <f>'Proyectos Base digitable'!#REF!</f>
        <v>#REF!</v>
      </c>
      <c r="AC224" s="56" t="e">
        <f>+'Proyectos Base digitable'!#REF!</f>
        <v>#REF!</v>
      </c>
      <c r="AD224" s="52" t="e">
        <f>+'Proyectos Base digitable'!#REF!</f>
        <v>#REF!</v>
      </c>
      <c r="AE224" s="52" t="e">
        <f>+'Proyectos Base digitable'!#REF!</f>
        <v>#REF!</v>
      </c>
      <c r="AF224" s="52" t="e">
        <f>+'Proyectos Base digitable'!#REF!</f>
        <v>#REF!</v>
      </c>
      <c r="AG224" s="56" t="e">
        <f>+'Proyectos Base digitable'!#REF!</f>
        <v>#REF!</v>
      </c>
      <c r="AH224" s="52" t="e">
        <f>+'Proyectos Base digitable'!#REF!</f>
        <v>#REF!</v>
      </c>
      <c r="AI224" s="52" t="e">
        <f>+'Proyectos Base digitable'!#REF!</f>
        <v>#REF!</v>
      </c>
      <c r="AJ224" s="59" t="e">
        <f>+'Proyectos Base digitable'!#REF!</f>
        <v>#REF!</v>
      </c>
      <c r="AK224" s="186" t="e">
        <f>+'Proyectos Base digitable'!#REF!</f>
        <v>#REF!</v>
      </c>
      <c r="AL224" s="186" t="e">
        <f>+'Proyectos Base digitable'!#REF!</f>
        <v>#REF!</v>
      </c>
      <c r="AM224" s="186" t="e">
        <f>+'Proyectos Base digitable'!#REF!</f>
        <v>#REF!</v>
      </c>
      <c r="AN224" s="186" t="e">
        <f>+'Proyectos Base digitable'!#REF!</f>
        <v>#REF!</v>
      </c>
      <c r="AO224" s="186" t="e">
        <f>+'Proyectos Base digitable'!#REF!</f>
        <v>#REF!</v>
      </c>
      <c r="AP224" s="186" t="e">
        <f>+'Proyectos Base digitable'!#REF!</f>
        <v>#REF!</v>
      </c>
      <c r="AQ224" s="186" t="e">
        <f>+'Proyectos Base digitable'!#REF!</f>
        <v>#REF!</v>
      </c>
      <c r="AR224" s="186" t="e">
        <f>+'Proyectos Base digitable'!#REF!</f>
        <v>#REF!</v>
      </c>
      <c r="AS224" s="186" t="e">
        <f>+'Proyectos Base digitable'!#REF!</f>
        <v>#REF!</v>
      </c>
      <c r="AT224" s="187" t="e">
        <f>+'Proyectos Base digitable'!#REF!</f>
        <v>#REF!</v>
      </c>
      <c r="AU224" s="56" t="e">
        <f>+'Proyectos Base digitable'!#REF!</f>
        <v>#REF!</v>
      </c>
      <c r="AV224" s="56" t="e">
        <f>+'Proyectos Base digitable'!#REF!</f>
        <v>#REF!</v>
      </c>
      <c r="AW224" s="56" t="e">
        <f>+'Proyectos Base digitable'!#REF!</f>
        <v>#REF!</v>
      </c>
      <c r="AX224" s="56" t="e">
        <f>+'Proyectos Base digitable'!#REF!</f>
        <v>#REF!</v>
      </c>
      <c r="AY224" s="56" t="e">
        <f>+'Proyectos Base digitable'!#REF!</f>
        <v>#REF!</v>
      </c>
      <c r="AZ224" s="188" t="e">
        <f>+'Proyectos Base digitable'!#REF!</f>
        <v>#REF!</v>
      </c>
      <c r="BA224" s="188" t="e">
        <f>+'Proyectos Base digitable'!#REF!</f>
        <v>#REF!</v>
      </c>
    </row>
    <row r="225" spans="1:53" ht="13.5" customHeight="1">
      <c r="A225" s="60" t="e">
        <f>+'Proyectos Base digitable'!#REF!</f>
        <v>#REF!</v>
      </c>
      <c r="B225" s="56" t="e">
        <f>+'Proyectos Base digitable'!#REF!</f>
        <v>#REF!</v>
      </c>
      <c r="C225" s="56" t="e">
        <f>+'Proyectos Base digitable'!#REF!</f>
        <v>#REF!</v>
      </c>
      <c r="D225" s="56" t="e">
        <f>+'Proyectos Base digitable'!#REF!</f>
        <v>#REF!</v>
      </c>
      <c r="E225" s="56" t="e">
        <f>+'Proyectos Base digitable'!#REF!</f>
        <v>#REF!</v>
      </c>
      <c r="F225" s="56" t="e">
        <f>+'Proyectos Base digitable'!#REF!</f>
        <v>#REF!</v>
      </c>
      <c r="G225" s="57" t="e">
        <f>+'Proyectos Base digitable'!#REF!</f>
        <v>#REF!</v>
      </c>
      <c r="H225" s="56" t="e">
        <f>+'Proyectos Base digitable'!#REF!</f>
        <v>#REF!</v>
      </c>
      <c r="I225" s="56" t="e">
        <f>+'Proyectos Base digitable'!#REF!</f>
        <v>#REF!</v>
      </c>
      <c r="J225" s="56" t="e">
        <f>+'Proyectos Base digitable'!#REF!</f>
        <v>#REF!</v>
      </c>
      <c r="K225" s="56" t="e">
        <f>+'Proyectos Base digitable'!#REF!</f>
        <v>#REF!</v>
      </c>
      <c r="L225" s="56" t="e">
        <f>+'Proyectos Base digitable'!#REF!</f>
        <v>#REF!</v>
      </c>
      <c r="M225" s="56" t="e">
        <f>+'Proyectos Base digitable'!#REF!</f>
        <v>#REF!</v>
      </c>
      <c r="N225" s="52" t="e">
        <f>+'Proyectos Base digitable'!#REF!</f>
        <v>#REF!</v>
      </c>
      <c r="O225" s="52" t="e">
        <f>+'Proyectos Base digitable'!#REF!</f>
        <v>#REF!</v>
      </c>
      <c r="P225" s="185" t="e">
        <f>+'Proyectos Base digitable'!#REF!</f>
        <v>#REF!</v>
      </c>
      <c r="Q225" s="58" t="e">
        <f>+'Proyectos Base digitable'!#REF!</f>
        <v>#REF!</v>
      </c>
      <c r="R225" s="58" t="e">
        <f>+'Proyectos Base digitable'!#REF!</f>
        <v>#REF!</v>
      </c>
      <c r="S225" s="58" t="e">
        <f>+'Proyectos Base digitable'!#REF!</f>
        <v>#REF!</v>
      </c>
      <c r="T225" s="58" t="e">
        <f>+'Proyectos Base digitable'!#REF!</f>
        <v>#REF!</v>
      </c>
      <c r="U225" s="63" t="e">
        <f>'Proyectos Base digitable'!#REF!</f>
        <v>#REF!</v>
      </c>
      <c r="V225" s="63" t="e">
        <f>'Proyectos Base digitable'!#REF!</f>
        <v>#REF!</v>
      </c>
      <c r="W225" s="63" t="e">
        <f>'Proyectos Base digitable'!#REF!</f>
        <v>#REF!</v>
      </c>
      <c r="X225" s="63" t="e">
        <f>'Proyectos Base digitable'!#REF!</f>
        <v>#REF!</v>
      </c>
      <c r="Y225" s="63" t="e">
        <f>'Proyectos Base digitable'!#REF!</f>
        <v>#REF!</v>
      </c>
      <c r="Z225" s="58" t="e">
        <f>+'Proyectos Base digitable'!#REF!</f>
        <v>#REF!</v>
      </c>
      <c r="AA225" s="58" t="e">
        <f>+'Proyectos Base digitable'!#REF!</f>
        <v>#REF!</v>
      </c>
      <c r="AB225" s="63" t="e">
        <f>'Proyectos Base digitable'!#REF!</f>
        <v>#REF!</v>
      </c>
      <c r="AC225" s="56" t="e">
        <f>+'Proyectos Base digitable'!#REF!</f>
        <v>#REF!</v>
      </c>
      <c r="AD225" s="52" t="e">
        <f>+'Proyectos Base digitable'!#REF!</f>
        <v>#REF!</v>
      </c>
      <c r="AE225" s="52" t="e">
        <f>+'Proyectos Base digitable'!#REF!</f>
        <v>#REF!</v>
      </c>
      <c r="AF225" s="52" t="e">
        <f>+'Proyectos Base digitable'!#REF!</f>
        <v>#REF!</v>
      </c>
      <c r="AG225" s="56" t="e">
        <f>+'Proyectos Base digitable'!#REF!</f>
        <v>#REF!</v>
      </c>
      <c r="AH225" s="52" t="e">
        <f>+'Proyectos Base digitable'!#REF!</f>
        <v>#REF!</v>
      </c>
      <c r="AI225" s="52" t="e">
        <f>+'Proyectos Base digitable'!#REF!</f>
        <v>#REF!</v>
      </c>
      <c r="AJ225" s="59" t="e">
        <f>+'Proyectos Base digitable'!#REF!</f>
        <v>#REF!</v>
      </c>
      <c r="AK225" s="186" t="e">
        <f>+'Proyectos Base digitable'!#REF!</f>
        <v>#REF!</v>
      </c>
      <c r="AL225" s="186" t="e">
        <f>+'Proyectos Base digitable'!#REF!</f>
        <v>#REF!</v>
      </c>
      <c r="AM225" s="186" t="e">
        <f>+'Proyectos Base digitable'!#REF!</f>
        <v>#REF!</v>
      </c>
      <c r="AN225" s="186" t="e">
        <f>+'Proyectos Base digitable'!#REF!</f>
        <v>#REF!</v>
      </c>
      <c r="AO225" s="186" t="e">
        <f>+'Proyectos Base digitable'!#REF!</f>
        <v>#REF!</v>
      </c>
      <c r="AP225" s="186" t="e">
        <f>+'Proyectos Base digitable'!#REF!</f>
        <v>#REF!</v>
      </c>
      <c r="AQ225" s="186" t="e">
        <f>+'Proyectos Base digitable'!#REF!</f>
        <v>#REF!</v>
      </c>
      <c r="AR225" s="186" t="e">
        <f>+'Proyectos Base digitable'!#REF!</f>
        <v>#REF!</v>
      </c>
      <c r="AS225" s="186" t="e">
        <f>+'Proyectos Base digitable'!#REF!</f>
        <v>#REF!</v>
      </c>
      <c r="AT225" s="187" t="e">
        <f>+'Proyectos Base digitable'!#REF!</f>
        <v>#REF!</v>
      </c>
      <c r="AU225" s="56" t="e">
        <f>+'Proyectos Base digitable'!#REF!</f>
        <v>#REF!</v>
      </c>
      <c r="AV225" s="56" t="e">
        <f>+'Proyectos Base digitable'!#REF!</f>
        <v>#REF!</v>
      </c>
      <c r="AW225" s="56" t="e">
        <f>+'Proyectos Base digitable'!#REF!</f>
        <v>#REF!</v>
      </c>
      <c r="AX225" s="56" t="e">
        <f>+'Proyectos Base digitable'!#REF!</f>
        <v>#REF!</v>
      </c>
      <c r="AY225" s="56" t="e">
        <f>+'Proyectos Base digitable'!#REF!</f>
        <v>#REF!</v>
      </c>
      <c r="AZ225" s="188" t="e">
        <f>+'Proyectos Base digitable'!#REF!</f>
        <v>#REF!</v>
      </c>
      <c r="BA225" s="188" t="e">
        <f>+'Proyectos Base digitable'!#REF!</f>
        <v>#REF!</v>
      </c>
    </row>
    <row r="226" spans="1:53" ht="13.5" customHeight="1">
      <c r="A226" s="60" t="e">
        <f>+'Proyectos Base digitable'!#REF!</f>
        <v>#REF!</v>
      </c>
      <c r="B226" s="56" t="e">
        <f>+'Proyectos Base digitable'!#REF!</f>
        <v>#REF!</v>
      </c>
      <c r="C226" s="56" t="e">
        <f>+'Proyectos Base digitable'!#REF!</f>
        <v>#REF!</v>
      </c>
      <c r="D226" s="56" t="e">
        <f>+'Proyectos Base digitable'!#REF!</f>
        <v>#REF!</v>
      </c>
      <c r="E226" s="56" t="e">
        <f>+'Proyectos Base digitable'!#REF!</f>
        <v>#REF!</v>
      </c>
      <c r="F226" s="56" t="e">
        <f>+'Proyectos Base digitable'!#REF!</f>
        <v>#REF!</v>
      </c>
      <c r="G226" s="57" t="e">
        <f>+'Proyectos Base digitable'!#REF!</f>
        <v>#REF!</v>
      </c>
      <c r="H226" s="56" t="e">
        <f>+'Proyectos Base digitable'!#REF!</f>
        <v>#REF!</v>
      </c>
      <c r="I226" s="56" t="e">
        <f>+'Proyectos Base digitable'!#REF!</f>
        <v>#REF!</v>
      </c>
      <c r="J226" s="56" t="e">
        <f>+'Proyectos Base digitable'!#REF!</f>
        <v>#REF!</v>
      </c>
      <c r="K226" s="56" t="e">
        <f>+'Proyectos Base digitable'!#REF!</f>
        <v>#REF!</v>
      </c>
      <c r="L226" s="56" t="e">
        <f>+'Proyectos Base digitable'!#REF!</f>
        <v>#REF!</v>
      </c>
      <c r="M226" s="56" t="e">
        <f>+'Proyectos Base digitable'!#REF!</f>
        <v>#REF!</v>
      </c>
      <c r="N226" s="52" t="e">
        <f>+'Proyectos Base digitable'!#REF!</f>
        <v>#REF!</v>
      </c>
      <c r="O226" s="52" t="e">
        <f>+'Proyectos Base digitable'!#REF!</f>
        <v>#REF!</v>
      </c>
      <c r="P226" s="185" t="e">
        <f>+'Proyectos Base digitable'!#REF!</f>
        <v>#REF!</v>
      </c>
      <c r="Q226" s="58" t="e">
        <f>+'Proyectos Base digitable'!#REF!</f>
        <v>#REF!</v>
      </c>
      <c r="R226" s="58" t="e">
        <f>+'Proyectos Base digitable'!#REF!</f>
        <v>#REF!</v>
      </c>
      <c r="S226" s="58" t="e">
        <f>+'Proyectos Base digitable'!#REF!</f>
        <v>#REF!</v>
      </c>
      <c r="T226" s="58" t="e">
        <f>+'Proyectos Base digitable'!#REF!</f>
        <v>#REF!</v>
      </c>
      <c r="U226" s="63" t="e">
        <f>'Proyectos Base digitable'!#REF!</f>
        <v>#REF!</v>
      </c>
      <c r="V226" s="63" t="e">
        <f>'Proyectos Base digitable'!#REF!</f>
        <v>#REF!</v>
      </c>
      <c r="W226" s="63" t="e">
        <f>'Proyectos Base digitable'!#REF!</f>
        <v>#REF!</v>
      </c>
      <c r="X226" s="63" t="e">
        <f>'Proyectos Base digitable'!#REF!</f>
        <v>#REF!</v>
      </c>
      <c r="Y226" s="63" t="e">
        <f>'Proyectos Base digitable'!#REF!</f>
        <v>#REF!</v>
      </c>
      <c r="Z226" s="58" t="e">
        <f>+'Proyectos Base digitable'!#REF!</f>
        <v>#REF!</v>
      </c>
      <c r="AA226" s="58" t="e">
        <f>+'Proyectos Base digitable'!#REF!</f>
        <v>#REF!</v>
      </c>
      <c r="AB226" s="63" t="e">
        <f>'Proyectos Base digitable'!#REF!</f>
        <v>#REF!</v>
      </c>
      <c r="AC226" s="56" t="e">
        <f>+'Proyectos Base digitable'!#REF!</f>
        <v>#REF!</v>
      </c>
      <c r="AD226" s="52" t="e">
        <f>+'Proyectos Base digitable'!#REF!</f>
        <v>#REF!</v>
      </c>
      <c r="AE226" s="52" t="e">
        <f>+'Proyectos Base digitable'!#REF!</f>
        <v>#REF!</v>
      </c>
      <c r="AF226" s="52" t="e">
        <f>+'Proyectos Base digitable'!#REF!</f>
        <v>#REF!</v>
      </c>
      <c r="AG226" s="56" t="e">
        <f>+'Proyectos Base digitable'!#REF!</f>
        <v>#REF!</v>
      </c>
      <c r="AH226" s="52" t="e">
        <f>+'Proyectos Base digitable'!#REF!</f>
        <v>#REF!</v>
      </c>
      <c r="AI226" s="52" t="e">
        <f>+'Proyectos Base digitable'!#REF!</f>
        <v>#REF!</v>
      </c>
      <c r="AJ226" s="59" t="e">
        <f>+'Proyectos Base digitable'!#REF!</f>
        <v>#REF!</v>
      </c>
      <c r="AK226" s="186" t="e">
        <f>+'Proyectos Base digitable'!#REF!</f>
        <v>#REF!</v>
      </c>
      <c r="AL226" s="186" t="e">
        <f>+'Proyectos Base digitable'!#REF!</f>
        <v>#REF!</v>
      </c>
      <c r="AM226" s="186" t="e">
        <f>+'Proyectos Base digitable'!#REF!</f>
        <v>#REF!</v>
      </c>
      <c r="AN226" s="186" t="e">
        <f>+'Proyectos Base digitable'!#REF!</f>
        <v>#REF!</v>
      </c>
      <c r="AO226" s="186" t="e">
        <f>+'Proyectos Base digitable'!#REF!</f>
        <v>#REF!</v>
      </c>
      <c r="AP226" s="186" t="e">
        <f>+'Proyectos Base digitable'!#REF!</f>
        <v>#REF!</v>
      </c>
      <c r="AQ226" s="186" t="e">
        <f>+'Proyectos Base digitable'!#REF!</f>
        <v>#REF!</v>
      </c>
      <c r="AR226" s="186" t="e">
        <f>+'Proyectos Base digitable'!#REF!</f>
        <v>#REF!</v>
      </c>
      <c r="AS226" s="186" t="e">
        <f>+'Proyectos Base digitable'!#REF!</f>
        <v>#REF!</v>
      </c>
      <c r="AT226" s="187" t="e">
        <f>+'Proyectos Base digitable'!#REF!</f>
        <v>#REF!</v>
      </c>
      <c r="AU226" s="56" t="e">
        <f>+'Proyectos Base digitable'!#REF!</f>
        <v>#REF!</v>
      </c>
      <c r="AV226" s="56" t="e">
        <f>+'Proyectos Base digitable'!#REF!</f>
        <v>#REF!</v>
      </c>
      <c r="AW226" s="56" t="e">
        <f>+'Proyectos Base digitable'!#REF!</f>
        <v>#REF!</v>
      </c>
      <c r="AX226" s="56" t="e">
        <f>+'Proyectos Base digitable'!#REF!</f>
        <v>#REF!</v>
      </c>
      <c r="AY226" s="56" t="e">
        <f>+'Proyectos Base digitable'!#REF!</f>
        <v>#REF!</v>
      </c>
      <c r="AZ226" s="188" t="e">
        <f>+'Proyectos Base digitable'!#REF!</f>
        <v>#REF!</v>
      </c>
      <c r="BA226" s="188" t="e">
        <f>+'Proyectos Base digitable'!#REF!</f>
        <v>#REF!</v>
      </c>
    </row>
    <row r="227" spans="1:53" ht="13.5" customHeight="1">
      <c r="A227" s="60" t="e">
        <f>+'Proyectos Base digitable'!#REF!</f>
        <v>#REF!</v>
      </c>
      <c r="B227" s="56" t="e">
        <f>+'Proyectos Base digitable'!#REF!</f>
        <v>#REF!</v>
      </c>
      <c r="C227" s="56" t="e">
        <f>+'Proyectos Base digitable'!#REF!</f>
        <v>#REF!</v>
      </c>
      <c r="D227" s="56" t="e">
        <f>+'Proyectos Base digitable'!#REF!</f>
        <v>#REF!</v>
      </c>
      <c r="E227" s="56" t="e">
        <f>+'Proyectos Base digitable'!#REF!</f>
        <v>#REF!</v>
      </c>
      <c r="F227" s="56" t="e">
        <f>+'Proyectos Base digitable'!#REF!</f>
        <v>#REF!</v>
      </c>
      <c r="G227" s="57" t="e">
        <f>+'Proyectos Base digitable'!#REF!</f>
        <v>#REF!</v>
      </c>
      <c r="H227" s="56" t="e">
        <f>+'Proyectos Base digitable'!#REF!</f>
        <v>#REF!</v>
      </c>
      <c r="I227" s="56" t="e">
        <f>+'Proyectos Base digitable'!#REF!</f>
        <v>#REF!</v>
      </c>
      <c r="J227" s="56" t="e">
        <f>+'Proyectos Base digitable'!#REF!</f>
        <v>#REF!</v>
      </c>
      <c r="K227" s="56" t="e">
        <f>+'Proyectos Base digitable'!#REF!</f>
        <v>#REF!</v>
      </c>
      <c r="L227" s="56" t="e">
        <f>+'Proyectos Base digitable'!#REF!</f>
        <v>#REF!</v>
      </c>
      <c r="M227" s="56" t="e">
        <f>+'Proyectos Base digitable'!#REF!</f>
        <v>#REF!</v>
      </c>
      <c r="N227" s="52" t="e">
        <f>+'Proyectos Base digitable'!#REF!</f>
        <v>#REF!</v>
      </c>
      <c r="O227" s="52" t="e">
        <f>+'Proyectos Base digitable'!#REF!</f>
        <v>#REF!</v>
      </c>
      <c r="P227" s="185" t="e">
        <f>+'Proyectos Base digitable'!#REF!</f>
        <v>#REF!</v>
      </c>
      <c r="Q227" s="58" t="e">
        <f>+'Proyectos Base digitable'!#REF!</f>
        <v>#REF!</v>
      </c>
      <c r="R227" s="58" t="e">
        <f>+'Proyectos Base digitable'!#REF!</f>
        <v>#REF!</v>
      </c>
      <c r="S227" s="58" t="e">
        <f>+'Proyectos Base digitable'!#REF!</f>
        <v>#REF!</v>
      </c>
      <c r="T227" s="58" t="e">
        <f>+'Proyectos Base digitable'!#REF!</f>
        <v>#REF!</v>
      </c>
      <c r="U227" s="63" t="e">
        <f>'Proyectos Base digitable'!#REF!</f>
        <v>#REF!</v>
      </c>
      <c r="V227" s="63" t="e">
        <f>'Proyectos Base digitable'!#REF!</f>
        <v>#REF!</v>
      </c>
      <c r="W227" s="63" t="e">
        <f>'Proyectos Base digitable'!#REF!</f>
        <v>#REF!</v>
      </c>
      <c r="X227" s="63" t="e">
        <f>'Proyectos Base digitable'!#REF!</f>
        <v>#REF!</v>
      </c>
      <c r="Y227" s="63" t="e">
        <f>'Proyectos Base digitable'!#REF!</f>
        <v>#REF!</v>
      </c>
      <c r="Z227" s="58" t="e">
        <f>+'Proyectos Base digitable'!#REF!</f>
        <v>#REF!</v>
      </c>
      <c r="AA227" s="58" t="e">
        <f>+'Proyectos Base digitable'!#REF!</f>
        <v>#REF!</v>
      </c>
      <c r="AB227" s="63" t="e">
        <f>'Proyectos Base digitable'!#REF!</f>
        <v>#REF!</v>
      </c>
      <c r="AC227" s="56" t="e">
        <f>+'Proyectos Base digitable'!#REF!</f>
        <v>#REF!</v>
      </c>
      <c r="AD227" s="52" t="e">
        <f>+'Proyectos Base digitable'!#REF!</f>
        <v>#REF!</v>
      </c>
      <c r="AE227" s="52" t="e">
        <f>+'Proyectos Base digitable'!#REF!</f>
        <v>#REF!</v>
      </c>
      <c r="AF227" s="52" t="e">
        <f>+'Proyectos Base digitable'!#REF!</f>
        <v>#REF!</v>
      </c>
      <c r="AG227" s="56" t="e">
        <f>+'Proyectos Base digitable'!#REF!</f>
        <v>#REF!</v>
      </c>
      <c r="AH227" s="52" t="e">
        <f>+'Proyectos Base digitable'!#REF!</f>
        <v>#REF!</v>
      </c>
      <c r="AI227" s="52" t="e">
        <f>+'Proyectos Base digitable'!#REF!</f>
        <v>#REF!</v>
      </c>
      <c r="AJ227" s="59" t="e">
        <f>+'Proyectos Base digitable'!#REF!</f>
        <v>#REF!</v>
      </c>
      <c r="AK227" s="186" t="e">
        <f>+'Proyectos Base digitable'!#REF!</f>
        <v>#REF!</v>
      </c>
      <c r="AL227" s="186" t="e">
        <f>+'Proyectos Base digitable'!#REF!</f>
        <v>#REF!</v>
      </c>
      <c r="AM227" s="186" t="e">
        <f>+'Proyectos Base digitable'!#REF!</f>
        <v>#REF!</v>
      </c>
      <c r="AN227" s="186" t="e">
        <f>+'Proyectos Base digitable'!#REF!</f>
        <v>#REF!</v>
      </c>
      <c r="AO227" s="186" t="e">
        <f>+'Proyectos Base digitable'!#REF!</f>
        <v>#REF!</v>
      </c>
      <c r="AP227" s="186" t="e">
        <f>+'Proyectos Base digitable'!#REF!</f>
        <v>#REF!</v>
      </c>
      <c r="AQ227" s="186" t="e">
        <f>+'Proyectos Base digitable'!#REF!</f>
        <v>#REF!</v>
      </c>
      <c r="AR227" s="186" t="e">
        <f>+'Proyectos Base digitable'!#REF!</f>
        <v>#REF!</v>
      </c>
      <c r="AS227" s="186" t="e">
        <f>+'Proyectos Base digitable'!#REF!</f>
        <v>#REF!</v>
      </c>
      <c r="AT227" s="187" t="e">
        <f>+'Proyectos Base digitable'!#REF!</f>
        <v>#REF!</v>
      </c>
      <c r="AU227" s="56" t="e">
        <f>+'Proyectos Base digitable'!#REF!</f>
        <v>#REF!</v>
      </c>
      <c r="AV227" s="56" t="e">
        <f>+'Proyectos Base digitable'!#REF!</f>
        <v>#REF!</v>
      </c>
      <c r="AW227" s="56" t="e">
        <f>+'Proyectos Base digitable'!#REF!</f>
        <v>#REF!</v>
      </c>
      <c r="AX227" s="56" t="e">
        <f>+'Proyectos Base digitable'!#REF!</f>
        <v>#REF!</v>
      </c>
      <c r="AY227" s="56" t="e">
        <f>+'Proyectos Base digitable'!#REF!</f>
        <v>#REF!</v>
      </c>
      <c r="AZ227" s="188" t="e">
        <f>+'Proyectos Base digitable'!#REF!</f>
        <v>#REF!</v>
      </c>
      <c r="BA227" s="188" t="e">
        <f>+'Proyectos Base digitable'!#REF!</f>
        <v>#REF!</v>
      </c>
    </row>
    <row r="228" spans="1:53" ht="13.5" customHeight="1">
      <c r="A228" s="60" t="e">
        <f>+'Proyectos Base digitable'!#REF!</f>
        <v>#REF!</v>
      </c>
      <c r="B228" s="56" t="e">
        <f>+'Proyectos Base digitable'!#REF!</f>
        <v>#REF!</v>
      </c>
      <c r="C228" s="56" t="e">
        <f>+'Proyectos Base digitable'!#REF!</f>
        <v>#REF!</v>
      </c>
      <c r="D228" s="56" t="e">
        <f>+'Proyectos Base digitable'!#REF!</f>
        <v>#REF!</v>
      </c>
      <c r="E228" s="56" t="e">
        <f>+'Proyectos Base digitable'!#REF!</f>
        <v>#REF!</v>
      </c>
      <c r="F228" s="56" t="e">
        <f>+'Proyectos Base digitable'!#REF!</f>
        <v>#REF!</v>
      </c>
      <c r="G228" s="57" t="e">
        <f>+'Proyectos Base digitable'!#REF!</f>
        <v>#REF!</v>
      </c>
      <c r="H228" s="56" t="e">
        <f>+'Proyectos Base digitable'!#REF!</f>
        <v>#REF!</v>
      </c>
      <c r="I228" s="56" t="e">
        <f>+'Proyectos Base digitable'!#REF!</f>
        <v>#REF!</v>
      </c>
      <c r="J228" s="56" t="e">
        <f>+'Proyectos Base digitable'!#REF!</f>
        <v>#REF!</v>
      </c>
      <c r="K228" s="56" t="e">
        <f>+'Proyectos Base digitable'!#REF!</f>
        <v>#REF!</v>
      </c>
      <c r="L228" s="56" t="e">
        <f>+'Proyectos Base digitable'!#REF!</f>
        <v>#REF!</v>
      </c>
      <c r="M228" s="56" t="e">
        <f>+'Proyectos Base digitable'!#REF!</f>
        <v>#REF!</v>
      </c>
      <c r="N228" s="52" t="e">
        <f>+'Proyectos Base digitable'!#REF!</f>
        <v>#REF!</v>
      </c>
      <c r="O228" s="52" t="e">
        <f>+'Proyectos Base digitable'!#REF!</f>
        <v>#REF!</v>
      </c>
      <c r="P228" s="185" t="e">
        <f>+'Proyectos Base digitable'!#REF!</f>
        <v>#REF!</v>
      </c>
      <c r="Q228" s="58" t="e">
        <f>+'Proyectos Base digitable'!#REF!</f>
        <v>#REF!</v>
      </c>
      <c r="R228" s="58" t="e">
        <f>+'Proyectos Base digitable'!#REF!</f>
        <v>#REF!</v>
      </c>
      <c r="S228" s="58" t="e">
        <f>+'Proyectos Base digitable'!#REF!</f>
        <v>#REF!</v>
      </c>
      <c r="T228" s="58" t="e">
        <f>+'Proyectos Base digitable'!#REF!</f>
        <v>#REF!</v>
      </c>
      <c r="U228" s="63" t="e">
        <f>'Proyectos Base digitable'!#REF!</f>
        <v>#REF!</v>
      </c>
      <c r="V228" s="63" t="e">
        <f>'Proyectos Base digitable'!#REF!</f>
        <v>#REF!</v>
      </c>
      <c r="W228" s="63" t="e">
        <f>'Proyectos Base digitable'!#REF!</f>
        <v>#REF!</v>
      </c>
      <c r="X228" s="63" t="e">
        <f>'Proyectos Base digitable'!#REF!</f>
        <v>#REF!</v>
      </c>
      <c r="Y228" s="63" t="e">
        <f>'Proyectos Base digitable'!#REF!</f>
        <v>#REF!</v>
      </c>
      <c r="Z228" s="58" t="e">
        <f>+'Proyectos Base digitable'!#REF!</f>
        <v>#REF!</v>
      </c>
      <c r="AA228" s="58" t="e">
        <f>+'Proyectos Base digitable'!#REF!</f>
        <v>#REF!</v>
      </c>
      <c r="AB228" s="63" t="e">
        <f>'Proyectos Base digitable'!#REF!</f>
        <v>#REF!</v>
      </c>
      <c r="AC228" s="56" t="e">
        <f>+'Proyectos Base digitable'!#REF!</f>
        <v>#REF!</v>
      </c>
      <c r="AD228" s="52" t="e">
        <f>+'Proyectos Base digitable'!#REF!</f>
        <v>#REF!</v>
      </c>
      <c r="AE228" s="52" t="e">
        <f>+'Proyectos Base digitable'!#REF!</f>
        <v>#REF!</v>
      </c>
      <c r="AF228" s="52" t="e">
        <f>+'Proyectos Base digitable'!#REF!</f>
        <v>#REF!</v>
      </c>
      <c r="AG228" s="56" t="e">
        <f>+'Proyectos Base digitable'!#REF!</f>
        <v>#REF!</v>
      </c>
      <c r="AH228" s="52" t="e">
        <f>+'Proyectos Base digitable'!#REF!</f>
        <v>#REF!</v>
      </c>
      <c r="AI228" s="52" t="e">
        <f>+'Proyectos Base digitable'!#REF!</f>
        <v>#REF!</v>
      </c>
      <c r="AJ228" s="59" t="e">
        <f>+'Proyectos Base digitable'!#REF!</f>
        <v>#REF!</v>
      </c>
      <c r="AK228" s="186" t="e">
        <f>+'Proyectos Base digitable'!#REF!</f>
        <v>#REF!</v>
      </c>
      <c r="AL228" s="186" t="e">
        <f>+'Proyectos Base digitable'!#REF!</f>
        <v>#REF!</v>
      </c>
      <c r="AM228" s="186" t="e">
        <f>+'Proyectos Base digitable'!#REF!</f>
        <v>#REF!</v>
      </c>
      <c r="AN228" s="186" t="e">
        <f>+'Proyectos Base digitable'!#REF!</f>
        <v>#REF!</v>
      </c>
      <c r="AO228" s="186" t="e">
        <f>+'Proyectos Base digitable'!#REF!</f>
        <v>#REF!</v>
      </c>
      <c r="AP228" s="186" t="e">
        <f>+'Proyectos Base digitable'!#REF!</f>
        <v>#REF!</v>
      </c>
      <c r="AQ228" s="186" t="e">
        <f>+'Proyectos Base digitable'!#REF!</f>
        <v>#REF!</v>
      </c>
      <c r="AR228" s="186" t="e">
        <f>+'Proyectos Base digitable'!#REF!</f>
        <v>#REF!</v>
      </c>
      <c r="AS228" s="186" t="e">
        <f>+'Proyectos Base digitable'!#REF!</f>
        <v>#REF!</v>
      </c>
      <c r="AT228" s="187" t="e">
        <f>+'Proyectos Base digitable'!#REF!</f>
        <v>#REF!</v>
      </c>
      <c r="AU228" s="56" t="e">
        <f>+'Proyectos Base digitable'!#REF!</f>
        <v>#REF!</v>
      </c>
      <c r="AV228" s="56" t="e">
        <f>+'Proyectos Base digitable'!#REF!</f>
        <v>#REF!</v>
      </c>
      <c r="AW228" s="56" t="e">
        <f>+'Proyectos Base digitable'!#REF!</f>
        <v>#REF!</v>
      </c>
      <c r="AX228" s="56" t="e">
        <f>+'Proyectos Base digitable'!#REF!</f>
        <v>#REF!</v>
      </c>
      <c r="AY228" s="56" t="e">
        <f>+'Proyectos Base digitable'!#REF!</f>
        <v>#REF!</v>
      </c>
      <c r="AZ228" s="188" t="e">
        <f>+'Proyectos Base digitable'!#REF!</f>
        <v>#REF!</v>
      </c>
      <c r="BA228" s="188" t="e">
        <f>+'Proyectos Base digitable'!#REF!</f>
        <v>#REF!</v>
      </c>
    </row>
    <row r="229" spans="1:53" ht="13.5" customHeight="1">
      <c r="A229" s="60" t="e">
        <f>+'Proyectos Base digitable'!#REF!</f>
        <v>#REF!</v>
      </c>
      <c r="B229" s="56" t="e">
        <f>+'Proyectos Base digitable'!#REF!</f>
        <v>#REF!</v>
      </c>
      <c r="C229" s="56" t="e">
        <f>+'Proyectos Base digitable'!#REF!</f>
        <v>#REF!</v>
      </c>
      <c r="D229" s="56" t="e">
        <f>+'Proyectos Base digitable'!#REF!</f>
        <v>#REF!</v>
      </c>
      <c r="E229" s="56" t="e">
        <f>+'Proyectos Base digitable'!#REF!</f>
        <v>#REF!</v>
      </c>
      <c r="F229" s="56" t="e">
        <f>+'Proyectos Base digitable'!#REF!</f>
        <v>#REF!</v>
      </c>
      <c r="G229" s="57" t="e">
        <f>+'Proyectos Base digitable'!#REF!</f>
        <v>#REF!</v>
      </c>
      <c r="H229" s="56" t="e">
        <f>+'Proyectos Base digitable'!#REF!</f>
        <v>#REF!</v>
      </c>
      <c r="I229" s="56" t="e">
        <f>+'Proyectos Base digitable'!#REF!</f>
        <v>#REF!</v>
      </c>
      <c r="J229" s="56" t="e">
        <f>+'Proyectos Base digitable'!#REF!</f>
        <v>#REF!</v>
      </c>
      <c r="K229" s="56" t="e">
        <f>+'Proyectos Base digitable'!#REF!</f>
        <v>#REF!</v>
      </c>
      <c r="L229" s="56" t="e">
        <f>+'Proyectos Base digitable'!#REF!</f>
        <v>#REF!</v>
      </c>
      <c r="M229" s="56" t="e">
        <f>+'Proyectos Base digitable'!#REF!</f>
        <v>#REF!</v>
      </c>
      <c r="N229" s="52" t="e">
        <f>+'Proyectos Base digitable'!#REF!</f>
        <v>#REF!</v>
      </c>
      <c r="O229" s="52" t="e">
        <f>+'Proyectos Base digitable'!#REF!</f>
        <v>#REF!</v>
      </c>
      <c r="P229" s="185" t="e">
        <f>+'Proyectos Base digitable'!#REF!</f>
        <v>#REF!</v>
      </c>
      <c r="Q229" s="58" t="e">
        <f>+'Proyectos Base digitable'!#REF!</f>
        <v>#REF!</v>
      </c>
      <c r="R229" s="58" t="e">
        <f>+'Proyectos Base digitable'!#REF!</f>
        <v>#REF!</v>
      </c>
      <c r="S229" s="58" t="e">
        <f>+'Proyectos Base digitable'!#REF!</f>
        <v>#REF!</v>
      </c>
      <c r="T229" s="58" t="e">
        <f>+'Proyectos Base digitable'!#REF!</f>
        <v>#REF!</v>
      </c>
      <c r="U229" s="63" t="e">
        <f>'Proyectos Base digitable'!#REF!</f>
        <v>#REF!</v>
      </c>
      <c r="V229" s="63" t="e">
        <f>'Proyectos Base digitable'!#REF!</f>
        <v>#REF!</v>
      </c>
      <c r="W229" s="63" t="e">
        <f>'Proyectos Base digitable'!#REF!</f>
        <v>#REF!</v>
      </c>
      <c r="X229" s="63" t="e">
        <f>'Proyectos Base digitable'!#REF!</f>
        <v>#REF!</v>
      </c>
      <c r="Y229" s="63" t="e">
        <f>'Proyectos Base digitable'!#REF!</f>
        <v>#REF!</v>
      </c>
      <c r="Z229" s="58" t="e">
        <f>+'Proyectos Base digitable'!#REF!</f>
        <v>#REF!</v>
      </c>
      <c r="AA229" s="58" t="e">
        <f>+'Proyectos Base digitable'!#REF!</f>
        <v>#REF!</v>
      </c>
      <c r="AB229" s="63" t="e">
        <f>'Proyectos Base digitable'!#REF!</f>
        <v>#REF!</v>
      </c>
      <c r="AC229" s="56" t="e">
        <f>+'Proyectos Base digitable'!#REF!</f>
        <v>#REF!</v>
      </c>
      <c r="AD229" s="52" t="e">
        <f>+'Proyectos Base digitable'!#REF!</f>
        <v>#REF!</v>
      </c>
      <c r="AE229" s="52" t="e">
        <f>+'Proyectos Base digitable'!#REF!</f>
        <v>#REF!</v>
      </c>
      <c r="AF229" s="52" t="e">
        <f>+'Proyectos Base digitable'!#REF!</f>
        <v>#REF!</v>
      </c>
      <c r="AG229" s="56" t="e">
        <f>+'Proyectos Base digitable'!#REF!</f>
        <v>#REF!</v>
      </c>
      <c r="AH229" s="52" t="e">
        <f>+'Proyectos Base digitable'!#REF!</f>
        <v>#REF!</v>
      </c>
      <c r="AI229" s="52" t="e">
        <f>+'Proyectos Base digitable'!#REF!</f>
        <v>#REF!</v>
      </c>
      <c r="AJ229" s="59" t="e">
        <f>+'Proyectos Base digitable'!#REF!</f>
        <v>#REF!</v>
      </c>
      <c r="AK229" s="186" t="e">
        <f>+'Proyectos Base digitable'!#REF!</f>
        <v>#REF!</v>
      </c>
      <c r="AL229" s="186" t="e">
        <f>+'Proyectos Base digitable'!#REF!</f>
        <v>#REF!</v>
      </c>
      <c r="AM229" s="186" t="e">
        <f>+'Proyectos Base digitable'!#REF!</f>
        <v>#REF!</v>
      </c>
      <c r="AN229" s="186" t="e">
        <f>+'Proyectos Base digitable'!#REF!</f>
        <v>#REF!</v>
      </c>
      <c r="AO229" s="186" t="e">
        <f>+'Proyectos Base digitable'!#REF!</f>
        <v>#REF!</v>
      </c>
      <c r="AP229" s="186" t="e">
        <f>+'Proyectos Base digitable'!#REF!</f>
        <v>#REF!</v>
      </c>
      <c r="AQ229" s="186" t="e">
        <f>+'Proyectos Base digitable'!#REF!</f>
        <v>#REF!</v>
      </c>
      <c r="AR229" s="186" t="e">
        <f>+'Proyectos Base digitable'!#REF!</f>
        <v>#REF!</v>
      </c>
      <c r="AS229" s="186" t="e">
        <f>+'Proyectos Base digitable'!#REF!</f>
        <v>#REF!</v>
      </c>
      <c r="AT229" s="187" t="e">
        <f>+'Proyectos Base digitable'!#REF!</f>
        <v>#REF!</v>
      </c>
      <c r="AU229" s="56" t="e">
        <f>+'Proyectos Base digitable'!#REF!</f>
        <v>#REF!</v>
      </c>
      <c r="AV229" s="56" t="e">
        <f>+'Proyectos Base digitable'!#REF!</f>
        <v>#REF!</v>
      </c>
      <c r="AW229" s="56" t="e">
        <f>+'Proyectos Base digitable'!#REF!</f>
        <v>#REF!</v>
      </c>
      <c r="AX229" s="56" t="e">
        <f>+'Proyectos Base digitable'!#REF!</f>
        <v>#REF!</v>
      </c>
      <c r="AY229" s="56" t="e">
        <f>+'Proyectos Base digitable'!#REF!</f>
        <v>#REF!</v>
      </c>
      <c r="AZ229" s="188" t="e">
        <f>+'Proyectos Base digitable'!#REF!</f>
        <v>#REF!</v>
      </c>
      <c r="BA229" s="188" t="e">
        <f>+'Proyectos Base digitable'!#REF!</f>
        <v>#REF!</v>
      </c>
    </row>
    <row r="230" spans="1:53" ht="13.5" customHeight="1">
      <c r="A230" s="60" t="e">
        <f>+'Proyectos Base digitable'!#REF!</f>
        <v>#REF!</v>
      </c>
      <c r="B230" s="56" t="e">
        <f>+'Proyectos Base digitable'!#REF!</f>
        <v>#REF!</v>
      </c>
      <c r="C230" s="56" t="e">
        <f>+'Proyectos Base digitable'!#REF!</f>
        <v>#REF!</v>
      </c>
      <c r="D230" s="56" t="e">
        <f>+'Proyectos Base digitable'!#REF!</f>
        <v>#REF!</v>
      </c>
      <c r="E230" s="56" t="e">
        <f>+'Proyectos Base digitable'!#REF!</f>
        <v>#REF!</v>
      </c>
      <c r="F230" s="56" t="e">
        <f>+'Proyectos Base digitable'!#REF!</f>
        <v>#REF!</v>
      </c>
      <c r="G230" s="57" t="e">
        <f>+'Proyectos Base digitable'!#REF!</f>
        <v>#REF!</v>
      </c>
      <c r="H230" s="56" t="e">
        <f>+'Proyectos Base digitable'!#REF!</f>
        <v>#REF!</v>
      </c>
      <c r="I230" s="56" t="e">
        <f>+'Proyectos Base digitable'!#REF!</f>
        <v>#REF!</v>
      </c>
      <c r="J230" s="56" t="e">
        <f>+'Proyectos Base digitable'!#REF!</f>
        <v>#REF!</v>
      </c>
      <c r="K230" s="56" t="e">
        <f>+'Proyectos Base digitable'!#REF!</f>
        <v>#REF!</v>
      </c>
      <c r="L230" s="56" t="e">
        <f>+'Proyectos Base digitable'!#REF!</f>
        <v>#REF!</v>
      </c>
      <c r="M230" s="56" t="e">
        <f>+'Proyectos Base digitable'!#REF!</f>
        <v>#REF!</v>
      </c>
      <c r="N230" s="52" t="e">
        <f>+'Proyectos Base digitable'!#REF!</f>
        <v>#REF!</v>
      </c>
      <c r="O230" s="52" t="e">
        <f>+'Proyectos Base digitable'!#REF!</f>
        <v>#REF!</v>
      </c>
      <c r="P230" s="185" t="e">
        <f>+'Proyectos Base digitable'!#REF!</f>
        <v>#REF!</v>
      </c>
      <c r="Q230" s="58" t="e">
        <f>+'Proyectos Base digitable'!#REF!</f>
        <v>#REF!</v>
      </c>
      <c r="R230" s="58" t="e">
        <f>+'Proyectos Base digitable'!#REF!</f>
        <v>#REF!</v>
      </c>
      <c r="S230" s="58" t="e">
        <f>+'Proyectos Base digitable'!#REF!</f>
        <v>#REF!</v>
      </c>
      <c r="T230" s="58" t="e">
        <f>+'Proyectos Base digitable'!#REF!</f>
        <v>#REF!</v>
      </c>
      <c r="U230" s="63" t="e">
        <f>'Proyectos Base digitable'!#REF!</f>
        <v>#REF!</v>
      </c>
      <c r="V230" s="63" t="e">
        <f>'Proyectos Base digitable'!#REF!</f>
        <v>#REF!</v>
      </c>
      <c r="W230" s="63" t="e">
        <f>'Proyectos Base digitable'!#REF!</f>
        <v>#REF!</v>
      </c>
      <c r="X230" s="63" t="e">
        <f>'Proyectos Base digitable'!#REF!</f>
        <v>#REF!</v>
      </c>
      <c r="Y230" s="63" t="e">
        <f>'Proyectos Base digitable'!#REF!</f>
        <v>#REF!</v>
      </c>
      <c r="Z230" s="58" t="e">
        <f>+'Proyectos Base digitable'!#REF!</f>
        <v>#REF!</v>
      </c>
      <c r="AA230" s="58" t="e">
        <f>+'Proyectos Base digitable'!#REF!</f>
        <v>#REF!</v>
      </c>
      <c r="AB230" s="63" t="e">
        <f>'Proyectos Base digitable'!#REF!</f>
        <v>#REF!</v>
      </c>
      <c r="AC230" s="56" t="e">
        <f>+'Proyectos Base digitable'!#REF!</f>
        <v>#REF!</v>
      </c>
      <c r="AD230" s="52" t="e">
        <f>+'Proyectos Base digitable'!#REF!</f>
        <v>#REF!</v>
      </c>
      <c r="AE230" s="52" t="e">
        <f>+'Proyectos Base digitable'!#REF!</f>
        <v>#REF!</v>
      </c>
      <c r="AF230" s="52" t="e">
        <f>+'Proyectos Base digitable'!#REF!</f>
        <v>#REF!</v>
      </c>
      <c r="AG230" s="56" t="e">
        <f>+'Proyectos Base digitable'!#REF!</f>
        <v>#REF!</v>
      </c>
      <c r="AH230" s="52" t="e">
        <f>+'Proyectos Base digitable'!#REF!</f>
        <v>#REF!</v>
      </c>
      <c r="AI230" s="52" t="e">
        <f>+'Proyectos Base digitable'!#REF!</f>
        <v>#REF!</v>
      </c>
      <c r="AJ230" s="59" t="e">
        <f>+'Proyectos Base digitable'!#REF!</f>
        <v>#REF!</v>
      </c>
      <c r="AK230" s="186" t="e">
        <f>+'Proyectos Base digitable'!#REF!</f>
        <v>#REF!</v>
      </c>
      <c r="AL230" s="186" t="e">
        <f>+'Proyectos Base digitable'!#REF!</f>
        <v>#REF!</v>
      </c>
      <c r="AM230" s="186" t="e">
        <f>+'Proyectos Base digitable'!#REF!</f>
        <v>#REF!</v>
      </c>
      <c r="AN230" s="186" t="e">
        <f>+'Proyectos Base digitable'!#REF!</f>
        <v>#REF!</v>
      </c>
      <c r="AO230" s="186" t="e">
        <f>+'Proyectos Base digitable'!#REF!</f>
        <v>#REF!</v>
      </c>
      <c r="AP230" s="186" t="e">
        <f>+'Proyectos Base digitable'!#REF!</f>
        <v>#REF!</v>
      </c>
      <c r="AQ230" s="186" t="e">
        <f>+'Proyectos Base digitable'!#REF!</f>
        <v>#REF!</v>
      </c>
      <c r="AR230" s="186" t="e">
        <f>+'Proyectos Base digitable'!#REF!</f>
        <v>#REF!</v>
      </c>
      <c r="AS230" s="186" t="e">
        <f>+'Proyectos Base digitable'!#REF!</f>
        <v>#REF!</v>
      </c>
      <c r="AT230" s="187" t="e">
        <f>+'Proyectos Base digitable'!#REF!</f>
        <v>#REF!</v>
      </c>
      <c r="AU230" s="56" t="e">
        <f>+'Proyectos Base digitable'!#REF!</f>
        <v>#REF!</v>
      </c>
      <c r="AV230" s="56" t="e">
        <f>+'Proyectos Base digitable'!#REF!</f>
        <v>#REF!</v>
      </c>
      <c r="AW230" s="56" t="e">
        <f>+'Proyectos Base digitable'!#REF!</f>
        <v>#REF!</v>
      </c>
      <c r="AX230" s="56" t="e">
        <f>+'Proyectos Base digitable'!#REF!</f>
        <v>#REF!</v>
      </c>
      <c r="AY230" s="56" t="e">
        <f>+'Proyectos Base digitable'!#REF!</f>
        <v>#REF!</v>
      </c>
      <c r="AZ230" s="188" t="e">
        <f>+'Proyectos Base digitable'!#REF!</f>
        <v>#REF!</v>
      </c>
      <c r="BA230" s="188" t="e">
        <f>+'Proyectos Base digitable'!#REF!</f>
        <v>#REF!</v>
      </c>
    </row>
    <row r="231" spans="1:53" ht="13.5" customHeight="1">
      <c r="A231" s="60" t="e">
        <f>+'Proyectos Base digitable'!#REF!</f>
        <v>#REF!</v>
      </c>
      <c r="B231" s="56" t="e">
        <f>+'Proyectos Base digitable'!#REF!</f>
        <v>#REF!</v>
      </c>
      <c r="C231" s="56" t="e">
        <f>+'Proyectos Base digitable'!#REF!</f>
        <v>#REF!</v>
      </c>
      <c r="D231" s="56" t="e">
        <f>+'Proyectos Base digitable'!#REF!</f>
        <v>#REF!</v>
      </c>
      <c r="E231" s="56" t="e">
        <f>+'Proyectos Base digitable'!#REF!</f>
        <v>#REF!</v>
      </c>
      <c r="F231" s="56" t="e">
        <f>+'Proyectos Base digitable'!#REF!</f>
        <v>#REF!</v>
      </c>
      <c r="G231" s="57" t="e">
        <f>+'Proyectos Base digitable'!#REF!</f>
        <v>#REF!</v>
      </c>
      <c r="H231" s="56" t="e">
        <f>+'Proyectos Base digitable'!#REF!</f>
        <v>#REF!</v>
      </c>
      <c r="I231" s="56" t="e">
        <f>+'Proyectos Base digitable'!#REF!</f>
        <v>#REF!</v>
      </c>
      <c r="J231" s="56" t="e">
        <f>+'Proyectos Base digitable'!#REF!</f>
        <v>#REF!</v>
      </c>
      <c r="K231" s="56" t="e">
        <f>+'Proyectos Base digitable'!#REF!</f>
        <v>#REF!</v>
      </c>
      <c r="L231" s="56" t="e">
        <f>+'Proyectos Base digitable'!#REF!</f>
        <v>#REF!</v>
      </c>
      <c r="M231" s="56" t="e">
        <f>+'Proyectos Base digitable'!#REF!</f>
        <v>#REF!</v>
      </c>
      <c r="N231" s="52" t="e">
        <f>+'Proyectos Base digitable'!#REF!</f>
        <v>#REF!</v>
      </c>
      <c r="O231" s="52" t="e">
        <f>+'Proyectos Base digitable'!#REF!</f>
        <v>#REF!</v>
      </c>
      <c r="P231" s="185" t="e">
        <f>+'Proyectos Base digitable'!#REF!</f>
        <v>#REF!</v>
      </c>
      <c r="Q231" s="58" t="e">
        <f>+'Proyectos Base digitable'!#REF!</f>
        <v>#REF!</v>
      </c>
      <c r="R231" s="58" t="e">
        <f>+'Proyectos Base digitable'!#REF!</f>
        <v>#REF!</v>
      </c>
      <c r="S231" s="58" t="e">
        <f>+'Proyectos Base digitable'!#REF!</f>
        <v>#REF!</v>
      </c>
      <c r="T231" s="58" t="e">
        <f>+'Proyectos Base digitable'!#REF!</f>
        <v>#REF!</v>
      </c>
      <c r="U231" s="63" t="e">
        <f>'Proyectos Base digitable'!#REF!</f>
        <v>#REF!</v>
      </c>
      <c r="V231" s="63" t="e">
        <f>'Proyectos Base digitable'!#REF!</f>
        <v>#REF!</v>
      </c>
      <c r="W231" s="63" t="e">
        <f>'Proyectos Base digitable'!#REF!</f>
        <v>#REF!</v>
      </c>
      <c r="X231" s="63" t="e">
        <f>'Proyectos Base digitable'!#REF!</f>
        <v>#REF!</v>
      </c>
      <c r="Y231" s="63" t="e">
        <f>'Proyectos Base digitable'!#REF!</f>
        <v>#REF!</v>
      </c>
      <c r="Z231" s="58" t="e">
        <f>+'Proyectos Base digitable'!#REF!</f>
        <v>#REF!</v>
      </c>
      <c r="AA231" s="58" t="e">
        <f>+'Proyectos Base digitable'!#REF!</f>
        <v>#REF!</v>
      </c>
      <c r="AB231" s="63" t="e">
        <f>'Proyectos Base digitable'!#REF!</f>
        <v>#REF!</v>
      </c>
      <c r="AC231" s="56" t="e">
        <f>+'Proyectos Base digitable'!#REF!</f>
        <v>#REF!</v>
      </c>
      <c r="AD231" s="52" t="e">
        <f>+'Proyectos Base digitable'!#REF!</f>
        <v>#REF!</v>
      </c>
      <c r="AE231" s="52" t="e">
        <f>+'Proyectos Base digitable'!#REF!</f>
        <v>#REF!</v>
      </c>
      <c r="AF231" s="52" t="e">
        <f>+'Proyectos Base digitable'!#REF!</f>
        <v>#REF!</v>
      </c>
      <c r="AG231" s="56" t="e">
        <f>+'Proyectos Base digitable'!#REF!</f>
        <v>#REF!</v>
      </c>
      <c r="AH231" s="52" t="e">
        <f>+'Proyectos Base digitable'!#REF!</f>
        <v>#REF!</v>
      </c>
      <c r="AI231" s="52" t="e">
        <f>+'Proyectos Base digitable'!#REF!</f>
        <v>#REF!</v>
      </c>
      <c r="AJ231" s="59" t="e">
        <f>+'Proyectos Base digitable'!#REF!</f>
        <v>#REF!</v>
      </c>
      <c r="AK231" s="186" t="e">
        <f>+'Proyectos Base digitable'!#REF!</f>
        <v>#REF!</v>
      </c>
      <c r="AL231" s="186" t="e">
        <f>+'Proyectos Base digitable'!#REF!</f>
        <v>#REF!</v>
      </c>
      <c r="AM231" s="186" t="e">
        <f>+'Proyectos Base digitable'!#REF!</f>
        <v>#REF!</v>
      </c>
      <c r="AN231" s="186" t="e">
        <f>+'Proyectos Base digitable'!#REF!</f>
        <v>#REF!</v>
      </c>
      <c r="AO231" s="186" t="e">
        <f>+'Proyectos Base digitable'!#REF!</f>
        <v>#REF!</v>
      </c>
      <c r="AP231" s="186" t="e">
        <f>+'Proyectos Base digitable'!#REF!</f>
        <v>#REF!</v>
      </c>
      <c r="AQ231" s="186" t="e">
        <f>+'Proyectos Base digitable'!#REF!</f>
        <v>#REF!</v>
      </c>
      <c r="AR231" s="186" t="e">
        <f>+'Proyectos Base digitable'!#REF!</f>
        <v>#REF!</v>
      </c>
      <c r="AS231" s="186" t="e">
        <f>+'Proyectos Base digitable'!#REF!</f>
        <v>#REF!</v>
      </c>
      <c r="AT231" s="187" t="e">
        <f>+'Proyectos Base digitable'!#REF!</f>
        <v>#REF!</v>
      </c>
      <c r="AU231" s="56" t="e">
        <f>+'Proyectos Base digitable'!#REF!</f>
        <v>#REF!</v>
      </c>
      <c r="AV231" s="56" t="e">
        <f>+'Proyectos Base digitable'!#REF!</f>
        <v>#REF!</v>
      </c>
      <c r="AW231" s="56" t="e">
        <f>+'Proyectos Base digitable'!#REF!</f>
        <v>#REF!</v>
      </c>
      <c r="AX231" s="56" t="e">
        <f>+'Proyectos Base digitable'!#REF!</f>
        <v>#REF!</v>
      </c>
      <c r="AY231" s="56" t="e">
        <f>+'Proyectos Base digitable'!#REF!</f>
        <v>#REF!</v>
      </c>
      <c r="AZ231" s="188" t="e">
        <f>+'Proyectos Base digitable'!#REF!</f>
        <v>#REF!</v>
      </c>
      <c r="BA231" s="188" t="e">
        <f>+'Proyectos Base digitable'!#REF!</f>
        <v>#REF!</v>
      </c>
    </row>
    <row r="232" spans="1:53" ht="13.5" customHeight="1">
      <c r="A232" s="60" t="e">
        <f>+'Proyectos Base digitable'!#REF!</f>
        <v>#REF!</v>
      </c>
      <c r="B232" s="56" t="e">
        <f>+'Proyectos Base digitable'!#REF!</f>
        <v>#REF!</v>
      </c>
      <c r="C232" s="56" t="e">
        <f>+'Proyectos Base digitable'!#REF!</f>
        <v>#REF!</v>
      </c>
      <c r="D232" s="56" t="e">
        <f>+'Proyectos Base digitable'!#REF!</f>
        <v>#REF!</v>
      </c>
      <c r="E232" s="56" t="e">
        <f>+'Proyectos Base digitable'!#REF!</f>
        <v>#REF!</v>
      </c>
      <c r="F232" s="56" t="e">
        <f>+'Proyectos Base digitable'!#REF!</f>
        <v>#REF!</v>
      </c>
      <c r="G232" s="57" t="e">
        <f>+'Proyectos Base digitable'!#REF!</f>
        <v>#REF!</v>
      </c>
      <c r="H232" s="56" t="e">
        <f>+'Proyectos Base digitable'!#REF!</f>
        <v>#REF!</v>
      </c>
      <c r="I232" s="56" t="e">
        <f>+'Proyectos Base digitable'!#REF!</f>
        <v>#REF!</v>
      </c>
      <c r="J232" s="56" t="e">
        <f>+'Proyectos Base digitable'!#REF!</f>
        <v>#REF!</v>
      </c>
      <c r="K232" s="56" t="e">
        <f>+'Proyectos Base digitable'!#REF!</f>
        <v>#REF!</v>
      </c>
      <c r="L232" s="56" t="e">
        <f>+'Proyectos Base digitable'!#REF!</f>
        <v>#REF!</v>
      </c>
      <c r="M232" s="56" t="e">
        <f>+'Proyectos Base digitable'!#REF!</f>
        <v>#REF!</v>
      </c>
      <c r="N232" s="52" t="e">
        <f>+'Proyectos Base digitable'!#REF!</f>
        <v>#REF!</v>
      </c>
      <c r="O232" s="52" t="e">
        <f>+'Proyectos Base digitable'!#REF!</f>
        <v>#REF!</v>
      </c>
      <c r="P232" s="185" t="e">
        <f>+'Proyectos Base digitable'!#REF!</f>
        <v>#REF!</v>
      </c>
      <c r="Q232" s="58" t="e">
        <f>+'Proyectos Base digitable'!#REF!</f>
        <v>#REF!</v>
      </c>
      <c r="R232" s="58" t="e">
        <f>+'Proyectos Base digitable'!#REF!</f>
        <v>#REF!</v>
      </c>
      <c r="S232" s="58" t="e">
        <f>+'Proyectos Base digitable'!#REF!</f>
        <v>#REF!</v>
      </c>
      <c r="T232" s="58" t="e">
        <f>+'Proyectos Base digitable'!#REF!</f>
        <v>#REF!</v>
      </c>
      <c r="U232" s="63" t="e">
        <f>'Proyectos Base digitable'!#REF!</f>
        <v>#REF!</v>
      </c>
      <c r="V232" s="63" t="e">
        <f>'Proyectos Base digitable'!#REF!</f>
        <v>#REF!</v>
      </c>
      <c r="W232" s="63" t="e">
        <f>'Proyectos Base digitable'!#REF!</f>
        <v>#REF!</v>
      </c>
      <c r="X232" s="63" t="e">
        <f>'Proyectos Base digitable'!#REF!</f>
        <v>#REF!</v>
      </c>
      <c r="Y232" s="63" t="e">
        <f>'Proyectos Base digitable'!#REF!</f>
        <v>#REF!</v>
      </c>
      <c r="Z232" s="58" t="e">
        <f>+'Proyectos Base digitable'!#REF!</f>
        <v>#REF!</v>
      </c>
      <c r="AA232" s="58" t="e">
        <f>+'Proyectos Base digitable'!#REF!</f>
        <v>#REF!</v>
      </c>
      <c r="AB232" s="63" t="e">
        <f>'Proyectos Base digitable'!#REF!</f>
        <v>#REF!</v>
      </c>
      <c r="AC232" s="56" t="e">
        <f>+'Proyectos Base digitable'!#REF!</f>
        <v>#REF!</v>
      </c>
      <c r="AD232" s="52" t="e">
        <f>+'Proyectos Base digitable'!#REF!</f>
        <v>#REF!</v>
      </c>
      <c r="AE232" s="52" t="e">
        <f>+'Proyectos Base digitable'!#REF!</f>
        <v>#REF!</v>
      </c>
      <c r="AF232" s="52" t="e">
        <f>+'Proyectos Base digitable'!#REF!</f>
        <v>#REF!</v>
      </c>
      <c r="AG232" s="56" t="e">
        <f>+'Proyectos Base digitable'!#REF!</f>
        <v>#REF!</v>
      </c>
      <c r="AH232" s="52" t="e">
        <f>+'Proyectos Base digitable'!#REF!</f>
        <v>#REF!</v>
      </c>
      <c r="AI232" s="52" t="e">
        <f>+'Proyectos Base digitable'!#REF!</f>
        <v>#REF!</v>
      </c>
      <c r="AJ232" s="59" t="e">
        <f>+'Proyectos Base digitable'!#REF!</f>
        <v>#REF!</v>
      </c>
      <c r="AK232" s="186" t="e">
        <f>+'Proyectos Base digitable'!#REF!</f>
        <v>#REF!</v>
      </c>
      <c r="AL232" s="186" t="e">
        <f>+'Proyectos Base digitable'!#REF!</f>
        <v>#REF!</v>
      </c>
      <c r="AM232" s="186" t="e">
        <f>+'Proyectos Base digitable'!#REF!</f>
        <v>#REF!</v>
      </c>
      <c r="AN232" s="186" t="e">
        <f>+'Proyectos Base digitable'!#REF!</f>
        <v>#REF!</v>
      </c>
      <c r="AO232" s="186" t="e">
        <f>+'Proyectos Base digitable'!#REF!</f>
        <v>#REF!</v>
      </c>
      <c r="AP232" s="186" t="e">
        <f>+'Proyectos Base digitable'!#REF!</f>
        <v>#REF!</v>
      </c>
      <c r="AQ232" s="186" t="e">
        <f>+'Proyectos Base digitable'!#REF!</f>
        <v>#REF!</v>
      </c>
      <c r="AR232" s="186" t="e">
        <f>+'Proyectos Base digitable'!#REF!</f>
        <v>#REF!</v>
      </c>
      <c r="AS232" s="186" t="e">
        <f>+'Proyectos Base digitable'!#REF!</f>
        <v>#REF!</v>
      </c>
      <c r="AT232" s="187" t="e">
        <f>+'Proyectos Base digitable'!#REF!</f>
        <v>#REF!</v>
      </c>
      <c r="AU232" s="56" t="e">
        <f>+'Proyectos Base digitable'!#REF!</f>
        <v>#REF!</v>
      </c>
      <c r="AV232" s="56" t="e">
        <f>+'Proyectos Base digitable'!#REF!</f>
        <v>#REF!</v>
      </c>
      <c r="AW232" s="56" t="e">
        <f>+'Proyectos Base digitable'!#REF!</f>
        <v>#REF!</v>
      </c>
      <c r="AX232" s="56" t="e">
        <f>+'Proyectos Base digitable'!#REF!</f>
        <v>#REF!</v>
      </c>
      <c r="AY232" s="56" t="e">
        <f>+'Proyectos Base digitable'!#REF!</f>
        <v>#REF!</v>
      </c>
      <c r="AZ232" s="188" t="e">
        <f>+'Proyectos Base digitable'!#REF!</f>
        <v>#REF!</v>
      </c>
      <c r="BA232" s="188" t="e">
        <f>+'Proyectos Base digitable'!#REF!</f>
        <v>#REF!</v>
      </c>
    </row>
    <row r="233" spans="1:53" ht="13.5" customHeight="1">
      <c r="A233" s="60" t="e">
        <f>+'Proyectos Base digitable'!#REF!</f>
        <v>#REF!</v>
      </c>
      <c r="B233" s="56" t="e">
        <f>+'Proyectos Base digitable'!#REF!</f>
        <v>#REF!</v>
      </c>
      <c r="C233" s="56" t="e">
        <f>+'Proyectos Base digitable'!#REF!</f>
        <v>#REF!</v>
      </c>
      <c r="D233" s="56" t="e">
        <f>+'Proyectos Base digitable'!#REF!</f>
        <v>#REF!</v>
      </c>
      <c r="E233" s="56" t="e">
        <f>+'Proyectos Base digitable'!#REF!</f>
        <v>#REF!</v>
      </c>
      <c r="F233" s="56" t="e">
        <f>+'Proyectos Base digitable'!#REF!</f>
        <v>#REF!</v>
      </c>
      <c r="G233" s="57" t="e">
        <f>+'Proyectos Base digitable'!#REF!</f>
        <v>#REF!</v>
      </c>
      <c r="H233" s="56" t="e">
        <f>+'Proyectos Base digitable'!#REF!</f>
        <v>#REF!</v>
      </c>
      <c r="I233" s="56" t="e">
        <f>+'Proyectos Base digitable'!#REF!</f>
        <v>#REF!</v>
      </c>
      <c r="J233" s="56" t="e">
        <f>+'Proyectos Base digitable'!#REF!</f>
        <v>#REF!</v>
      </c>
      <c r="K233" s="56" t="e">
        <f>+'Proyectos Base digitable'!#REF!</f>
        <v>#REF!</v>
      </c>
      <c r="L233" s="56" t="e">
        <f>+'Proyectos Base digitable'!#REF!</f>
        <v>#REF!</v>
      </c>
      <c r="M233" s="56" t="e">
        <f>+'Proyectos Base digitable'!#REF!</f>
        <v>#REF!</v>
      </c>
      <c r="N233" s="52" t="e">
        <f>+'Proyectos Base digitable'!#REF!</f>
        <v>#REF!</v>
      </c>
      <c r="O233" s="52" t="e">
        <f>+'Proyectos Base digitable'!#REF!</f>
        <v>#REF!</v>
      </c>
      <c r="P233" s="185" t="e">
        <f>+'Proyectos Base digitable'!#REF!</f>
        <v>#REF!</v>
      </c>
      <c r="Q233" s="58" t="e">
        <f>+'Proyectos Base digitable'!#REF!</f>
        <v>#REF!</v>
      </c>
      <c r="R233" s="58" t="e">
        <f>+'Proyectos Base digitable'!#REF!</f>
        <v>#REF!</v>
      </c>
      <c r="S233" s="58" t="e">
        <f>+'Proyectos Base digitable'!#REF!</f>
        <v>#REF!</v>
      </c>
      <c r="T233" s="58" t="e">
        <f>+'Proyectos Base digitable'!#REF!</f>
        <v>#REF!</v>
      </c>
      <c r="U233" s="63" t="e">
        <f>'Proyectos Base digitable'!#REF!</f>
        <v>#REF!</v>
      </c>
      <c r="V233" s="63" t="e">
        <f>'Proyectos Base digitable'!#REF!</f>
        <v>#REF!</v>
      </c>
      <c r="W233" s="63" t="e">
        <f>'Proyectos Base digitable'!#REF!</f>
        <v>#REF!</v>
      </c>
      <c r="X233" s="63" t="e">
        <f>'Proyectos Base digitable'!#REF!</f>
        <v>#REF!</v>
      </c>
      <c r="Y233" s="63" t="e">
        <f>'Proyectos Base digitable'!#REF!</f>
        <v>#REF!</v>
      </c>
      <c r="Z233" s="58" t="e">
        <f>+'Proyectos Base digitable'!#REF!</f>
        <v>#REF!</v>
      </c>
      <c r="AA233" s="58" t="e">
        <f>+'Proyectos Base digitable'!#REF!</f>
        <v>#REF!</v>
      </c>
      <c r="AB233" s="63" t="e">
        <f>'Proyectos Base digitable'!#REF!</f>
        <v>#REF!</v>
      </c>
      <c r="AC233" s="56" t="e">
        <f>+'Proyectos Base digitable'!#REF!</f>
        <v>#REF!</v>
      </c>
      <c r="AD233" s="52" t="e">
        <f>+'Proyectos Base digitable'!#REF!</f>
        <v>#REF!</v>
      </c>
      <c r="AE233" s="52" t="e">
        <f>+'Proyectos Base digitable'!#REF!</f>
        <v>#REF!</v>
      </c>
      <c r="AF233" s="52" t="e">
        <f>+'Proyectos Base digitable'!#REF!</f>
        <v>#REF!</v>
      </c>
      <c r="AG233" s="56" t="e">
        <f>+'Proyectos Base digitable'!#REF!</f>
        <v>#REF!</v>
      </c>
      <c r="AH233" s="52" t="e">
        <f>+'Proyectos Base digitable'!#REF!</f>
        <v>#REF!</v>
      </c>
      <c r="AI233" s="52" t="e">
        <f>+'Proyectos Base digitable'!#REF!</f>
        <v>#REF!</v>
      </c>
      <c r="AJ233" s="59" t="e">
        <f>+'Proyectos Base digitable'!#REF!</f>
        <v>#REF!</v>
      </c>
      <c r="AK233" s="186" t="e">
        <f>+'Proyectos Base digitable'!#REF!</f>
        <v>#REF!</v>
      </c>
      <c r="AL233" s="186" t="e">
        <f>+'Proyectos Base digitable'!#REF!</f>
        <v>#REF!</v>
      </c>
      <c r="AM233" s="186" t="e">
        <f>+'Proyectos Base digitable'!#REF!</f>
        <v>#REF!</v>
      </c>
      <c r="AN233" s="186" t="e">
        <f>+'Proyectos Base digitable'!#REF!</f>
        <v>#REF!</v>
      </c>
      <c r="AO233" s="186" t="e">
        <f>+'Proyectos Base digitable'!#REF!</f>
        <v>#REF!</v>
      </c>
      <c r="AP233" s="186" t="e">
        <f>+'Proyectos Base digitable'!#REF!</f>
        <v>#REF!</v>
      </c>
      <c r="AQ233" s="186" t="e">
        <f>+'Proyectos Base digitable'!#REF!</f>
        <v>#REF!</v>
      </c>
      <c r="AR233" s="186" t="e">
        <f>+'Proyectos Base digitable'!#REF!</f>
        <v>#REF!</v>
      </c>
      <c r="AS233" s="186" t="e">
        <f>+'Proyectos Base digitable'!#REF!</f>
        <v>#REF!</v>
      </c>
      <c r="AT233" s="187" t="e">
        <f>+'Proyectos Base digitable'!#REF!</f>
        <v>#REF!</v>
      </c>
      <c r="AU233" s="56" t="e">
        <f>+'Proyectos Base digitable'!#REF!</f>
        <v>#REF!</v>
      </c>
      <c r="AV233" s="56" t="e">
        <f>+'Proyectos Base digitable'!#REF!</f>
        <v>#REF!</v>
      </c>
      <c r="AW233" s="56" t="e">
        <f>+'Proyectos Base digitable'!#REF!</f>
        <v>#REF!</v>
      </c>
      <c r="AX233" s="56" t="e">
        <f>+'Proyectos Base digitable'!#REF!</f>
        <v>#REF!</v>
      </c>
      <c r="AY233" s="56" t="e">
        <f>+'Proyectos Base digitable'!#REF!</f>
        <v>#REF!</v>
      </c>
      <c r="AZ233" s="188" t="e">
        <f>+'Proyectos Base digitable'!#REF!</f>
        <v>#REF!</v>
      </c>
      <c r="BA233" s="188" t="e">
        <f>+'Proyectos Base digitable'!#REF!</f>
        <v>#REF!</v>
      </c>
    </row>
    <row r="234" spans="1:53" ht="13.5" customHeight="1">
      <c r="A234" s="60" t="e">
        <f>+'Proyectos Base digitable'!#REF!</f>
        <v>#REF!</v>
      </c>
      <c r="B234" s="56" t="e">
        <f>+'Proyectos Base digitable'!#REF!</f>
        <v>#REF!</v>
      </c>
      <c r="C234" s="56" t="e">
        <f>+'Proyectos Base digitable'!#REF!</f>
        <v>#REF!</v>
      </c>
      <c r="D234" s="56" t="e">
        <f>+'Proyectos Base digitable'!#REF!</f>
        <v>#REF!</v>
      </c>
      <c r="E234" s="56" t="e">
        <f>+'Proyectos Base digitable'!#REF!</f>
        <v>#REF!</v>
      </c>
      <c r="F234" s="56" t="e">
        <f>+'Proyectos Base digitable'!#REF!</f>
        <v>#REF!</v>
      </c>
      <c r="G234" s="57" t="e">
        <f>+'Proyectos Base digitable'!#REF!</f>
        <v>#REF!</v>
      </c>
      <c r="H234" s="56" t="e">
        <f>+'Proyectos Base digitable'!#REF!</f>
        <v>#REF!</v>
      </c>
      <c r="I234" s="56" t="e">
        <f>+'Proyectos Base digitable'!#REF!</f>
        <v>#REF!</v>
      </c>
      <c r="J234" s="56" t="e">
        <f>+'Proyectos Base digitable'!#REF!</f>
        <v>#REF!</v>
      </c>
      <c r="K234" s="56" t="e">
        <f>+'Proyectos Base digitable'!#REF!</f>
        <v>#REF!</v>
      </c>
      <c r="L234" s="56" t="e">
        <f>+'Proyectos Base digitable'!#REF!</f>
        <v>#REF!</v>
      </c>
      <c r="M234" s="56" t="e">
        <f>+'Proyectos Base digitable'!#REF!</f>
        <v>#REF!</v>
      </c>
      <c r="N234" s="52" t="e">
        <f>+'Proyectos Base digitable'!#REF!</f>
        <v>#REF!</v>
      </c>
      <c r="O234" s="52" t="e">
        <f>+'Proyectos Base digitable'!#REF!</f>
        <v>#REF!</v>
      </c>
      <c r="P234" s="185" t="e">
        <f>+'Proyectos Base digitable'!#REF!</f>
        <v>#REF!</v>
      </c>
      <c r="Q234" s="58" t="e">
        <f>+'Proyectos Base digitable'!#REF!</f>
        <v>#REF!</v>
      </c>
      <c r="R234" s="58" t="e">
        <f>+'Proyectos Base digitable'!#REF!</f>
        <v>#REF!</v>
      </c>
      <c r="S234" s="58" t="e">
        <f>+'Proyectos Base digitable'!#REF!</f>
        <v>#REF!</v>
      </c>
      <c r="T234" s="58" t="e">
        <f>+'Proyectos Base digitable'!#REF!</f>
        <v>#REF!</v>
      </c>
      <c r="U234" s="63" t="e">
        <f>'Proyectos Base digitable'!#REF!</f>
        <v>#REF!</v>
      </c>
      <c r="V234" s="63" t="e">
        <f>'Proyectos Base digitable'!#REF!</f>
        <v>#REF!</v>
      </c>
      <c r="W234" s="63" t="e">
        <f>'Proyectos Base digitable'!#REF!</f>
        <v>#REF!</v>
      </c>
      <c r="X234" s="63" t="e">
        <f>'Proyectos Base digitable'!#REF!</f>
        <v>#REF!</v>
      </c>
      <c r="Y234" s="63" t="e">
        <f>'Proyectos Base digitable'!#REF!</f>
        <v>#REF!</v>
      </c>
      <c r="Z234" s="58" t="e">
        <f>+'Proyectos Base digitable'!#REF!</f>
        <v>#REF!</v>
      </c>
      <c r="AA234" s="58" t="e">
        <f>+'Proyectos Base digitable'!#REF!</f>
        <v>#REF!</v>
      </c>
      <c r="AB234" s="63" t="e">
        <f>'Proyectos Base digitable'!#REF!</f>
        <v>#REF!</v>
      </c>
      <c r="AC234" s="56" t="e">
        <f>+'Proyectos Base digitable'!#REF!</f>
        <v>#REF!</v>
      </c>
      <c r="AD234" s="52" t="e">
        <f>+'Proyectos Base digitable'!#REF!</f>
        <v>#REF!</v>
      </c>
      <c r="AE234" s="52" t="e">
        <f>+'Proyectos Base digitable'!#REF!</f>
        <v>#REF!</v>
      </c>
      <c r="AF234" s="52" t="e">
        <f>+'Proyectos Base digitable'!#REF!</f>
        <v>#REF!</v>
      </c>
      <c r="AG234" s="56" t="e">
        <f>+'Proyectos Base digitable'!#REF!</f>
        <v>#REF!</v>
      </c>
      <c r="AH234" s="52" t="e">
        <f>+'Proyectos Base digitable'!#REF!</f>
        <v>#REF!</v>
      </c>
      <c r="AI234" s="52" t="e">
        <f>+'Proyectos Base digitable'!#REF!</f>
        <v>#REF!</v>
      </c>
      <c r="AJ234" s="59" t="e">
        <f>+'Proyectos Base digitable'!#REF!</f>
        <v>#REF!</v>
      </c>
      <c r="AK234" s="186" t="e">
        <f>+'Proyectos Base digitable'!#REF!</f>
        <v>#REF!</v>
      </c>
      <c r="AL234" s="186" t="e">
        <f>+'Proyectos Base digitable'!#REF!</f>
        <v>#REF!</v>
      </c>
      <c r="AM234" s="186" t="e">
        <f>+'Proyectos Base digitable'!#REF!</f>
        <v>#REF!</v>
      </c>
      <c r="AN234" s="186" t="e">
        <f>+'Proyectos Base digitable'!#REF!</f>
        <v>#REF!</v>
      </c>
      <c r="AO234" s="186" t="e">
        <f>+'Proyectos Base digitable'!#REF!</f>
        <v>#REF!</v>
      </c>
      <c r="AP234" s="186" t="e">
        <f>+'Proyectos Base digitable'!#REF!</f>
        <v>#REF!</v>
      </c>
      <c r="AQ234" s="186" t="e">
        <f>+'Proyectos Base digitable'!#REF!</f>
        <v>#REF!</v>
      </c>
      <c r="AR234" s="186" t="e">
        <f>+'Proyectos Base digitable'!#REF!</f>
        <v>#REF!</v>
      </c>
      <c r="AS234" s="186" t="e">
        <f>+'Proyectos Base digitable'!#REF!</f>
        <v>#REF!</v>
      </c>
      <c r="AT234" s="187" t="e">
        <f>+'Proyectos Base digitable'!#REF!</f>
        <v>#REF!</v>
      </c>
      <c r="AU234" s="56" t="e">
        <f>+'Proyectos Base digitable'!#REF!</f>
        <v>#REF!</v>
      </c>
      <c r="AV234" s="56" t="e">
        <f>+'Proyectos Base digitable'!#REF!</f>
        <v>#REF!</v>
      </c>
      <c r="AW234" s="56" t="e">
        <f>+'Proyectos Base digitable'!#REF!</f>
        <v>#REF!</v>
      </c>
      <c r="AX234" s="56" t="e">
        <f>+'Proyectos Base digitable'!#REF!</f>
        <v>#REF!</v>
      </c>
      <c r="AY234" s="56" t="e">
        <f>+'Proyectos Base digitable'!#REF!</f>
        <v>#REF!</v>
      </c>
      <c r="AZ234" s="188" t="e">
        <f>+'Proyectos Base digitable'!#REF!</f>
        <v>#REF!</v>
      </c>
      <c r="BA234" s="188" t="e">
        <f>+'Proyectos Base digitable'!#REF!</f>
        <v>#REF!</v>
      </c>
    </row>
    <row r="235" spans="1:53" ht="13.5" customHeight="1">
      <c r="A235" s="60" t="e">
        <f>+'Proyectos Base digitable'!#REF!</f>
        <v>#REF!</v>
      </c>
      <c r="B235" s="56" t="e">
        <f>+'Proyectos Base digitable'!#REF!</f>
        <v>#REF!</v>
      </c>
      <c r="C235" s="56" t="e">
        <f>+'Proyectos Base digitable'!#REF!</f>
        <v>#REF!</v>
      </c>
      <c r="D235" s="56" t="e">
        <f>+'Proyectos Base digitable'!#REF!</f>
        <v>#REF!</v>
      </c>
      <c r="E235" s="56" t="e">
        <f>+'Proyectos Base digitable'!#REF!</f>
        <v>#REF!</v>
      </c>
      <c r="F235" s="56" t="e">
        <f>+'Proyectos Base digitable'!#REF!</f>
        <v>#REF!</v>
      </c>
      <c r="G235" s="57" t="e">
        <f>+'Proyectos Base digitable'!#REF!</f>
        <v>#REF!</v>
      </c>
      <c r="H235" s="56" t="e">
        <f>+'Proyectos Base digitable'!#REF!</f>
        <v>#REF!</v>
      </c>
      <c r="I235" s="56" t="e">
        <f>+'Proyectos Base digitable'!#REF!</f>
        <v>#REF!</v>
      </c>
      <c r="J235" s="56" t="e">
        <f>+'Proyectos Base digitable'!#REF!</f>
        <v>#REF!</v>
      </c>
      <c r="K235" s="56" t="e">
        <f>+'Proyectos Base digitable'!#REF!</f>
        <v>#REF!</v>
      </c>
      <c r="L235" s="56" t="e">
        <f>+'Proyectos Base digitable'!#REF!</f>
        <v>#REF!</v>
      </c>
      <c r="M235" s="56" t="e">
        <f>+'Proyectos Base digitable'!#REF!</f>
        <v>#REF!</v>
      </c>
      <c r="N235" s="52" t="e">
        <f>+'Proyectos Base digitable'!#REF!</f>
        <v>#REF!</v>
      </c>
      <c r="O235" s="52" t="e">
        <f>+'Proyectos Base digitable'!#REF!</f>
        <v>#REF!</v>
      </c>
      <c r="P235" s="185" t="e">
        <f>+'Proyectos Base digitable'!#REF!</f>
        <v>#REF!</v>
      </c>
      <c r="Q235" s="58" t="e">
        <f>+'Proyectos Base digitable'!#REF!</f>
        <v>#REF!</v>
      </c>
      <c r="R235" s="58" t="e">
        <f>+'Proyectos Base digitable'!#REF!</f>
        <v>#REF!</v>
      </c>
      <c r="S235" s="58" t="e">
        <f>+'Proyectos Base digitable'!#REF!</f>
        <v>#REF!</v>
      </c>
      <c r="T235" s="58" t="e">
        <f>+'Proyectos Base digitable'!#REF!</f>
        <v>#REF!</v>
      </c>
      <c r="U235" s="63" t="e">
        <f>'Proyectos Base digitable'!#REF!</f>
        <v>#REF!</v>
      </c>
      <c r="V235" s="63" t="e">
        <f>'Proyectos Base digitable'!#REF!</f>
        <v>#REF!</v>
      </c>
      <c r="W235" s="63" t="e">
        <f>'Proyectos Base digitable'!#REF!</f>
        <v>#REF!</v>
      </c>
      <c r="X235" s="63" t="e">
        <f>'Proyectos Base digitable'!#REF!</f>
        <v>#REF!</v>
      </c>
      <c r="Y235" s="63" t="e">
        <f>'Proyectos Base digitable'!#REF!</f>
        <v>#REF!</v>
      </c>
      <c r="Z235" s="58" t="e">
        <f>+'Proyectos Base digitable'!#REF!</f>
        <v>#REF!</v>
      </c>
      <c r="AA235" s="58" t="e">
        <f>+'Proyectos Base digitable'!#REF!</f>
        <v>#REF!</v>
      </c>
      <c r="AB235" s="63" t="e">
        <f>'Proyectos Base digitable'!#REF!</f>
        <v>#REF!</v>
      </c>
      <c r="AC235" s="56" t="e">
        <f>+'Proyectos Base digitable'!#REF!</f>
        <v>#REF!</v>
      </c>
      <c r="AD235" s="52" t="e">
        <f>+'Proyectos Base digitable'!#REF!</f>
        <v>#REF!</v>
      </c>
      <c r="AE235" s="52" t="e">
        <f>+'Proyectos Base digitable'!#REF!</f>
        <v>#REF!</v>
      </c>
      <c r="AF235" s="52" t="e">
        <f>+'Proyectos Base digitable'!#REF!</f>
        <v>#REF!</v>
      </c>
      <c r="AG235" s="56" t="e">
        <f>+'Proyectos Base digitable'!#REF!</f>
        <v>#REF!</v>
      </c>
      <c r="AH235" s="52" t="e">
        <f>+'Proyectos Base digitable'!#REF!</f>
        <v>#REF!</v>
      </c>
      <c r="AI235" s="52" t="e">
        <f>+'Proyectos Base digitable'!#REF!</f>
        <v>#REF!</v>
      </c>
      <c r="AJ235" s="59" t="e">
        <f>+'Proyectos Base digitable'!#REF!</f>
        <v>#REF!</v>
      </c>
      <c r="AK235" s="186" t="e">
        <f>+'Proyectos Base digitable'!#REF!</f>
        <v>#REF!</v>
      </c>
      <c r="AL235" s="186" t="e">
        <f>+'Proyectos Base digitable'!#REF!</f>
        <v>#REF!</v>
      </c>
      <c r="AM235" s="186" t="e">
        <f>+'Proyectos Base digitable'!#REF!</f>
        <v>#REF!</v>
      </c>
      <c r="AN235" s="186" t="e">
        <f>+'Proyectos Base digitable'!#REF!</f>
        <v>#REF!</v>
      </c>
      <c r="AO235" s="186" t="e">
        <f>+'Proyectos Base digitable'!#REF!</f>
        <v>#REF!</v>
      </c>
      <c r="AP235" s="186" t="e">
        <f>+'Proyectos Base digitable'!#REF!</f>
        <v>#REF!</v>
      </c>
      <c r="AQ235" s="186" t="e">
        <f>+'Proyectos Base digitable'!#REF!</f>
        <v>#REF!</v>
      </c>
      <c r="AR235" s="186" t="e">
        <f>+'Proyectos Base digitable'!#REF!</f>
        <v>#REF!</v>
      </c>
      <c r="AS235" s="186" t="e">
        <f>+'Proyectos Base digitable'!#REF!</f>
        <v>#REF!</v>
      </c>
      <c r="AT235" s="187" t="e">
        <f>+'Proyectos Base digitable'!#REF!</f>
        <v>#REF!</v>
      </c>
      <c r="AU235" s="56" t="e">
        <f>+'Proyectos Base digitable'!#REF!</f>
        <v>#REF!</v>
      </c>
      <c r="AV235" s="56" t="e">
        <f>+'Proyectos Base digitable'!#REF!</f>
        <v>#REF!</v>
      </c>
      <c r="AW235" s="56" t="e">
        <f>+'Proyectos Base digitable'!#REF!</f>
        <v>#REF!</v>
      </c>
      <c r="AX235" s="56" t="e">
        <f>+'Proyectos Base digitable'!#REF!</f>
        <v>#REF!</v>
      </c>
      <c r="AY235" s="56" t="e">
        <f>+'Proyectos Base digitable'!#REF!</f>
        <v>#REF!</v>
      </c>
      <c r="AZ235" s="188" t="e">
        <f>+'Proyectos Base digitable'!#REF!</f>
        <v>#REF!</v>
      </c>
      <c r="BA235" s="188" t="e">
        <f>+'Proyectos Base digitable'!#REF!</f>
        <v>#REF!</v>
      </c>
    </row>
    <row r="236" spans="1:53" ht="13.5" customHeight="1">
      <c r="A236" s="60" t="e">
        <f>+'Proyectos Base digitable'!#REF!</f>
        <v>#REF!</v>
      </c>
      <c r="B236" s="56" t="e">
        <f>+'Proyectos Base digitable'!#REF!</f>
        <v>#REF!</v>
      </c>
      <c r="C236" s="56" t="e">
        <f>+'Proyectos Base digitable'!#REF!</f>
        <v>#REF!</v>
      </c>
      <c r="D236" s="56" t="e">
        <f>+'Proyectos Base digitable'!#REF!</f>
        <v>#REF!</v>
      </c>
      <c r="E236" s="56" t="e">
        <f>+'Proyectos Base digitable'!#REF!</f>
        <v>#REF!</v>
      </c>
      <c r="F236" s="56" t="e">
        <f>+'Proyectos Base digitable'!#REF!</f>
        <v>#REF!</v>
      </c>
      <c r="G236" s="57" t="e">
        <f>+'Proyectos Base digitable'!#REF!</f>
        <v>#REF!</v>
      </c>
      <c r="H236" s="56" t="e">
        <f>+'Proyectos Base digitable'!#REF!</f>
        <v>#REF!</v>
      </c>
      <c r="I236" s="56" t="e">
        <f>+'Proyectos Base digitable'!#REF!</f>
        <v>#REF!</v>
      </c>
      <c r="J236" s="56" t="e">
        <f>+'Proyectos Base digitable'!#REF!</f>
        <v>#REF!</v>
      </c>
      <c r="K236" s="56" t="e">
        <f>+'Proyectos Base digitable'!#REF!</f>
        <v>#REF!</v>
      </c>
      <c r="L236" s="56" t="e">
        <f>+'Proyectos Base digitable'!#REF!</f>
        <v>#REF!</v>
      </c>
      <c r="M236" s="56" t="e">
        <f>+'Proyectos Base digitable'!#REF!</f>
        <v>#REF!</v>
      </c>
      <c r="N236" s="52" t="e">
        <f>+'Proyectos Base digitable'!#REF!</f>
        <v>#REF!</v>
      </c>
      <c r="O236" s="52" t="e">
        <f>+'Proyectos Base digitable'!#REF!</f>
        <v>#REF!</v>
      </c>
      <c r="P236" s="185" t="e">
        <f>+'Proyectos Base digitable'!#REF!</f>
        <v>#REF!</v>
      </c>
      <c r="Q236" s="58" t="e">
        <f>+'Proyectos Base digitable'!#REF!</f>
        <v>#REF!</v>
      </c>
      <c r="R236" s="58" t="e">
        <f>+'Proyectos Base digitable'!#REF!</f>
        <v>#REF!</v>
      </c>
      <c r="S236" s="58" t="e">
        <f>+'Proyectos Base digitable'!#REF!</f>
        <v>#REF!</v>
      </c>
      <c r="T236" s="58" t="e">
        <f>+'Proyectos Base digitable'!#REF!</f>
        <v>#REF!</v>
      </c>
      <c r="U236" s="63" t="e">
        <f>'Proyectos Base digitable'!#REF!</f>
        <v>#REF!</v>
      </c>
      <c r="V236" s="63" t="e">
        <f>'Proyectos Base digitable'!#REF!</f>
        <v>#REF!</v>
      </c>
      <c r="W236" s="63" t="e">
        <f>'Proyectos Base digitable'!#REF!</f>
        <v>#REF!</v>
      </c>
      <c r="X236" s="63" t="e">
        <f>'Proyectos Base digitable'!#REF!</f>
        <v>#REF!</v>
      </c>
      <c r="Y236" s="63" t="e">
        <f>'Proyectos Base digitable'!#REF!</f>
        <v>#REF!</v>
      </c>
      <c r="Z236" s="58" t="e">
        <f>+'Proyectos Base digitable'!#REF!</f>
        <v>#REF!</v>
      </c>
      <c r="AA236" s="58" t="e">
        <f>+'Proyectos Base digitable'!#REF!</f>
        <v>#REF!</v>
      </c>
      <c r="AB236" s="63" t="e">
        <f>'Proyectos Base digitable'!#REF!</f>
        <v>#REF!</v>
      </c>
      <c r="AC236" s="56" t="e">
        <f>+'Proyectos Base digitable'!#REF!</f>
        <v>#REF!</v>
      </c>
      <c r="AD236" s="52" t="e">
        <f>+'Proyectos Base digitable'!#REF!</f>
        <v>#REF!</v>
      </c>
      <c r="AE236" s="52" t="e">
        <f>+'Proyectos Base digitable'!#REF!</f>
        <v>#REF!</v>
      </c>
      <c r="AF236" s="52" t="e">
        <f>+'Proyectos Base digitable'!#REF!</f>
        <v>#REF!</v>
      </c>
      <c r="AG236" s="56" t="e">
        <f>+'Proyectos Base digitable'!#REF!</f>
        <v>#REF!</v>
      </c>
      <c r="AH236" s="52" t="e">
        <f>+'Proyectos Base digitable'!#REF!</f>
        <v>#REF!</v>
      </c>
      <c r="AI236" s="52" t="e">
        <f>+'Proyectos Base digitable'!#REF!</f>
        <v>#REF!</v>
      </c>
      <c r="AJ236" s="59" t="e">
        <f>+'Proyectos Base digitable'!#REF!</f>
        <v>#REF!</v>
      </c>
      <c r="AK236" s="186" t="e">
        <f>+'Proyectos Base digitable'!#REF!</f>
        <v>#REF!</v>
      </c>
      <c r="AL236" s="186" t="e">
        <f>+'Proyectos Base digitable'!#REF!</f>
        <v>#REF!</v>
      </c>
      <c r="AM236" s="186" t="e">
        <f>+'Proyectos Base digitable'!#REF!</f>
        <v>#REF!</v>
      </c>
      <c r="AN236" s="186" t="e">
        <f>+'Proyectos Base digitable'!#REF!</f>
        <v>#REF!</v>
      </c>
      <c r="AO236" s="186" t="e">
        <f>+'Proyectos Base digitable'!#REF!</f>
        <v>#REF!</v>
      </c>
      <c r="AP236" s="186" t="e">
        <f>+'Proyectos Base digitable'!#REF!</f>
        <v>#REF!</v>
      </c>
      <c r="AQ236" s="186" t="e">
        <f>+'Proyectos Base digitable'!#REF!</f>
        <v>#REF!</v>
      </c>
      <c r="AR236" s="186" t="e">
        <f>+'Proyectos Base digitable'!#REF!</f>
        <v>#REF!</v>
      </c>
      <c r="AS236" s="186" t="e">
        <f>+'Proyectos Base digitable'!#REF!</f>
        <v>#REF!</v>
      </c>
      <c r="AT236" s="187" t="e">
        <f>+'Proyectos Base digitable'!#REF!</f>
        <v>#REF!</v>
      </c>
      <c r="AU236" s="56" t="e">
        <f>+'Proyectos Base digitable'!#REF!</f>
        <v>#REF!</v>
      </c>
      <c r="AV236" s="56" t="e">
        <f>+'Proyectos Base digitable'!#REF!</f>
        <v>#REF!</v>
      </c>
      <c r="AW236" s="56" t="e">
        <f>+'Proyectos Base digitable'!#REF!</f>
        <v>#REF!</v>
      </c>
      <c r="AX236" s="56" t="e">
        <f>+'Proyectos Base digitable'!#REF!</f>
        <v>#REF!</v>
      </c>
      <c r="AY236" s="56" t="e">
        <f>+'Proyectos Base digitable'!#REF!</f>
        <v>#REF!</v>
      </c>
      <c r="AZ236" s="188" t="e">
        <f>+'Proyectos Base digitable'!#REF!</f>
        <v>#REF!</v>
      </c>
      <c r="BA236" s="188" t="e">
        <f>+'Proyectos Base digitable'!#REF!</f>
        <v>#REF!</v>
      </c>
    </row>
    <row r="237" spans="1:53" ht="13.5" customHeight="1">
      <c r="A237" s="60" t="e">
        <f>+'Proyectos Base digitable'!#REF!</f>
        <v>#REF!</v>
      </c>
      <c r="B237" s="56" t="e">
        <f>+'Proyectos Base digitable'!#REF!</f>
        <v>#REF!</v>
      </c>
      <c r="C237" s="56" t="e">
        <f>+'Proyectos Base digitable'!#REF!</f>
        <v>#REF!</v>
      </c>
      <c r="D237" s="56" t="e">
        <f>+'Proyectos Base digitable'!#REF!</f>
        <v>#REF!</v>
      </c>
      <c r="E237" s="56" t="e">
        <f>+'Proyectos Base digitable'!#REF!</f>
        <v>#REF!</v>
      </c>
      <c r="F237" s="56" t="e">
        <f>+'Proyectos Base digitable'!#REF!</f>
        <v>#REF!</v>
      </c>
      <c r="G237" s="57" t="e">
        <f>+'Proyectos Base digitable'!#REF!</f>
        <v>#REF!</v>
      </c>
      <c r="H237" s="56" t="e">
        <f>+'Proyectos Base digitable'!#REF!</f>
        <v>#REF!</v>
      </c>
      <c r="I237" s="56" t="e">
        <f>+'Proyectos Base digitable'!#REF!</f>
        <v>#REF!</v>
      </c>
      <c r="J237" s="56" t="e">
        <f>+'Proyectos Base digitable'!#REF!</f>
        <v>#REF!</v>
      </c>
      <c r="K237" s="56" t="e">
        <f>+'Proyectos Base digitable'!#REF!</f>
        <v>#REF!</v>
      </c>
      <c r="L237" s="56" t="e">
        <f>+'Proyectos Base digitable'!#REF!</f>
        <v>#REF!</v>
      </c>
      <c r="M237" s="56" t="e">
        <f>+'Proyectos Base digitable'!#REF!</f>
        <v>#REF!</v>
      </c>
      <c r="N237" s="52" t="e">
        <f>+'Proyectos Base digitable'!#REF!</f>
        <v>#REF!</v>
      </c>
      <c r="O237" s="52" t="e">
        <f>+'Proyectos Base digitable'!#REF!</f>
        <v>#REF!</v>
      </c>
      <c r="P237" s="185" t="e">
        <f>+'Proyectos Base digitable'!#REF!</f>
        <v>#REF!</v>
      </c>
      <c r="Q237" s="58" t="e">
        <f>+'Proyectos Base digitable'!#REF!</f>
        <v>#REF!</v>
      </c>
      <c r="R237" s="58" t="e">
        <f>+'Proyectos Base digitable'!#REF!</f>
        <v>#REF!</v>
      </c>
      <c r="S237" s="58" t="e">
        <f>+'Proyectos Base digitable'!#REF!</f>
        <v>#REF!</v>
      </c>
      <c r="T237" s="58" t="e">
        <f>+'Proyectos Base digitable'!#REF!</f>
        <v>#REF!</v>
      </c>
      <c r="U237" s="63" t="e">
        <f>'Proyectos Base digitable'!#REF!</f>
        <v>#REF!</v>
      </c>
      <c r="V237" s="63" t="e">
        <f>'Proyectos Base digitable'!#REF!</f>
        <v>#REF!</v>
      </c>
      <c r="W237" s="63" t="e">
        <f>'Proyectos Base digitable'!#REF!</f>
        <v>#REF!</v>
      </c>
      <c r="X237" s="63" t="e">
        <f>'Proyectos Base digitable'!#REF!</f>
        <v>#REF!</v>
      </c>
      <c r="Y237" s="63" t="e">
        <f>'Proyectos Base digitable'!#REF!</f>
        <v>#REF!</v>
      </c>
      <c r="Z237" s="58" t="e">
        <f>+'Proyectos Base digitable'!#REF!</f>
        <v>#REF!</v>
      </c>
      <c r="AA237" s="58" t="e">
        <f>+'Proyectos Base digitable'!#REF!</f>
        <v>#REF!</v>
      </c>
      <c r="AB237" s="63" t="e">
        <f>'Proyectos Base digitable'!#REF!</f>
        <v>#REF!</v>
      </c>
      <c r="AC237" s="56" t="e">
        <f>+'Proyectos Base digitable'!#REF!</f>
        <v>#REF!</v>
      </c>
      <c r="AD237" s="52" t="e">
        <f>+'Proyectos Base digitable'!#REF!</f>
        <v>#REF!</v>
      </c>
      <c r="AE237" s="52" t="e">
        <f>+'Proyectos Base digitable'!#REF!</f>
        <v>#REF!</v>
      </c>
      <c r="AF237" s="52" t="e">
        <f>+'Proyectos Base digitable'!#REF!</f>
        <v>#REF!</v>
      </c>
      <c r="AG237" s="56" t="e">
        <f>+'Proyectos Base digitable'!#REF!</f>
        <v>#REF!</v>
      </c>
      <c r="AH237" s="52" t="e">
        <f>+'Proyectos Base digitable'!#REF!</f>
        <v>#REF!</v>
      </c>
      <c r="AI237" s="52" t="e">
        <f>+'Proyectos Base digitable'!#REF!</f>
        <v>#REF!</v>
      </c>
      <c r="AJ237" s="59" t="e">
        <f>+'Proyectos Base digitable'!#REF!</f>
        <v>#REF!</v>
      </c>
      <c r="AK237" s="186" t="e">
        <f>+'Proyectos Base digitable'!#REF!</f>
        <v>#REF!</v>
      </c>
      <c r="AL237" s="186" t="e">
        <f>+'Proyectos Base digitable'!#REF!</f>
        <v>#REF!</v>
      </c>
      <c r="AM237" s="186" t="e">
        <f>+'Proyectos Base digitable'!#REF!</f>
        <v>#REF!</v>
      </c>
      <c r="AN237" s="186" t="e">
        <f>+'Proyectos Base digitable'!#REF!</f>
        <v>#REF!</v>
      </c>
      <c r="AO237" s="186" t="e">
        <f>+'Proyectos Base digitable'!#REF!</f>
        <v>#REF!</v>
      </c>
      <c r="AP237" s="186" t="e">
        <f>+'Proyectos Base digitable'!#REF!</f>
        <v>#REF!</v>
      </c>
      <c r="AQ237" s="186" t="e">
        <f>+'Proyectos Base digitable'!#REF!</f>
        <v>#REF!</v>
      </c>
      <c r="AR237" s="186" t="e">
        <f>+'Proyectos Base digitable'!#REF!</f>
        <v>#REF!</v>
      </c>
      <c r="AS237" s="186" t="e">
        <f>+'Proyectos Base digitable'!#REF!</f>
        <v>#REF!</v>
      </c>
      <c r="AT237" s="187" t="e">
        <f>+'Proyectos Base digitable'!#REF!</f>
        <v>#REF!</v>
      </c>
      <c r="AU237" s="56" t="e">
        <f>+'Proyectos Base digitable'!#REF!</f>
        <v>#REF!</v>
      </c>
      <c r="AV237" s="56" t="e">
        <f>+'Proyectos Base digitable'!#REF!</f>
        <v>#REF!</v>
      </c>
      <c r="AW237" s="56" t="e">
        <f>+'Proyectos Base digitable'!#REF!</f>
        <v>#REF!</v>
      </c>
      <c r="AX237" s="56" t="e">
        <f>+'Proyectos Base digitable'!#REF!</f>
        <v>#REF!</v>
      </c>
      <c r="AY237" s="56" t="e">
        <f>+'Proyectos Base digitable'!#REF!</f>
        <v>#REF!</v>
      </c>
      <c r="AZ237" s="188" t="e">
        <f>+'Proyectos Base digitable'!#REF!</f>
        <v>#REF!</v>
      </c>
      <c r="BA237" s="188" t="e">
        <f>+'Proyectos Base digitable'!#REF!</f>
        <v>#REF!</v>
      </c>
    </row>
    <row r="238" spans="1:53" ht="13.5" customHeight="1">
      <c r="A238" s="60" t="e">
        <f>+'Proyectos Base digitable'!#REF!</f>
        <v>#REF!</v>
      </c>
      <c r="B238" s="56" t="e">
        <f>+'Proyectos Base digitable'!#REF!</f>
        <v>#REF!</v>
      </c>
      <c r="C238" s="56" t="e">
        <f>+'Proyectos Base digitable'!#REF!</f>
        <v>#REF!</v>
      </c>
      <c r="D238" s="56" t="e">
        <f>+'Proyectos Base digitable'!#REF!</f>
        <v>#REF!</v>
      </c>
      <c r="E238" s="56" t="e">
        <f>+'Proyectos Base digitable'!#REF!</f>
        <v>#REF!</v>
      </c>
      <c r="F238" s="56" t="e">
        <f>+'Proyectos Base digitable'!#REF!</f>
        <v>#REF!</v>
      </c>
      <c r="G238" s="57" t="e">
        <f>+'Proyectos Base digitable'!#REF!</f>
        <v>#REF!</v>
      </c>
      <c r="H238" s="56" t="e">
        <f>+'Proyectos Base digitable'!#REF!</f>
        <v>#REF!</v>
      </c>
      <c r="I238" s="56" t="e">
        <f>+'Proyectos Base digitable'!#REF!</f>
        <v>#REF!</v>
      </c>
      <c r="J238" s="56" t="e">
        <f>+'Proyectos Base digitable'!#REF!</f>
        <v>#REF!</v>
      </c>
      <c r="K238" s="56" t="e">
        <f>+'Proyectos Base digitable'!#REF!</f>
        <v>#REF!</v>
      </c>
      <c r="L238" s="56" t="e">
        <f>+'Proyectos Base digitable'!#REF!</f>
        <v>#REF!</v>
      </c>
      <c r="M238" s="56" t="e">
        <f>+'Proyectos Base digitable'!#REF!</f>
        <v>#REF!</v>
      </c>
      <c r="N238" s="52" t="e">
        <f>+'Proyectos Base digitable'!#REF!</f>
        <v>#REF!</v>
      </c>
      <c r="O238" s="52" t="e">
        <f>+'Proyectos Base digitable'!#REF!</f>
        <v>#REF!</v>
      </c>
      <c r="P238" s="185" t="e">
        <f>+'Proyectos Base digitable'!#REF!</f>
        <v>#REF!</v>
      </c>
      <c r="Q238" s="58" t="e">
        <f>+'Proyectos Base digitable'!#REF!</f>
        <v>#REF!</v>
      </c>
      <c r="R238" s="58" t="e">
        <f>+'Proyectos Base digitable'!#REF!</f>
        <v>#REF!</v>
      </c>
      <c r="S238" s="58" t="e">
        <f>+'Proyectos Base digitable'!#REF!</f>
        <v>#REF!</v>
      </c>
      <c r="T238" s="58" t="e">
        <f>+'Proyectos Base digitable'!#REF!</f>
        <v>#REF!</v>
      </c>
      <c r="U238" s="63" t="e">
        <f>'Proyectos Base digitable'!#REF!</f>
        <v>#REF!</v>
      </c>
      <c r="V238" s="63" t="e">
        <f>'Proyectos Base digitable'!#REF!</f>
        <v>#REF!</v>
      </c>
      <c r="W238" s="63" t="e">
        <f>'Proyectos Base digitable'!#REF!</f>
        <v>#REF!</v>
      </c>
      <c r="X238" s="63" t="e">
        <f>'Proyectos Base digitable'!#REF!</f>
        <v>#REF!</v>
      </c>
      <c r="Y238" s="63" t="e">
        <f>'Proyectos Base digitable'!#REF!</f>
        <v>#REF!</v>
      </c>
      <c r="Z238" s="58" t="e">
        <f>+'Proyectos Base digitable'!#REF!</f>
        <v>#REF!</v>
      </c>
      <c r="AA238" s="58" t="e">
        <f>+'Proyectos Base digitable'!#REF!</f>
        <v>#REF!</v>
      </c>
      <c r="AB238" s="63" t="e">
        <f>'Proyectos Base digitable'!#REF!</f>
        <v>#REF!</v>
      </c>
      <c r="AC238" s="56" t="e">
        <f>+'Proyectos Base digitable'!#REF!</f>
        <v>#REF!</v>
      </c>
      <c r="AD238" s="52" t="e">
        <f>+'Proyectos Base digitable'!#REF!</f>
        <v>#REF!</v>
      </c>
      <c r="AE238" s="52" t="e">
        <f>+'Proyectos Base digitable'!#REF!</f>
        <v>#REF!</v>
      </c>
      <c r="AF238" s="52" t="e">
        <f>+'Proyectos Base digitable'!#REF!</f>
        <v>#REF!</v>
      </c>
      <c r="AG238" s="56" t="e">
        <f>+'Proyectos Base digitable'!#REF!</f>
        <v>#REF!</v>
      </c>
      <c r="AH238" s="52" t="e">
        <f>+'Proyectos Base digitable'!#REF!</f>
        <v>#REF!</v>
      </c>
      <c r="AI238" s="52" t="e">
        <f>+'Proyectos Base digitable'!#REF!</f>
        <v>#REF!</v>
      </c>
      <c r="AJ238" s="59" t="e">
        <f>+'Proyectos Base digitable'!#REF!</f>
        <v>#REF!</v>
      </c>
      <c r="AK238" s="186" t="e">
        <f>+'Proyectos Base digitable'!#REF!</f>
        <v>#REF!</v>
      </c>
      <c r="AL238" s="186" t="e">
        <f>+'Proyectos Base digitable'!#REF!</f>
        <v>#REF!</v>
      </c>
      <c r="AM238" s="186" t="e">
        <f>+'Proyectos Base digitable'!#REF!</f>
        <v>#REF!</v>
      </c>
      <c r="AN238" s="186" t="e">
        <f>+'Proyectos Base digitable'!#REF!</f>
        <v>#REF!</v>
      </c>
      <c r="AO238" s="186" t="e">
        <f>+'Proyectos Base digitable'!#REF!</f>
        <v>#REF!</v>
      </c>
      <c r="AP238" s="186" t="e">
        <f>+'Proyectos Base digitable'!#REF!</f>
        <v>#REF!</v>
      </c>
      <c r="AQ238" s="186" t="e">
        <f>+'Proyectos Base digitable'!#REF!</f>
        <v>#REF!</v>
      </c>
      <c r="AR238" s="186" t="e">
        <f>+'Proyectos Base digitable'!#REF!</f>
        <v>#REF!</v>
      </c>
      <c r="AS238" s="186" t="e">
        <f>+'Proyectos Base digitable'!#REF!</f>
        <v>#REF!</v>
      </c>
      <c r="AT238" s="187" t="e">
        <f>+'Proyectos Base digitable'!#REF!</f>
        <v>#REF!</v>
      </c>
      <c r="AU238" s="56" t="e">
        <f>+'Proyectos Base digitable'!#REF!</f>
        <v>#REF!</v>
      </c>
      <c r="AV238" s="56" t="e">
        <f>+'Proyectos Base digitable'!#REF!</f>
        <v>#REF!</v>
      </c>
      <c r="AW238" s="56" t="e">
        <f>+'Proyectos Base digitable'!#REF!</f>
        <v>#REF!</v>
      </c>
      <c r="AX238" s="56" t="e">
        <f>+'Proyectos Base digitable'!#REF!</f>
        <v>#REF!</v>
      </c>
      <c r="AY238" s="56" t="e">
        <f>+'Proyectos Base digitable'!#REF!</f>
        <v>#REF!</v>
      </c>
      <c r="AZ238" s="188" t="e">
        <f>+'Proyectos Base digitable'!#REF!</f>
        <v>#REF!</v>
      </c>
      <c r="BA238" s="188" t="e">
        <f>+'Proyectos Base digitable'!#REF!</f>
        <v>#REF!</v>
      </c>
    </row>
    <row r="239" spans="1:53" ht="13.5" customHeight="1">
      <c r="A239" s="60" t="e">
        <f>+'Proyectos Base digitable'!#REF!</f>
        <v>#REF!</v>
      </c>
      <c r="B239" s="56" t="e">
        <f>+'Proyectos Base digitable'!#REF!</f>
        <v>#REF!</v>
      </c>
      <c r="C239" s="56" t="e">
        <f>+'Proyectos Base digitable'!#REF!</f>
        <v>#REF!</v>
      </c>
      <c r="D239" s="56" t="e">
        <f>+'Proyectos Base digitable'!#REF!</f>
        <v>#REF!</v>
      </c>
      <c r="E239" s="56" t="e">
        <f>+'Proyectos Base digitable'!#REF!</f>
        <v>#REF!</v>
      </c>
      <c r="F239" s="56" t="e">
        <f>+'Proyectos Base digitable'!#REF!</f>
        <v>#REF!</v>
      </c>
      <c r="G239" s="57" t="e">
        <f>+'Proyectos Base digitable'!#REF!</f>
        <v>#REF!</v>
      </c>
      <c r="H239" s="56" t="e">
        <f>+'Proyectos Base digitable'!#REF!</f>
        <v>#REF!</v>
      </c>
      <c r="I239" s="56" t="e">
        <f>+'Proyectos Base digitable'!#REF!</f>
        <v>#REF!</v>
      </c>
      <c r="J239" s="56" t="e">
        <f>+'Proyectos Base digitable'!#REF!</f>
        <v>#REF!</v>
      </c>
      <c r="K239" s="56" t="e">
        <f>+'Proyectos Base digitable'!#REF!</f>
        <v>#REF!</v>
      </c>
      <c r="L239" s="56" t="e">
        <f>+'Proyectos Base digitable'!#REF!</f>
        <v>#REF!</v>
      </c>
      <c r="M239" s="56" t="e">
        <f>+'Proyectos Base digitable'!#REF!</f>
        <v>#REF!</v>
      </c>
      <c r="N239" s="52" t="e">
        <f>+'Proyectos Base digitable'!#REF!</f>
        <v>#REF!</v>
      </c>
      <c r="O239" s="52" t="e">
        <f>+'Proyectos Base digitable'!#REF!</f>
        <v>#REF!</v>
      </c>
      <c r="P239" s="185" t="e">
        <f>+'Proyectos Base digitable'!#REF!</f>
        <v>#REF!</v>
      </c>
      <c r="Q239" s="58" t="e">
        <f>+'Proyectos Base digitable'!#REF!</f>
        <v>#REF!</v>
      </c>
      <c r="R239" s="58" t="e">
        <f>+'Proyectos Base digitable'!#REF!</f>
        <v>#REF!</v>
      </c>
      <c r="S239" s="58" t="e">
        <f>+'Proyectos Base digitable'!#REF!</f>
        <v>#REF!</v>
      </c>
      <c r="T239" s="58" t="e">
        <f>+'Proyectos Base digitable'!#REF!</f>
        <v>#REF!</v>
      </c>
      <c r="U239" s="63" t="e">
        <f>'Proyectos Base digitable'!#REF!</f>
        <v>#REF!</v>
      </c>
      <c r="V239" s="63" t="e">
        <f>'Proyectos Base digitable'!#REF!</f>
        <v>#REF!</v>
      </c>
      <c r="W239" s="63" t="e">
        <f>'Proyectos Base digitable'!#REF!</f>
        <v>#REF!</v>
      </c>
      <c r="X239" s="63" t="e">
        <f>'Proyectos Base digitable'!#REF!</f>
        <v>#REF!</v>
      </c>
      <c r="Y239" s="63" t="e">
        <f>'Proyectos Base digitable'!#REF!</f>
        <v>#REF!</v>
      </c>
      <c r="Z239" s="58" t="e">
        <f>+'Proyectos Base digitable'!#REF!</f>
        <v>#REF!</v>
      </c>
      <c r="AA239" s="58" t="e">
        <f>+'Proyectos Base digitable'!#REF!</f>
        <v>#REF!</v>
      </c>
      <c r="AB239" s="63" t="e">
        <f>'Proyectos Base digitable'!#REF!</f>
        <v>#REF!</v>
      </c>
      <c r="AC239" s="56" t="e">
        <f>+'Proyectos Base digitable'!#REF!</f>
        <v>#REF!</v>
      </c>
      <c r="AD239" s="52" t="e">
        <f>+'Proyectos Base digitable'!#REF!</f>
        <v>#REF!</v>
      </c>
      <c r="AE239" s="52" t="e">
        <f>+'Proyectos Base digitable'!#REF!</f>
        <v>#REF!</v>
      </c>
      <c r="AF239" s="52" t="e">
        <f>+'Proyectos Base digitable'!#REF!</f>
        <v>#REF!</v>
      </c>
      <c r="AG239" s="56" t="e">
        <f>+'Proyectos Base digitable'!#REF!</f>
        <v>#REF!</v>
      </c>
      <c r="AH239" s="52" t="e">
        <f>+'Proyectos Base digitable'!#REF!</f>
        <v>#REF!</v>
      </c>
      <c r="AI239" s="52" t="e">
        <f>+'Proyectos Base digitable'!#REF!</f>
        <v>#REF!</v>
      </c>
      <c r="AJ239" s="59" t="e">
        <f>+'Proyectos Base digitable'!#REF!</f>
        <v>#REF!</v>
      </c>
      <c r="AK239" s="186" t="e">
        <f>+'Proyectos Base digitable'!#REF!</f>
        <v>#REF!</v>
      </c>
      <c r="AL239" s="186" t="e">
        <f>+'Proyectos Base digitable'!#REF!</f>
        <v>#REF!</v>
      </c>
      <c r="AM239" s="186" t="e">
        <f>+'Proyectos Base digitable'!#REF!</f>
        <v>#REF!</v>
      </c>
      <c r="AN239" s="186" t="e">
        <f>+'Proyectos Base digitable'!#REF!</f>
        <v>#REF!</v>
      </c>
      <c r="AO239" s="186" t="e">
        <f>+'Proyectos Base digitable'!#REF!</f>
        <v>#REF!</v>
      </c>
      <c r="AP239" s="186" t="e">
        <f>+'Proyectos Base digitable'!#REF!</f>
        <v>#REF!</v>
      </c>
      <c r="AQ239" s="186" t="e">
        <f>+'Proyectos Base digitable'!#REF!</f>
        <v>#REF!</v>
      </c>
      <c r="AR239" s="186" t="e">
        <f>+'Proyectos Base digitable'!#REF!</f>
        <v>#REF!</v>
      </c>
      <c r="AS239" s="186" t="e">
        <f>+'Proyectos Base digitable'!#REF!</f>
        <v>#REF!</v>
      </c>
      <c r="AT239" s="187" t="e">
        <f>+'Proyectos Base digitable'!#REF!</f>
        <v>#REF!</v>
      </c>
      <c r="AU239" s="56" t="e">
        <f>+'Proyectos Base digitable'!#REF!</f>
        <v>#REF!</v>
      </c>
      <c r="AV239" s="56" t="e">
        <f>+'Proyectos Base digitable'!#REF!</f>
        <v>#REF!</v>
      </c>
      <c r="AW239" s="56" t="e">
        <f>+'Proyectos Base digitable'!#REF!</f>
        <v>#REF!</v>
      </c>
      <c r="AX239" s="56" t="e">
        <f>+'Proyectos Base digitable'!#REF!</f>
        <v>#REF!</v>
      </c>
      <c r="AY239" s="56" t="e">
        <f>+'Proyectos Base digitable'!#REF!</f>
        <v>#REF!</v>
      </c>
      <c r="AZ239" s="188" t="e">
        <f>+'Proyectos Base digitable'!#REF!</f>
        <v>#REF!</v>
      </c>
      <c r="BA239" s="188" t="e">
        <f>+'Proyectos Base digitable'!#REF!</f>
        <v>#REF!</v>
      </c>
    </row>
    <row r="240" spans="1:53" ht="13.5" customHeight="1">
      <c r="A240" s="60" t="e">
        <f>+'Proyectos Base digitable'!#REF!</f>
        <v>#REF!</v>
      </c>
      <c r="B240" s="56" t="e">
        <f>+'Proyectos Base digitable'!#REF!</f>
        <v>#REF!</v>
      </c>
      <c r="C240" s="56" t="e">
        <f>+'Proyectos Base digitable'!#REF!</f>
        <v>#REF!</v>
      </c>
      <c r="D240" s="56" t="e">
        <f>+'Proyectos Base digitable'!#REF!</f>
        <v>#REF!</v>
      </c>
      <c r="E240" s="56" t="e">
        <f>+'Proyectos Base digitable'!#REF!</f>
        <v>#REF!</v>
      </c>
      <c r="F240" s="56" t="e">
        <f>+'Proyectos Base digitable'!#REF!</f>
        <v>#REF!</v>
      </c>
      <c r="G240" s="57" t="e">
        <f>+'Proyectos Base digitable'!#REF!</f>
        <v>#REF!</v>
      </c>
      <c r="H240" s="56" t="e">
        <f>+'Proyectos Base digitable'!#REF!</f>
        <v>#REF!</v>
      </c>
      <c r="I240" s="56" t="e">
        <f>+'Proyectos Base digitable'!#REF!</f>
        <v>#REF!</v>
      </c>
      <c r="J240" s="56" t="e">
        <f>+'Proyectos Base digitable'!#REF!</f>
        <v>#REF!</v>
      </c>
      <c r="K240" s="56" t="e">
        <f>+'Proyectos Base digitable'!#REF!</f>
        <v>#REF!</v>
      </c>
      <c r="L240" s="56" t="e">
        <f>+'Proyectos Base digitable'!#REF!</f>
        <v>#REF!</v>
      </c>
      <c r="M240" s="56" t="e">
        <f>+'Proyectos Base digitable'!#REF!</f>
        <v>#REF!</v>
      </c>
      <c r="N240" s="52" t="e">
        <f>+'Proyectos Base digitable'!#REF!</f>
        <v>#REF!</v>
      </c>
      <c r="O240" s="52" t="e">
        <f>+'Proyectos Base digitable'!#REF!</f>
        <v>#REF!</v>
      </c>
      <c r="P240" s="185" t="e">
        <f>+'Proyectos Base digitable'!#REF!</f>
        <v>#REF!</v>
      </c>
      <c r="Q240" s="58" t="e">
        <f>+'Proyectos Base digitable'!#REF!</f>
        <v>#REF!</v>
      </c>
      <c r="R240" s="58" t="e">
        <f>+'Proyectos Base digitable'!#REF!</f>
        <v>#REF!</v>
      </c>
      <c r="S240" s="58" t="e">
        <f>+'Proyectos Base digitable'!#REF!</f>
        <v>#REF!</v>
      </c>
      <c r="T240" s="58" t="e">
        <f>+'Proyectos Base digitable'!#REF!</f>
        <v>#REF!</v>
      </c>
      <c r="U240" s="63" t="e">
        <f>'Proyectos Base digitable'!#REF!</f>
        <v>#REF!</v>
      </c>
      <c r="V240" s="63" t="e">
        <f>'Proyectos Base digitable'!#REF!</f>
        <v>#REF!</v>
      </c>
      <c r="W240" s="63" t="e">
        <f>'Proyectos Base digitable'!#REF!</f>
        <v>#REF!</v>
      </c>
      <c r="X240" s="63" t="e">
        <f>'Proyectos Base digitable'!#REF!</f>
        <v>#REF!</v>
      </c>
      <c r="Y240" s="63" t="e">
        <f>'Proyectos Base digitable'!#REF!</f>
        <v>#REF!</v>
      </c>
      <c r="Z240" s="58" t="e">
        <f>+'Proyectos Base digitable'!#REF!</f>
        <v>#REF!</v>
      </c>
      <c r="AA240" s="58" t="e">
        <f>+'Proyectos Base digitable'!#REF!</f>
        <v>#REF!</v>
      </c>
      <c r="AB240" s="63" t="e">
        <f>'Proyectos Base digitable'!#REF!</f>
        <v>#REF!</v>
      </c>
      <c r="AC240" s="56" t="e">
        <f>+'Proyectos Base digitable'!#REF!</f>
        <v>#REF!</v>
      </c>
      <c r="AD240" s="52" t="e">
        <f>+'Proyectos Base digitable'!#REF!</f>
        <v>#REF!</v>
      </c>
      <c r="AE240" s="52" t="e">
        <f>+'Proyectos Base digitable'!#REF!</f>
        <v>#REF!</v>
      </c>
      <c r="AF240" s="52" t="e">
        <f>+'Proyectos Base digitable'!#REF!</f>
        <v>#REF!</v>
      </c>
      <c r="AG240" s="56" t="e">
        <f>+'Proyectos Base digitable'!#REF!</f>
        <v>#REF!</v>
      </c>
      <c r="AH240" s="52" t="e">
        <f>+'Proyectos Base digitable'!#REF!</f>
        <v>#REF!</v>
      </c>
      <c r="AI240" s="52" t="e">
        <f>+'Proyectos Base digitable'!#REF!</f>
        <v>#REF!</v>
      </c>
      <c r="AJ240" s="59" t="e">
        <f>+'Proyectos Base digitable'!#REF!</f>
        <v>#REF!</v>
      </c>
      <c r="AK240" s="186" t="e">
        <f>+'Proyectos Base digitable'!#REF!</f>
        <v>#REF!</v>
      </c>
      <c r="AL240" s="186" t="e">
        <f>+'Proyectos Base digitable'!#REF!</f>
        <v>#REF!</v>
      </c>
      <c r="AM240" s="186" t="e">
        <f>+'Proyectos Base digitable'!#REF!</f>
        <v>#REF!</v>
      </c>
      <c r="AN240" s="186" t="e">
        <f>+'Proyectos Base digitable'!#REF!</f>
        <v>#REF!</v>
      </c>
      <c r="AO240" s="186" t="e">
        <f>+'Proyectos Base digitable'!#REF!</f>
        <v>#REF!</v>
      </c>
      <c r="AP240" s="186" t="e">
        <f>+'Proyectos Base digitable'!#REF!</f>
        <v>#REF!</v>
      </c>
      <c r="AQ240" s="186" t="e">
        <f>+'Proyectos Base digitable'!#REF!</f>
        <v>#REF!</v>
      </c>
      <c r="AR240" s="186" t="e">
        <f>+'Proyectos Base digitable'!#REF!</f>
        <v>#REF!</v>
      </c>
      <c r="AS240" s="186" t="e">
        <f>+'Proyectos Base digitable'!#REF!</f>
        <v>#REF!</v>
      </c>
      <c r="AT240" s="187" t="e">
        <f>+'Proyectos Base digitable'!#REF!</f>
        <v>#REF!</v>
      </c>
      <c r="AU240" s="56" t="e">
        <f>+'Proyectos Base digitable'!#REF!</f>
        <v>#REF!</v>
      </c>
      <c r="AV240" s="56" t="e">
        <f>+'Proyectos Base digitable'!#REF!</f>
        <v>#REF!</v>
      </c>
      <c r="AW240" s="56" t="e">
        <f>+'Proyectos Base digitable'!#REF!</f>
        <v>#REF!</v>
      </c>
      <c r="AX240" s="56" t="e">
        <f>+'Proyectos Base digitable'!#REF!</f>
        <v>#REF!</v>
      </c>
      <c r="AY240" s="56" t="e">
        <f>+'Proyectos Base digitable'!#REF!</f>
        <v>#REF!</v>
      </c>
      <c r="AZ240" s="188" t="e">
        <f>+'Proyectos Base digitable'!#REF!</f>
        <v>#REF!</v>
      </c>
      <c r="BA240" s="188" t="e">
        <f>+'Proyectos Base digitable'!#REF!</f>
        <v>#REF!</v>
      </c>
    </row>
    <row r="241" spans="1:53" ht="13.5" customHeight="1">
      <c r="A241" s="60" t="e">
        <f>+'Proyectos Base digitable'!#REF!</f>
        <v>#REF!</v>
      </c>
      <c r="B241" s="56" t="e">
        <f>+'Proyectos Base digitable'!#REF!</f>
        <v>#REF!</v>
      </c>
      <c r="C241" s="56" t="e">
        <f>+'Proyectos Base digitable'!#REF!</f>
        <v>#REF!</v>
      </c>
      <c r="D241" s="56" t="e">
        <f>+'Proyectos Base digitable'!#REF!</f>
        <v>#REF!</v>
      </c>
      <c r="E241" s="56" t="e">
        <f>+'Proyectos Base digitable'!#REF!</f>
        <v>#REF!</v>
      </c>
      <c r="F241" s="56" t="e">
        <f>+'Proyectos Base digitable'!#REF!</f>
        <v>#REF!</v>
      </c>
      <c r="G241" s="57" t="e">
        <f>+'Proyectos Base digitable'!#REF!</f>
        <v>#REF!</v>
      </c>
      <c r="H241" s="56" t="e">
        <f>+'Proyectos Base digitable'!#REF!</f>
        <v>#REF!</v>
      </c>
      <c r="I241" s="56" t="e">
        <f>+'Proyectos Base digitable'!#REF!</f>
        <v>#REF!</v>
      </c>
      <c r="J241" s="56" t="e">
        <f>+'Proyectos Base digitable'!#REF!</f>
        <v>#REF!</v>
      </c>
      <c r="K241" s="56" t="e">
        <f>+'Proyectos Base digitable'!#REF!</f>
        <v>#REF!</v>
      </c>
      <c r="L241" s="56" t="e">
        <f>+'Proyectos Base digitable'!#REF!</f>
        <v>#REF!</v>
      </c>
      <c r="M241" s="56" t="e">
        <f>+'Proyectos Base digitable'!#REF!</f>
        <v>#REF!</v>
      </c>
      <c r="N241" s="52" t="e">
        <f>+'Proyectos Base digitable'!#REF!</f>
        <v>#REF!</v>
      </c>
      <c r="O241" s="52" t="e">
        <f>+'Proyectos Base digitable'!#REF!</f>
        <v>#REF!</v>
      </c>
      <c r="P241" s="185" t="e">
        <f>+'Proyectos Base digitable'!#REF!</f>
        <v>#REF!</v>
      </c>
      <c r="Q241" s="58" t="e">
        <f>+'Proyectos Base digitable'!#REF!</f>
        <v>#REF!</v>
      </c>
      <c r="R241" s="58" t="e">
        <f>+'Proyectos Base digitable'!#REF!</f>
        <v>#REF!</v>
      </c>
      <c r="S241" s="58" t="e">
        <f>+'Proyectos Base digitable'!#REF!</f>
        <v>#REF!</v>
      </c>
      <c r="T241" s="58" t="e">
        <f>+'Proyectos Base digitable'!#REF!</f>
        <v>#REF!</v>
      </c>
      <c r="U241" s="63" t="e">
        <f>'Proyectos Base digitable'!#REF!</f>
        <v>#REF!</v>
      </c>
      <c r="V241" s="63" t="e">
        <f>'Proyectos Base digitable'!#REF!</f>
        <v>#REF!</v>
      </c>
      <c r="W241" s="63" t="e">
        <f>'Proyectos Base digitable'!#REF!</f>
        <v>#REF!</v>
      </c>
      <c r="X241" s="63" t="e">
        <f>'Proyectos Base digitable'!#REF!</f>
        <v>#REF!</v>
      </c>
      <c r="Y241" s="63" t="e">
        <f>'Proyectos Base digitable'!#REF!</f>
        <v>#REF!</v>
      </c>
      <c r="Z241" s="58" t="e">
        <f>+'Proyectos Base digitable'!#REF!</f>
        <v>#REF!</v>
      </c>
      <c r="AA241" s="58" t="e">
        <f>+'Proyectos Base digitable'!#REF!</f>
        <v>#REF!</v>
      </c>
      <c r="AB241" s="63" t="e">
        <f>'Proyectos Base digitable'!#REF!</f>
        <v>#REF!</v>
      </c>
      <c r="AC241" s="56" t="e">
        <f>+'Proyectos Base digitable'!#REF!</f>
        <v>#REF!</v>
      </c>
      <c r="AD241" s="52" t="e">
        <f>+'Proyectos Base digitable'!#REF!</f>
        <v>#REF!</v>
      </c>
      <c r="AE241" s="52" t="e">
        <f>+'Proyectos Base digitable'!#REF!</f>
        <v>#REF!</v>
      </c>
      <c r="AF241" s="52" t="e">
        <f>+'Proyectos Base digitable'!#REF!</f>
        <v>#REF!</v>
      </c>
      <c r="AG241" s="56" t="e">
        <f>+'Proyectos Base digitable'!#REF!</f>
        <v>#REF!</v>
      </c>
      <c r="AH241" s="52" t="e">
        <f>+'Proyectos Base digitable'!#REF!</f>
        <v>#REF!</v>
      </c>
      <c r="AI241" s="52" t="e">
        <f>+'Proyectos Base digitable'!#REF!</f>
        <v>#REF!</v>
      </c>
      <c r="AJ241" s="59" t="e">
        <f>+'Proyectos Base digitable'!#REF!</f>
        <v>#REF!</v>
      </c>
      <c r="AK241" s="186" t="e">
        <f>+'Proyectos Base digitable'!#REF!</f>
        <v>#REF!</v>
      </c>
      <c r="AL241" s="186" t="e">
        <f>+'Proyectos Base digitable'!#REF!</f>
        <v>#REF!</v>
      </c>
      <c r="AM241" s="186" t="e">
        <f>+'Proyectos Base digitable'!#REF!</f>
        <v>#REF!</v>
      </c>
      <c r="AN241" s="186" t="e">
        <f>+'Proyectos Base digitable'!#REF!</f>
        <v>#REF!</v>
      </c>
      <c r="AO241" s="186" t="e">
        <f>+'Proyectos Base digitable'!#REF!</f>
        <v>#REF!</v>
      </c>
      <c r="AP241" s="186" t="e">
        <f>+'Proyectos Base digitable'!#REF!</f>
        <v>#REF!</v>
      </c>
      <c r="AQ241" s="186" t="e">
        <f>+'Proyectos Base digitable'!#REF!</f>
        <v>#REF!</v>
      </c>
      <c r="AR241" s="186" t="e">
        <f>+'Proyectos Base digitable'!#REF!</f>
        <v>#REF!</v>
      </c>
      <c r="AS241" s="186" t="e">
        <f>+'Proyectos Base digitable'!#REF!</f>
        <v>#REF!</v>
      </c>
      <c r="AT241" s="187" t="e">
        <f>+'Proyectos Base digitable'!#REF!</f>
        <v>#REF!</v>
      </c>
      <c r="AU241" s="56" t="e">
        <f>+'Proyectos Base digitable'!#REF!</f>
        <v>#REF!</v>
      </c>
      <c r="AV241" s="56" t="e">
        <f>+'Proyectos Base digitable'!#REF!</f>
        <v>#REF!</v>
      </c>
      <c r="AW241" s="56" t="e">
        <f>+'Proyectos Base digitable'!#REF!</f>
        <v>#REF!</v>
      </c>
      <c r="AX241" s="56" t="e">
        <f>+'Proyectos Base digitable'!#REF!</f>
        <v>#REF!</v>
      </c>
      <c r="AY241" s="56" t="e">
        <f>+'Proyectos Base digitable'!#REF!</f>
        <v>#REF!</v>
      </c>
      <c r="AZ241" s="188" t="e">
        <f>+'Proyectos Base digitable'!#REF!</f>
        <v>#REF!</v>
      </c>
      <c r="BA241" s="188" t="e">
        <f>+'Proyectos Base digitable'!#REF!</f>
        <v>#REF!</v>
      </c>
    </row>
    <row r="242" spans="1:53" ht="13.5" customHeight="1">
      <c r="A242" s="60" t="e">
        <f>+'Proyectos Base digitable'!#REF!</f>
        <v>#REF!</v>
      </c>
      <c r="B242" s="56" t="e">
        <f>+'Proyectos Base digitable'!#REF!</f>
        <v>#REF!</v>
      </c>
      <c r="C242" s="56" t="e">
        <f>+'Proyectos Base digitable'!#REF!</f>
        <v>#REF!</v>
      </c>
      <c r="D242" s="56" t="e">
        <f>+'Proyectos Base digitable'!#REF!</f>
        <v>#REF!</v>
      </c>
      <c r="E242" s="56" t="e">
        <f>+'Proyectos Base digitable'!#REF!</f>
        <v>#REF!</v>
      </c>
      <c r="F242" s="56" t="e">
        <f>+'Proyectos Base digitable'!#REF!</f>
        <v>#REF!</v>
      </c>
      <c r="G242" s="57" t="e">
        <f>+'Proyectos Base digitable'!#REF!</f>
        <v>#REF!</v>
      </c>
      <c r="H242" s="56" t="e">
        <f>+'Proyectos Base digitable'!#REF!</f>
        <v>#REF!</v>
      </c>
      <c r="I242" s="56" t="e">
        <f>+'Proyectos Base digitable'!#REF!</f>
        <v>#REF!</v>
      </c>
      <c r="J242" s="56" t="e">
        <f>+'Proyectos Base digitable'!#REF!</f>
        <v>#REF!</v>
      </c>
      <c r="K242" s="56" t="e">
        <f>+'Proyectos Base digitable'!#REF!</f>
        <v>#REF!</v>
      </c>
      <c r="L242" s="56" t="e">
        <f>+'Proyectos Base digitable'!#REF!</f>
        <v>#REF!</v>
      </c>
      <c r="M242" s="56" t="e">
        <f>+'Proyectos Base digitable'!#REF!</f>
        <v>#REF!</v>
      </c>
      <c r="N242" s="52" t="e">
        <f>+'Proyectos Base digitable'!#REF!</f>
        <v>#REF!</v>
      </c>
      <c r="O242" s="52" t="e">
        <f>+'Proyectos Base digitable'!#REF!</f>
        <v>#REF!</v>
      </c>
      <c r="P242" s="185" t="e">
        <f>+'Proyectos Base digitable'!#REF!</f>
        <v>#REF!</v>
      </c>
      <c r="Q242" s="58" t="e">
        <f>+'Proyectos Base digitable'!#REF!</f>
        <v>#REF!</v>
      </c>
      <c r="R242" s="58" t="e">
        <f>+'Proyectos Base digitable'!#REF!</f>
        <v>#REF!</v>
      </c>
      <c r="S242" s="58" t="e">
        <f>+'Proyectos Base digitable'!#REF!</f>
        <v>#REF!</v>
      </c>
      <c r="T242" s="58" t="e">
        <f>+'Proyectos Base digitable'!#REF!</f>
        <v>#REF!</v>
      </c>
      <c r="U242" s="63" t="e">
        <f>'Proyectos Base digitable'!#REF!</f>
        <v>#REF!</v>
      </c>
      <c r="V242" s="63" t="e">
        <f>'Proyectos Base digitable'!#REF!</f>
        <v>#REF!</v>
      </c>
      <c r="W242" s="63" t="e">
        <f>'Proyectos Base digitable'!#REF!</f>
        <v>#REF!</v>
      </c>
      <c r="X242" s="63" t="e">
        <f>'Proyectos Base digitable'!#REF!</f>
        <v>#REF!</v>
      </c>
      <c r="Y242" s="63" t="e">
        <f>'Proyectos Base digitable'!#REF!</f>
        <v>#REF!</v>
      </c>
      <c r="Z242" s="58" t="e">
        <f>+'Proyectos Base digitable'!#REF!</f>
        <v>#REF!</v>
      </c>
      <c r="AA242" s="58" t="e">
        <f>+'Proyectos Base digitable'!#REF!</f>
        <v>#REF!</v>
      </c>
      <c r="AB242" s="63" t="e">
        <f>'Proyectos Base digitable'!#REF!</f>
        <v>#REF!</v>
      </c>
      <c r="AC242" s="56" t="e">
        <f>+'Proyectos Base digitable'!#REF!</f>
        <v>#REF!</v>
      </c>
      <c r="AD242" s="52" t="e">
        <f>+'Proyectos Base digitable'!#REF!</f>
        <v>#REF!</v>
      </c>
      <c r="AE242" s="52" t="e">
        <f>+'Proyectos Base digitable'!#REF!</f>
        <v>#REF!</v>
      </c>
      <c r="AF242" s="52" t="e">
        <f>+'Proyectos Base digitable'!#REF!</f>
        <v>#REF!</v>
      </c>
      <c r="AG242" s="56" t="e">
        <f>+'Proyectos Base digitable'!#REF!</f>
        <v>#REF!</v>
      </c>
      <c r="AH242" s="52" t="e">
        <f>+'Proyectos Base digitable'!#REF!</f>
        <v>#REF!</v>
      </c>
      <c r="AI242" s="52" t="e">
        <f>+'Proyectos Base digitable'!#REF!</f>
        <v>#REF!</v>
      </c>
      <c r="AJ242" s="59" t="e">
        <f>+'Proyectos Base digitable'!#REF!</f>
        <v>#REF!</v>
      </c>
      <c r="AK242" s="186" t="e">
        <f>+'Proyectos Base digitable'!#REF!</f>
        <v>#REF!</v>
      </c>
      <c r="AL242" s="186" t="e">
        <f>+'Proyectos Base digitable'!#REF!</f>
        <v>#REF!</v>
      </c>
      <c r="AM242" s="186" t="e">
        <f>+'Proyectos Base digitable'!#REF!</f>
        <v>#REF!</v>
      </c>
      <c r="AN242" s="186" t="e">
        <f>+'Proyectos Base digitable'!#REF!</f>
        <v>#REF!</v>
      </c>
      <c r="AO242" s="186" t="e">
        <f>+'Proyectos Base digitable'!#REF!</f>
        <v>#REF!</v>
      </c>
      <c r="AP242" s="186" t="e">
        <f>+'Proyectos Base digitable'!#REF!</f>
        <v>#REF!</v>
      </c>
      <c r="AQ242" s="186" t="e">
        <f>+'Proyectos Base digitable'!#REF!</f>
        <v>#REF!</v>
      </c>
      <c r="AR242" s="186" t="e">
        <f>+'Proyectos Base digitable'!#REF!</f>
        <v>#REF!</v>
      </c>
      <c r="AS242" s="186" t="e">
        <f>+'Proyectos Base digitable'!#REF!</f>
        <v>#REF!</v>
      </c>
      <c r="AT242" s="187" t="e">
        <f>+'Proyectos Base digitable'!#REF!</f>
        <v>#REF!</v>
      </c>
      <c r="AU242" s="56" t="e">
        <f>+'Proyectos Base digitable'!#REF!</f>
        <v>#REF!</v>
      </c>
      <c r="AV242" s="56" t="e">
        <f>+'Proyectos Base digitable'!#REF!</f>
        <v>#REF!</v>
      </c>
      <c r="AW242" s="56" t="e">
        <f>+'Proyectos Base digitable'!#REF!</f>
        <v>#REF!</v>
      </c>
      <c r="AX242" s="56" t="e">
        <f>+'Proyectos Base digitable'!#REF!</f>
        <v>#REF!</v>
      </c>
      <c r="AY242" s="56" t="e">
        <f>+'Proyectos Base digitable'!#REF!</f>
        <v>#REF!</v>
      </c>
      <c r="AZ242" s="188" t="e">
        <f>+'Proyectos Base digitable'!#REF!</f>
        <v>#REF!</v>
      </c>
      <c r="BA242" s="188" t="e">
        <f>+'Proyectos Base digitable'!#REF!</f>
        <v>#REF!</v>
      </c>
    </row>
    <row r="243" spans="1:53" ht="13.5" customHeight="1">
      <c r="A243" s="60" t="e">
        <f>+'Proyectos Base digitable'!#REF!</f>
        <v>#REF!</v>
      </c>
      <c r="B243" s="56" t="e">
        <f>+'Proyectos Base digitable'!#REF!</f>
        <v>#REF!</v>
      </c>
      <c r="C243" s="56" t="e">
        <f>+'Proyectos Base digitable'!#REF!</f>
        <v>#REF!</v>
      </c>
      <c r="D243" s="56" t="e">
        <f>+'Proyectos Base digitable'!#REF!</f>
        <v>#REF!</v>
      </c>
      <c r="E243" s="56" t="e">
        <f>+'Proyectos Base digitable'!#REF!</f>
        <v>#REF!</v>
      </c>
      <c r="F243" s="56" t="e">
        <f>+'Proyectos Base digitable'!#REF!</f>
        <v>#REF!</v>
      </c>
      <c r="G243" s="57" t="e">
        <f>+'Proyectos Base digitable'!#REF!</f>
        <v>#REF!</v>
      </c>
      <c r="H243" s="56" t="e">
        <f>+'Proyectos Base digitable'!#REF!</f>
        <v>#REF!</v>
      </c>
      <c r="I243" s="56" t="e">
        <f>+'Proyectos Base digitable'!#REF!</f>
        <v>#REF!</v>
      </c>
      <c r="J243" s="56" t="e">
        <f>+'Proyectos Base digitable'!#REF!</f>
        <v>#REF!</v>
      </c>
      <c r="K243" s="56" t="e">
        <f>+'Proyectos Base digitable'!#REF!</f>
        <v>#REF!</v>
      </c>
      <c r="L243" s="56" t="e">
        <f>+'Proyectos Base digitable'!#REF!</f>
        <v>#REF!</v>
      </c>
      <c r="M243" s="56" t="e">
        <f>+'Proyectos Base digitable'!#REF!</f>
        <v>#REF!</v>
      </c>
      <c r="N243" s="52" t="e">
        <f>+'Proyectos Base digitable'!#REF!</f>
        <v>#REF!</v>
      </c>
      <c r="O243" s="52" t="e">
        <f>+'Proyectos Base digitable'!#REF!</f>
        <v>#REF!</v>
      </c>
      <c r="P243" s="185" t="e">
        <f>+'Proyectos Base digitable'!#REF!</f>
        <v>#REF!</v>
      </c>
      <c r="Q243" s="58" t="e">
        <f>+'Proyectos Base digitable'!#REF!</f>
        <v>#REF!</v>
      </c>
      <c r="R243" s="58" t="e">
        <f>+'Proyectos Base digitable'!#REF!</f>
        <v>#REF!</v>
      </c>
      <c r="S243" s="58" t="e">
        <f>+'Proyectos Base digitable'!#REF!</f>
        <v>#REF!</v>
      </c>
      <c r="T243" s="58" t="e">
        <f>+'Proyectos Base digitable'!#REF!</f>
        <v>#REF!</v>
      </c>
      <c r="U243" s="63" t="e">
        <f>'Proyectos Base digitable'!#REF!</f>
        <v>#REF!</v>
      </c>
      <c r="V243" s="63" t="e">
        <f>'Proyectos Base digitable'!#REF!</f>
        <v>#REF!</v>
      </c>
      <c r="W243" s="63" t="e">
        <f>'Proyectos Base digitable'!#REF!</f>
        <v>#REF!</v>
      </c>
      <c r="X243" s="63" t="e">
        <f>'Proyectos Base digitable'!#REF!</f>
        <v>#REF!</v>
      </c>
      <c r="Y243" s="63" t="e">
        <f>'Proyectos Base digitable'!#REF!</f>
        <v>#REF!</v>
      </c>
      <c r="Z243" s="58" t="e">
        <f>+'Proyectos Base digitable'!#REF!</f>
        <v>#REF!</v>
      </c>
      <c r="AA243" s="58" t="e">
        <f>+'Proyectos Base digitable'!#REF!</f>
        <v>#REF!</v>
      </c>
      <c r="AB243" s="63" t="e">
        <f>'Proyectos Base digitable'!#REF!</f>
        <v>#REF!</v>
      </c>
      <c r="AC243" s="56" t="e">
        <f>+'Proyectos Base digitable'!#REF!</f>
        <v>#REF!</v>
      </c>
      <c r="AD243" s="52" t="e">
        <f>+'Proyectos Base digitable'!#REF!</f>
        <v>#REF!</v>
      </c>
      <c r="AE243" s="52" t="e">
        <f>+'Proyectos Base digitable'!#REF!</f>
        <v>#REF!</v>
      </c>
      <c r="AF243" s="52" t="e">
        <f>+'Proyectos Base digitable'!#REF!</f>
        <v>#REF!</v>
      </c>
      <c r="AG243" s="56" t="e">
        <f>+'Proyectos Base digitable'!#REF!</f>
        <v>#REF!</v>
      </c>
      <c r="AH243" s="52" t="e">
        <f>+'Proyectos Base digitable'!#REF!</f>
        <v>#REF!</v>
      </c>
      <c r="AI243" s="52" t="e">
        <f>+'Proyectos Base digitable'!#REF!</f>
        <v>#REF!</v>
      </c>
      <c r="AJ243" s="59" t="e">
        <f>+'Proyectos Base digitable'!#REF!</f>
        <v>#REF!</v>
      </c>
      <c r="AK243" s="186" t="e">
        <f>+'Proyectos Base digitable'!#REF!</f>
        <v>#REF!</v>
      </c>
      <c r="AL243" s="186" t="e">
        <f>+'Proyectos Base digitable'!#REF!</f>
        <v>#REF!</v>
      </c>
      <c r="AM243" s="186" t="e">
        <f>+'Proyectos Base digitable'!#REF!</f>
        <v>#REF!</v>
      </c>
      <c r="AN243" s="186" t="e">
        <f>+'Proyectos Base digitable'!#REF!</f>
        <v>#REF!</v>
      </c>
      <c r="AO243" s="186" t="e">
        <f>+'Proyectos Base digitable'!#REF!</f>
        <v>#REF!</v>
      </c>
      <c r="AP243" s="186" t="e">
        <f>+'Proyectos Base digitable'!#REF!</f>
        <v>#REF!</v>
      </c>
      <c r="AQ243" s="186" t="e">
        <f>+'Proyectos Base digitable'!#REF!</f>
        <v>#REF!</v>
      </c>
      <c r="AR243" s="186" t="e">
        <f>+'Proyectos Base digitable'!#REF!</f>
        <v>#REF!</v>
      </c>
      <c r="AS243" s="186" t="e">
        <f>+'Proyectos Base digitable'!#REF!</f>
        <v>#REF!</v>
      </c>
      <c r="AT243" s="187" t="e">
        <f>+'Proyectos Base digitable'!#REF!</f>
        <v>#REF!</v>
      </c>
      <c r="AU243" s="56" t="e">
        <f>+'Proyectos Base digitable'!#REF!</f>
        <v>#REF!</v>
      </c>
      <c r="AV243" s="56" t="e">
        <f>+'Proyectos Base digitable'!#REF!</f>
        <v>#REF!</v>
      </c>
      <c r="AW243" s="56" t="e">
        <f>+'Proyectos Base digitable'!#REF!</f>
        <v>#REF!</v>
      </c>
      <c r="AX243" s="56" t="e">
        <f>+'Proyectos Base digitable'!#REF!</f>
        <v>#REF!</v>
      </c>
      <c r="AY243" s="56" t="e">
        <f>+'Proyectos Base digitable'!#REF!</f>
        <v>#REF!</v>
      </c>
      <c r="AZ243" s="188" t="e">
        <f>+'Proyectos Base digitable'!#REF!</f>
        <v>#REF!</v>
      </c>
      <c r="BA243" s="188" t="e">
        <f>+'Proyectos Base digitable'!#REF!</f>
        <v>#REF!</v>
      </c>
    </row>
    <row r="244" spans="1:53" ht="13.5" customHeight="1">
      <c r="A244" s="60" t="e">
        <f>+'Proyectos Base digitable'!#REF!</f>
        <v>#REF!</v>
      </c>
      <c r="B244" s="56" t="e">
        <f>+'Proyectos Base digitable'!#REF!</f>
        <v>#REF!</v>
      </c>
      <c r="C244" s="56" t="e">
        <f>+'Proyectos Base digitable'!#REF!</f>
        <v>#REF!</v>
      </c>
      <c r="D244" s="56" t="e">
        <f>+'Proyectos Base digitable'!#REF!</f>
        <v>#REF!</v>
      </c>
      <c r="E244" s="56" t="e">
        <f>+'Proyectos Base digitable'!#REF!</f>
        <v>#REF!</v>
      </c>
      <c r="F244" s="56" t="e">
        <f>+'Proyectos Base digitable'!#REF!</f>
        <v>#REF!</v>
      </c>
      <c r="G244" s="57" t="e">
        <f>+'Proyectos Base digitable'!#REF!</f>
        <v>#REF!</v>
      </c>
      <c r="H244" s="56" t="e">
        <f>+'Proyectos Base digitable'!#REF!</f>
        <v>#REF!</v>
      </c>
      <c r="I244" s="56" t="e">
        <f>+'Proyectos Base digitable'!#REF!</f>
        <v>#REF!</v>
      </c>
      <c r="J244" s="56" t="e">
        <f>+'Proyectos Base digitable'!#REF!</f>
        <v>#REF!</v>
      </c>
      <c r="K244" s="56" t="e">
        <f>+'Proyectos Base digitable'!#REF!</f>
        <v>#REF!</v>
      </c>
      <c r="L244" s="56" t="e">
        <f>+'Proyectos Base digitable'!#REF!</f>
        <v>#REF!</v>
      </c>
      <c r="M244" s="56" t="e">
        <f>+'Proyectos Base digitable'!#REF!</f>
        <v>#REF!</v>
      </c>
      <c r="N244" s="52" t="e">
        <f>+'Proyectos Base digitable'!#REF!</f>
        <v>#REF!</v>
      </c>
      <c r="O244" s="52" t="e">
        <f>+'Proyectos Base digitable'!#REF!</f>
        <v>#REF!</v>
      </c>
      <c r="P244" s="185" t="e">
        <f>+'Proyectos Base digitable'!#REF!</f>
        <v>#REF!</v>
      </c>
      <c r="Q244" s="58" t="e">
        <f>+'Proyectos Base digitable'!#REF!</f>
        <v>#REF!</v>
      </c>
      <c r="R244" s="58" t="e">
        <f>+'Proyectos Base digitable'!#REF!</f>
        <v>#REF!</v>
      </c>
      <c r="S244" s="58" t="e">
        <f>+'Proyectos Base digitable'!#REF!</f>
        <v>#REF!</v>
      </c>
      <c r="T244" s="58" t="e">
        <f>+'Proyectos Base digitable'!#REF!</f>
        <v>#REF!</v>
      </c>
      <c r="U244" s="63" t="e">
        <f>'Proyectos Base digitable'!#REF!</f>
        <v>#REF!</v>
      </c>
      <c r="V244" s="63" t="e">
        <f>'Proyectos Base digitable'!#REF!</f>
        <v>#REF!</v>
      </c>
      <c r="W244" s="63" t="e">
        <f>'Proyectos Base digitable'!#REF!</f>
        <v>#REF!</v>
      </c>
      <c r="X244" s="63" t="e">
        <f>'Proyectos Base digitable'!#REF!</f>
        <v>#REF!</v>
      </c>
      <c r="Y244" s="63" t="e">
        <f>'Proyectos Base digitable'!#REF!</f>
        <v>#REF!</v>
      </c>
      <c r="Z244" s="58" t="e">
        <f>+'Proyectos Base digitable'!#REF!</f>
        <v>#REF!</v>
      </c>
      <c r="AA244" s="58" t="e">
        <f>+'Proyectos Base digitable'!#REF!</f>
        <v>#REF!</v>
      </c>
      <c r="AB244" s="63" t="e">
        <f>'Proyectos Base digitable'!#REF!</f>
        <v>#REF!</v>
      </c>
      <c r="AC244" s="56" t="e">
        <f>+'Proyectos Base digitable'!#REF!</f>
        <v>#REF!</v>
      </c>
      <c r="AD244" s="52" t="e">
        <f>+'Proyectos Base digitable'!#REF!</f>
        <v>#REF!</v>
      </c>
      <c r="AE244" s="52" t="e">
        <f>+'Proyectos Base digitable'!#REF!</f>
        <v>#REF!</v>
      </c>
      <c r="AF244" s="52" t="e">
        <f>+'Proyectos Base digitable'!#REF!</f>
        <v>#REF!</v>
      </c>
      <c r="AG244" s="56" t="e">
        <f>+'Proyectos Base digitable'!#REF!</f>
        <v>#REF!</v>
      </c>
      <c r="AH244" s="52" t="e">
        <f>+'Proyectos Base digitable'!#REF!</f>
        <v>#REF!</v>
      </c>
      <c r="AI244" s="52" t="e">
        <f>+'Proyectos Base digitable'!#REF!</f>
        <v>#REF!</v>
      </c>
      <c r="AJ244" s="59" t="e">
        <f>+'Proyectos Base digitable'!#REF!</f>
        <v>#REF!</v>
      </c>
      <c r="AK244" s="186" t="e">
        <f>+'Proyectos Base digitable'!#REF!</f>
        <v>#REF!</v>
      </c>
      <c r="AL244" s="186" t="e">
        <f>+'Proyectos Base digitable'!#REF!</f>
        <v>#REF!</v>
      </c>
      <c r="AM244" s="186" t="e">
        <f>+'Proyectos Base digitable'!#REF!</f>
        <v>#REF!</v>
      </c>
      <c r="AN244" s="186" t="e">
        <f>+'Proyectos Base digitable'!#REF!</f>
        <v>#REF!</v>
      </c>
      <c r="AO244" s="186" t="e">
        <f>+'Proyectos Base digitable'!#REF!</f>
        <v>#REF!</v>
      </c>
      <c r="AP244" s="186" t="e">
        <f>+'Proyectos Base digitable'!#REF!</f>
        <v>#REF!</v>
      </c>
      <c r="AQ244" s="186" t="e">
        <f>+'Proyectos Base digitable'!#REF!</f>
        <v>#REF!</v>
      </c>
      <c r="AR244" s="186" t="e">
        <f>+'Proyectos Base digitable'!#REF!</f>
        <v>#REF!</v>
      </c>
      <c r="AS244" s="186" t="e">
        <f>+'Proyectos Base digitable'!#REF!</f>
        <v>#REF!</v>
      </c>
      <c r="AT244" s="187" t="e">
        <f>+'Proyectos Base digitable'!#REF!</f>
        <v>#REF!</v>
      </c>
      <c r="AU244" s="56" t="e">
        <f>+'Proyectos Base digitable'!#REF!</f>
        <v>#REF!</v>
      </c>
      <c r="AV244" s="56" t="e">
        <f>+'Proyectos Base digitable'!#REF!</f>
        <v>#REF!</v>
      </c>
      <c r="AW244" s="56" t="e">
        <f>+'Proyectos Base digitable'!#REF!</f>
        <v>#REF!</v>
      </c>
      <c r="AX244" s="56" t="e">
        <f>+'Proyectos Base digitable'!#REF!</f>
        <v>#REF!</v>
      </c>
      <c r="AY244" s="56" t="e">
        <f>+'Proyectos Base digitable'!#REF!</f>
        <v>#REF!</v>
      </c>
      <c r="AZ244" s="188" t="e">
        <f>+'Proyectos Base digitable'!#REF!</f>
        <v>#REF!</v>
      </c>
      <c r="BA244" s="188" t="e">
        <f>+'Proyectos Base digitable'!#REF!</f>
        <v>#REF!</v>
      </c>
    </row>
    <row r="245" spans="1:53" ht="13.5" customHeight="1">
      <c r="A245" s="60" t="e">
        <f>+'Proyectos Base digitable'!#REF!</f>
        <v>#REF!</v>
      </c>
      <c r="B245" s="56" t="e">
        <f>+'Proyectos Base digitable'!#REF!</f>
        <v>#REF!</v>
      </c>
      <c r="C245" s="56" t="e">
        <f>+'Proyectos Base digitable'!#REF!</f>
        <v>#REF!</v>
      </c>
      <c r="D245" s="56" t="e">
        <f>+'Proyectos Base digitable'!#REF!</f>
        <v>#REF!</v>
      </c>
      <c r="E245" s="56" t="e">
        <f>+'Proyectos Base digitable'!#REF!</f>
        <v>#REF!</v>
      </c>
      <c r="F245" s="56" t="e">
        <f>+'Proyectos Base digitable'!#REF!</f>
        <v>#REF!</v>
      </c>
      <c r="G245" s="57" t="e">
        <f>+'Proyectos Base digitable'!#REF!</f>
        <v>#REF!</v>
      </c>
      <c r="H245" s="56" t="e">
        <f>+'Proyectos Base digitable'!#REF!</f>
        <v>#REF!</v>
      </c>
      <c r="I245" s="56" t="e">
        <f>+'Proyectos Base digitable'!#REF!</f>
        <v>#REF!</v>
      </c>
      <c r="J245" s="56" t="e">
        <f>+'Proyectos Base digitable'!#REF!</f>
        <v>#REF!</v>
      </c>
      <c r="K245" s="56" t="e">
        <f>+'Proyectos Base digitable'!#REF!</f>
        <v>#REF!</v>
      </c>
      <c r="L245" s="56" t="e">
        <f>+'Proyectos Base digitable'!#REF!</f>
        <v>#REF!</v>
      </c>
      <c r="M245" s="56" t="e">
        <f>+'Proyectos Base digitable'!#REF!</f>
        <v>#REF!</v>
      </c>
      <c r="N245" s="52" t="e">
        <f>+'Proyectos Base digitable'!#REF!</f>
        <v>#REF!</v>
      </c>
      <c r="O245" s="52" t="e">
        <f>+'Proyectos Base digitable'!#REF!</f>
        <v>#REF!</v>
      </c>
      <c r="P245" s="185" t="e">
        <f>+'Proyectos Base digitable'!#REF!</f>
        <v>#REF!</v>
      </c>
      <c r="Q245" s="58" t="e">
        <f>+'Proyectos Base digitable'!#REF!</f>
        <v>#REF!</v>
      </c>
      <c r="R245" s="58" t="e">
        <f>+'Proyectos Base digitable'!#REF!</f>
        <v>#REF!</v>
      </c>
      <c r="S245" s="58" t="e">
        <f>+'Proyectos Base digitable'!#REF!</f>
        <v>#REF!</v>
      </c>
      <c r="T245" s="58" t="e">
        <f>+'Proyectos Base digitable'!#REF!</f>
        <v>#REF!</v>
      </c>
      <c r="U245" s="63" t="e">
        <f>'Proyectos Base digitable'!#REF!</f>
        <v>#REF!</v>
      </c>
      <c r="V245" s="63" t="e">
        <f>'Proyectos Base digitable'!#REF!</f>
        <v>#REF!</v>
      </c>
      <c r="W245" s="63" t="e">
        <f>'Proyectos Base digitable'!#REF!</f>
        <v>#REF!</v>
      </c>
      <c r="X245" s="63" t="e">
        <f>'Proyectos Base digitable'!#REF!</f>
        <v>#REF!</v>
      </c>
      <c r="Y245" s="63" t="e">
        <f>'Proyectos Base digitable'!#REF!</f>
        <v>#REF!</v>
      </c>
      <c r="Z245" s="58" t="e">
        <f>+'Proyectos Base digitable'!#REF!</f>
        <v>#REF!</v>
      </c>
      <c r="AA245" s="58" t="e">
        <f>+'Proyectos Base digitable'!#REF!</f>
        <v>#REF!</v>
      </c>
      <c r="AB245" s="63" t="e">
        <f>'Proyectos Base digitable'!#REF!</f>
        <v>#REF!</v>
      </c>
      <c r="AC245" s="56" t="e">
        <f>+'Proyectos Base digitable'!#REF!</f>
        <v>#REF!</v>
      </c>
      <c r="AD245" s="52" t="e">
        <f>+'Proyectos Base digitable'!#REF!</f>
        <v>#REF!</v>
      </c>
      <c r="AE245" s="52" t="e">
        <f>+'Proyectos Base digitable'!#REF!</f>
        <v>#REF!</v>
      </c>
      <c r="AF245" s="52" t="e">
        <f>+'Proyectos Base digitable'!#REF!</f>
        <v>#REF!</v>
      </c>
      <c r="AG245" s="56" t="e">
        <f>+'Proyectos Base digitable'!#REF!</f>
        <v>#REF!</v>
      </c>
      <c r="AH245" s="52" t="e">
        <f>+'Proyectos Base digitable'!#REF!</f>
        <v>#REF!</v>
      </c>
      <c r="AI245" s="52" t="e">
        <f>+'Proyectos Base digitable'!#REF!</f>
        <v>#REF!</v>
      </c>
      <c r="AJ245" s="59" t="e">
        <f>+'Proyectos Base digitable'!#REF!</f>
        <v>#REF!</v>
      </c>
      <c r="AK245" s="186" t="e">
        <f>+'Proyectos Base digitable'!#REF!</f>
        <v>#REF!</v>
      </c>
      <c r="AL245" s="186" t="e">
        <f>+'Proyectos Base digitable'!#REF!</f>
        <v>#REF!</v>
      </c>
      <c r="AM245" s="186" t="e">
        <f>+'Proyectos Base digitable'!#REF!</f>
        <v>#REF!</v>
      </c>
      <c r="AN245" s="186" t="e">
        <f>+'Proyectos Base digitable'!#REF!</f>
        <v>#REF!</v>
      </c>
      <c r="AO245" s="186" t="e">
        <f>+'Proyectos Base digitable'!#REF!</f>
        <v>#REF!</v>
      </c>
      <c r="AP245" s="186" t="e">
        <f>+'Proyectos Base digitable'!#REF!</f>
        <v>#REF!</v>
      </c>
      <c r="AQ245" s="186" t="e">
        <f>+'Proyectos Base digitable'!#REF!</f>
        <v>#REF!</v>
      </c>
      <c r="AR245" s="186" t="e">
        <f>+'Proyectos Base digitable'!#REF!</f>
        <v>#REF!</v>
      </c>
      <c r="AS245" s="186" t="e">
        <f>+'Proyectos Base digitable'!#REF!</f>
        <v>#REF!</v>
      </c>
      <c r="AT245" s="187" t="e">
        <f>+'Proyectos Base digitable'!#REF!</f>
        <v>#REF!</v>
      </c>
      <c r="AU245" s="56" t="e">
        <f>+'Proyectos Base digitable'!#REF!</f>
        <v>#REF!</v>
      </c>
      <c r="AV245" s="56" t="e">
        <f>+'Proyectos Base digitable'!#REF!</f>
        <v>#REF!</v>
      </c>
      <c r="AW245" s="56" t="e">
        <f>+'Proyectos Base digitable'!#REF!</f>
        <v>#REF!</v>
      </c>
      <c r="AX245" s="56" t="e">
        <f>+'Proyectos Base digitable'!#REF!</f>
        <v>#REF!</v>
      </c>
      <c r="AY245" s="56" t="e">
        <f>+'Proyectos Base digitable'!#REF!</f>
        <v>#REF!</v>
      </c>
      <c r="AZ245" s="188" t="e">
        <f>+'Proyectos Base digitable'!#REF!</f>
        <v>#REF!</v>
      </c>
      <c r="BA245" s="188" t="e">
        <f>+'Proyectos Base digitable'!#REF!</f>
        <v>#REF!</v>
      </c>
    </row>
    <row r="246" spans="1:53" ht="13.5" customHeight="1">
      <c r="A246" s="60" t="e">
        <f>+'Proyectos Base digitable'!#REF!</f>
        <v>#REF!</v>
      </c>
      <c r="B246" s="56" t="e">
        <f>+'Proyectos Base digitable'!#REF!</f>
        <v>#REF!</v>
      </c>
      <c r="C246" s="56" t="e">
        <f>+'Proyectos Base digitable'!#REF!</f>
        <v>#REF!</v>
      </c>
      <c r="D246" s="56" t="e">
        <f>+'Proyectos Base digitable'!#REF!</f>
        <v>#REF!</v>
      </c>
      <c r="E246" s="56" t="e">
        <f>+'Proyectos Base digitable'!#REF!</f>
        <v>#REF!</v>
      </c>
      <c r="F246" s="56" t="e">
        <f>+'Proyectos Base digitable'!#REF!</f>
        <v>#REF!</v>
      </c>
      <c r="G246" s="57" t="e">
        <f>+'Proyectos Base digitable'!#REF!</f>
        <v>#REF!</v>
      </c>
      <c r="H246" s="56" t="e">
        <f>+'Proyectos Base digitable'!#REF!</f>
        <v>#REF!</v>
      </c>
      <c r="I246" s="56" t="e">
        <f>+'Proyectos Base digitable'!#REF!</f>
        <v>#REF!</v>
      </c>
      <c r="J246" s="56" t="e">
        <f>+'Proyectos Base digitable'!#REF!</f>
        <v>#REF!</v>
      </c>
      <c r="K246" s="56" t="e">
        <f>+'Proyectos Base digitable'!#REF!</f>
        <v>#REF!</v>
      </c>
      <c r="L246" s="56" t="e">
        <f>+'Proyectos Base digitable'!#REF!</f>
        <v>#REF!</v>
      </c>
      <c r="M246" s="56" t="e">
        <f>+'Proyectos Base digitable'!#REF!</f>
        <v>#REF!</v>
      </c>
      <c r="N246" s="52" t="e">
        <f>+'Proyectos Base digitable'!#REF!</f>
        <v>#REF!</v>
      </c>
      <c r="O246" s="52" t="e">
        <f>+'Proyectos Base digitable'!#REF!</f>
        <v>#REF!</v>
      </c>
      <c r="P246" s="185" t="e">
        <f>+'Proyectos Base digitable'!#REF!</f>
        <v>#REF!</v>
      </c>
      <c r="Q246" s="58" t="e">
        <f>+'Proyectos Base digitable'!#REF!</f>
        <v>#REF!</v>
      </c>
      <c r="R246" s="58" t="e">
        <f>+'Proyectos Base digitable'!#REF!</f>
        <v>#REF!</v>
      </c>
      <c r="S246" s="58" t="e">
        <f>+'Proyectos Base digitable'!#REF!</f>
        <v>#REF!</v>
      </c>
      <c r="T246" s="58" t="e">
        <f>+'Proyectos Base digitable'!#REF!</f>
        <v>#REF!</v>
      </c>
      <c r="U246" s="63" t="e">
        <f>'Proyectos Base digitable'!#REF!</f>
        <v>#REF!</v>
      </c>
      <c r="V246" s="63" t="e">
        <f>'Proyectos Base digitable'!#REF!</f>
        <v>#REF!</v>
      </c>
      <c r="W246" s="63" t="e">
        <f>'Proyectos Base digitable'!#REF!</f>
        <v>#REF!</v>
      </c>
      <c r="X246" s="63" t="e">
        <f>'Proyectos Base digitable'!#REF!</f>
        <v>#REF!</v>
      </c>
      <c r="Y246" s="63" t="e">
        <f>'Proyectos Base digitable'!#REF!</f>
        <v>#REF!</v>
      </c>
      <c r="Z246" s="58" t="e">
        <f>+'Proyectos Base digitable'!#REF!</f>
        <v>#REF!</v>
      </c>
      <c r="AA246" s="58" t="e">
        <f>+'Proyectos Base digitable'!#REF!</f>
        <v>#REF!</v>
      </c>
      <c r="AB246" s="63" t="e">
        <f>'Proyectos Base digitable'!#REF!</f>
        <v>#REF!</v>
      </c>
      <c r="AC246" s="56" t="e">
        <f>+'Proyectos Base digitable'!#REF!</f>
        <v>#REF!</v>
      </c>
      <c r="AD246" s="52" t="e">
        <f>+'Proyectos Base digitable'!#REF!</f>
        <v>#REF!</v>
      </c>
      <c r="AE246" s="52" t="e">
        <f>+'Proyectos Base digitable'!#REF!</f>
        <v>#REF!</v>
      </c>
      <c r="AF246" s="52" t="e">
        <f>+'Proyectos Base digitable'!#REF!</f>
        <v>#REF!</v>
      </c>
      <c r="AG246" s="56" t="e">
        <f>+'Proyectos Base digitable'!#REF!</f>
        <v>#REF!</v>
      </c>
      <c r="AH246" s="52" t="e">
        <f>+'Proyectos Base digitable'!#REF!</f>
        <v>#REF!</v>
      </c>
      <c r="AI246" s="52" t="e">
        <f>+'Proyectos Base digitable'!#REF!</f>
        <v>#REF!</v>
      </c>
      <c r="AJ246" s="59" t="e">
        <f>+'Proyectos Base digitable'!#REF!</f>
        <v>#REF!</v>
      </c>
      <c r="AK246" s="186" t="e">
        <f>+'Proyectos Base digitable'!#REF!</f>
        <v>#REF!</v>
      </c>
      <c r="AL246" s="186" t="e">
        <f>+'Proyectos Base digitable'!#REF!</f>
        <v>#REF!</v>
      </c>
      <c r="AM246" s="186" t="e">
        <f>+'Proyectos Base digitable'!#REF!</f>
        <v>#REF!</v>
      </c>
      <c r="AN246" s="186" t="e">
        <f>+'Proyectos Base digitable'!#REF!</f>
        <v>#REF!</v>
      </c>
      <c r="AO246" s="186" t="e">
        <f>+'Proyectos Base digitable'!#REF!</f>
        <v>#REF!</v>
      </c>
      <c r="AP246" s="186" t="e">
        <f>+'Proyectos Base digitable'!#REF!</f>
        <v>#REF!</v>
      </c>
      <c r="AQ246" s="186" t="e">
        <f>+'Proyectos Base digitable'!#REF!</f>
        <v>#REF!</v>
      </c>
      <c r="AR246" s="186" t="e">
        <f>+'Proyectos Base digitable'!#REF!</f>
        <v>#REF!</v>
      </c>
      <c r="AS246" s="186" t="e">
        <f>+'Proyectos Base digitable'!#REF!</f>
        <v>#REF!</v>
      </c>
      <c r="AT246" s="187" t="e">
        <f>+'Proyectos Base digitable'!#REF!</f>
        <v>#REF!</v>
      </c>
      <c r="AU246" s="56" t="e">
        <f>+'Proyectos Base digitable'!#REF!</f>
        <v>#REF!</v>
      </c>
      <c r="AV246" s="56" t="e">
        <f>+'Proyectos Base digitable'!#REF!</f>
        <v>#REF!</v>
      </c>
      <c r="AW246" s="56" t="e">
        <f>+'Proyectos Base digitable'!#REF!</f>
        <v>#REF!</v>
      </c>
      <c r="AX246" s="56" t="e">
        <f>+'Proyectos Base digitable'!#REF!</f>
        <v>#REF!</v>
      </c>
      <c r="AY246" s="56" t="e">
        <f>+'Proyectos Base digitable'!#REF!</f>
        <v>#REF!</v>
      </c>
      <c r="AZ246" s="188" t="e">
        <f>+'Proyectos Base digitable'!#REF!</f>
        <v>#REF!</v>
      </c>
      <c r="BA246" s="188" t="e">
        <f>+'Proyectos Base digitable'!#REF!</f>
        <v>#REF!</v>
      </c>
    </row>
    <row r="247" spans="1:53" ht="13.5" customHeight="1">
      <c r="A247" s="60" t="e">
        <f>+'Proyectos Base digitable'!#REF!</f>
        <v>#REF!</v>
      </c>
      <c r="B247" s="56" t="e">
        <f>+'Proyectos Base digitable'!#REF!</f>
        <v>#REF!</v>
      </c>
      <c r="C247" s="56" t="e">
        <f>+'Proyectos Base digitable'!#REF!</f>
        <v>#REF!</v>
      </c>
      <c r="D247" s="56" t="e">
        <f>+'Proyectos Base digitable'!#REF!</f>
        <v>#REF!</v>
      </c>
      <c r="E247" s="56" t="e">
        <f>+'Proyectos Base digitable'!#REF!</f>
        <v>#REF!</v>
      </c>
      <c r="F247" s="56" t="e">
        <f>+'Proyectos Base digitable'!#REF!</f>
        <v>#REF!</v>
      </c>
      <c r="G247" s="57" t="e">
        <f>+'Proyectos Base digitable'!#REF!</f>
        <v>#REF!</v>
      </c>
      <c r="H247" s="56" t="e">
        <f>+'Proyectos Base digitable'!#REF!</f>
        <v>#REF!</v>
      </c>
      <c r="I247" s="56" t="e">
        <f>+'Proyectos Base digitable'!#REF!</f>
        <v>#REF!</v>
      </c>
      <c r="J247" s="56" t="e">
        <f>+'Proyectos Base digitable'!#REF!</f>
        <v>#REF!</v>
      </c>
      <c r="K247" s="56" t="e">
        <f>+'Proyectos Base digitable'!#REF!</f>
        <v>#REF!</v>
      </c>
      <c r="L247" s="56" t="e">
        <f>+'Proyectos Base digitable'!#REF!</f>
        <v>#REF!</v>
      </c>
      <c r="M247" s="56" t="e">
        <f>+'Proyectos Base digitable'!#REF!</f>
        <v>#REF!</v>
      </c>
      <c r="N247" s="52" t="e">
        <f>+'Proyectos Base digitable'!#REF!</f>
        <v>#REF!</v>
      </c>
      <c r="O247" s="52" t="e">
        <f>+'Proyectos Base digitable'!#REF!</f>
        <v>#REF!</v>
      </c>
      <c r="P247" s="185" t="e">
        <f>+'Proyectos Base digitable'!#REF!</f>
        <v>#REF!</v>
      </c>
      <c r="Q247" s="58" t="e">
        <f>+'Proyectos Base digitable'!#REF!</f>
        <v>#REF!</v>
      </c>
      <c r="R247" s="58" t="e">
        <f>+'Proyectos Base digitable'!#REF!</f>
        <v>#REF!</v>
      </c>
      <c r="S247" s="58" t="e">
        <f>+'Proyectos Base digitable'!#REF!</f>
        <v>#REF!</v>
      </c>
      <c r="T247" s="58" t="e">
        <f>+'Proyectos Base digitable'!#REF!</f>
        <v>#REF!</v>
      </c>
      <c r="U247" s="63" t="e">
        <f>'Proyectos Base digitable'!#REF!</f>
        <v>#REF!</v>
      </c>
      <c r="V247" s="63" t="e">
        <f>'Proyectos Base digitable'!#REF!</f>
        <v>#REF!</v>
      </c>
      <c r="W247" s="63" t="e">
        <f>'Proyectos Base digitable'!#REF!</f>
        <v>#REF!</v>
      </c>
      <c r="X247" s="63" t="e">
        <f>'Proyectos Base digitable'!#REF!</f>
        <v>#REF!</v>
      </c>
      <c r="Y247" s="63" t="e">
        <f>'Proyectos Base digitable'!#REF!</f>
        <v>#REF!</v>
      </c>
      <c r="Z247" s="58" t="e">
        <f>+'Proyectos Base digitable'!#REF!</f>
        <v>#REF!</v>
      </c>
      <c r="AA247" s="58" t="e">
        <f>+'Proyectos Base digitable'!#REF!</f>
        <v>#REF!</v>
      </c>
      <c r="AB247" s="63" t="e">
        <f>'Proyectos Base digitable'!#REF!</f>
        <v>#REF!</v>
      </c>
      <c r="AC247" s="56" t="e">
        <f>+'Proyectos Base digitable'!#REF!</f>
        <v>#REF!</v>
      </c>
      <c r="AD247" s="52" t="e">
        <f>+'Proyectos Base digitable'!#REF!</f>
        <v>#REF!</v>
      </c>
      <c r="AE247" s="52" t="e">
        <f>+'Proyectos Base digitable'!#REF!</f>
        <v>#REF!</v>
      </c>
      <c r="AF247" s="52" t="e">
        <f>+'Proyectos Base digitable'!#REF!</f>
        <v>#REF!</v>
      </c>
      <c r="AG247" s="56" t="e">
        <f>+'Proyectos Base digitable'!#REF!</f>
        <v>#REF!</v>
      </c>
      <c r="AH247" s="52" t="e">
        <f>+'Proyectos Base digitable'!#REF!</f>
        <v>#REF!</v>
      </c>
      <c r="AI247" s="52" t="e">
        <f>+'Proyectos Base digitable'!#REF!</f>
        <v>#REF!</v>
      </c>
      <c r="AJ247" s="59" t="e">
        <f>+'Proyectos Base digitable'!#REF!</f>
        <v>#REF!</v>
      </c>
      <c r="AK247" s="186" t="e">
        <f>+'Proyectos Base digitable'!#REF!</f>
        <v>#REF!</v>
      </c>
      <c r="AL247" s="186" t="e">
        <f>+'Proyectos Base digitable'!#REF!</f>
        <v>#REF!</v>
      </c>
      <c r="AM247" s="186" t="e">
        <f>+'Proyectos Base digitable'!#REF!</f>
        <v>#REF!</v>
      </c>
      <c r="AN247" s="186" t="e">
        <f>+'Proyectos Base digitable'!#REF!</f>
        <v>#REF!</v>
      </c>
      <c r="AO247" s="186" t="e">
        <f>+'Proyectos Base digitable'!#REF!</f>
        <v>#REF!</v>
      </c>
      <c r="AP247" s="186" t="e">
        <f>+'Proyectos Base digitable'!#REF!</f>
        <v>#REF!</v>
      </c>
      <c r="AQ247" s="186" t="e">
        <f>+'Proyectos Base digitable'!#REF!</f>
        <v>#REF!</v>
      </c>
      <c r="AR247" s="186" t="e">
        <f>+'Proyectos Base digitable'!#REF!</f>
        <v>#REF!</v>
      </c>
      <c r="AS247" s="186" t="e">
        <f>+'Proyectos Base digitable'!#REF!</f>
        <v>#REF!</v>
      </c>
      <c r="AT247" s="187" t="e">
        <f>+'Proyectos Base digitable'!#REF!</f>
        <v>#REF!</v>
      </c>
      <c r="AU247" s="56" t="e">
        <f>+'Proyectos Base digitable'!#REF!</f>
        <v>#REF!</v>
      </c>
      <c r="AV247" s="56" t="e">
        <f>+'Proyectos Base digitable'!#REF!</f>
        <v>#REF!</v>
      </c>
      <c r="AW247" s="56" t="e">
        <f>+'Proyectos Base digitable'!#REF!</f>
        <v>#REF!</v>
      </c>
      <c r="AX247" s="56" t="e">
        <f>+'Proyectos Base digitable'!#REF!</f>
        <v>#REF!</v>
      </c>
      <c r="AY247" s="56" t="e">
        <f>+'Proyectos Base digitable'!#REF!</f>
        <v>#REF!</v>
      </c>
      <c r="AZ247" s="188" t="e">
        <f>+'Proyectos Base digitable'!#REF!</f>
        <v>#REF!</v>
      </c>
      <c r="BA247" s="188" t="e">
        <f>+'Proyectos Base digitable'!#REF!</f>
        <v>#REF!</v>
      </c>
    </row>
    <row r="248" spans="1:53" ht="13.5" customHeight="1">
      <c r="A248" s="60" t="e">
        <f>+'Proyectos Base digitable'!#REF!</f>
        <v>#REF!</v>
      </c>
      <c r="B248" s="56" t="e">
        <f>+'Proyectos Base digitable'!#REF!</f>
        <v>#REF!</v>
      </c>
      <c r="C248" s="56" t="e">
        <f>+'Proyectos Base digitable'!#REF!</f>
        <v>#REF!</v>
      </c>
      <c r="D248" s="56" t="e">
        <f>+'Proyectos Base digitable'!#REF!</f>
        <v>#REF!</v>
      </c>
      <c r="E248" s="56" t="e">
        <f>+'Proyectos Base digitable'!#REF!</f>
        <v>#REF!</v>
      </c>
      <c r="F248" s="56" t="e">
        <f>+'Proyectos Base digitable'!#REF!</f>
        <v>#REF!</v>
      </c>
      <c r="G248" s="57" t="e">
        <f>+'Proyectos Base digitable'!#REF!</f>
        <v>#REF!</v>
      </c>
      <c r="H248" s="56" t="e">
        <f>+'Proyectos Base digitable'!#REF!</f>
        <v>#REF!</v>
      </c>
      <c r="I248" s="56" t="e">
        <f>+'Proyectos Base digitable'!#REF!</f>
        <v>#REF!</v>
      </c>
      <c r="J248" s="56" t="e">
        <f>+'Proyectos Base digitable'!#REF!</f>
        <v>#REF!</v>
      </c>
      <c r="K248" s="56" t="e">
        <f>+'Proyectos Base digitable'!#REF!</f>
        <v>#REF!</v>
      </c>
      <c r="L248" s="56" t="e">
        <f>+'Proyectos Base digitable'!#REF!</f>
        <v>#REF!</v>
      </c>
      <c r="M248" s="56" t="e">
        <f>+'Proyectos Base digitable'!#REF!</f>
        <v>#REF!</v>
      </c>
      <c r="N248" s="52" t="e">
        <f>+'Proyectos Base digitable'!#REF!</f>
        <v>#REF!</v>
      </c>
      <c r="O248" s="52" t="e">
        <f>+'Proyectos Base digitable'!#REF!</f>
        <v>#REF!</v>
      </c>
      <c r="P248" s="185" t="e">
        <f>+'Proyectos Base digitable'!#REF!</f>
        <v>#REF!</v>
      </c>
      <c r="Q248" s="58" t="e">
        <f>+'Proyectos Base digitable'!#REF!</f>
        <v>#REF!</v>
      </c>
      <c r="R248" s="58" t="e">
        <f>+'Proyectos Base digitable'!#REF!</f>
        <v>#REF!</v>
      </c>
      <c r="S248" s="58" t="e">
        <f>+'Proyectos Base digitable'!#REF!</f>
        <v>#REF!</v>
      </c>
      <c r="T248" s="58" t="e">
        <f>+'Proyectos Base digitable'!#REF!</f>
        <v>#REF!</v>
      </c>
      <c r="U248" s="63" t="e">
        <f>'Proyectos Base digitable'!#REF!</f>
        <v>#REF!</v>
      </c>
      <c r="V248" s="63" t="e">
        <f>'Proyectos Base digitable'!#REF!</f>
        <v>#REF!</v>
      </c>
      <c r="W248" s="63" t="e">
        <f>'Proyectos Base digitable'!#REF!</f>
        <v>#REF!</v>
      </c>
      <c r="X248" s="63" t="e">
        <f>'Proyectos Base digitable'!#REF!</f>
        <v>#REF!</v>
      </c>
      <c r="Y248" s="63" t="e">
        <f>'Proyectos Base digitable'!#REF!</f>
        <v>#REF!</v>
      </c>
      <c r="Z248" s="58" t="e">
        <f>+'Proyectos Base digitable'!#REF!</f>
        <v>#REF!</v>
      </c>
      <c r="AA248" s="58" t="e">
        <f>+'Proyectos Base digitable'!#REF!</f>
        <v>#REF!</v>
      </c>
      <c r="AB248" s="63" t="e">
        <f>'Proyectos Base digitable'!#REF!</f>
        <v>#REF!</v>
      </c>
      <c r="AC248" s="56" t="e">
        <f>+'Proyectos Base digitable'!#REF!</f>
        <v>#REF!</v>
      </c>
      <c r="AD248" s="52" t="e">
        <f>+'Proyectos Base digitable'!#REF!</f>
        <v>#REF!</v>
      </c>
      <c r="AE248" s="52" t="e">
        <f>+'Proyectos Base digitable'!#REF!</f>
        <v>#REF!</v>
      </c>
      <c r="AF248" s="52" t="e">
        <f>+'Proyectos Base digitable'!#REF!</f>
        <v>#REF!</v>
      </c>
      <c r="AG248" s="56" t="e">
        <f>+'Proyectos Base digitable'!#REF!</f>
        <v>#REF!</v>
      </c>
      <c r="AH248" s="52" t="e">
        <f>+'Proyectos Base digitable'!#REF!</f>
        <v>#REF!</v>
      </c>
      <c r="AI248" s="52" t="e">
        <f>+'Proyectos Base digitable'!#REF!</f>
        <v>#REF!</v>
      </c>
      <c r="AJ248" s="59" t="e">
        <f>+'Proyectos Base digitable'!#REF!</f>
        <v>#REF!</v>
      </c>
      <c r="AK248" s="186" t="e">
        <f>+'Proyectos Base digitable'!#REF!</f>
        <v>#REF!</v>
      </c>
      <c r="AL248" s="186" t="e">
        <f>+'Proyectos Base digitable'!#REF!</f>
        <v>#REF!</v>
      </c>
      <c r="AM248" s="186" t="e">
        <f>+'Proyectos Base digitable'!#REF!</f>
        <v>#REF!</v>
      </c>
      <c r="AN248" s="186" t="e">
        <f>+'Proyectos Base digitable'!#REF!</f>
        <v>#REF!</v>
      </c>
      <c r="AO248" s="186" t="e">
        <f>+'Proyectos Base digitable'!#REF!</f>
        <v>#REF!</v>
      </c>
      <c r="AP248" s="186" t="e">
        <f>+'Proyectos Base digitable'!#REF!</f>
        <v>#REF!</v>
      </c>
      <c r="AQ248" s="186" t="e">
        <f>+'Proyectos Base digitable'!#REF!</f>
        <v>#REF!</v>
      </c>
      <c r="AR248" s="186" t="e">
        <f>+'Proyectos Base digitable'!#REF!</f>
        <v>#REF!</v>
      </c>
      <c r="AS248" s="186" t="e">
        <f>+'Proyectos Base digitable'!#REF!</f>
        <v>#REF!</v>
      </c>
      <c r="AT248" s="187" t="e">
        <f>+'Proyectos Base digitable'!#REF!</f>
        <v>#REF!</v>
      </c>
      <c r="AU248" s="56" t="e">
        <f>+'Proyectos Base digitable'!#REF!</f>
        <v>#REF!</v>
      </c>
      <c r="AV248" s="56" t="e">
        <f>+'Proyectos Base digitable'!#REF!</f>
        <v>#REF!</v>
      </c>
      <c r="AW248" s="56" t="e">
        <f>+'Proyectos Base digitable'!#REF!</f>
        <v>#REF!</v>
      </c>
      <c r="AX248" s="56" t="e">
        <f>+'Proyectos Base digitable'!#REF!</f>
        <v>#REF!</v>
      </c>
      <c r="AY248" s="56" t="e">
        <f>+'Proyectos Base digitable'!#REF!</f>
        <v>#REF!</v>
      </c>
      <c r="AZ248" s="188" t="e">
        <f>+'Proyectos Base digitable'!#REF!</f>
        <v>#REF!</v>
      </c>
      <c r="BA248" s="188" t="e">
        <f>+'Proyectos Base digitable'!#REF!</f>
        <v>#REF!</v>
      </c>
    </row>
    <row r="249" spans="1:53" ht="13.5" customHeight="1">
      <c r="A249" s="60" t="e">
        <f>+'Proyectos Base digitable'!#REF!</f>
        <v>#REF!</v>
      </c>
      <c r="B249" s="56" t="e">
        <f>+'Proyectos Base digitable'!#REF!</f>
        <v>#REF!</v>
      </c>
      <c r="C249" s="56" t="e">
        <f>+'Proyectos Base digitable'!#REF!</f>
        <v>#REF!</v>
      </c>
      <c r="D249" s="56" t="e">
        <f>+'Proyectos Base digitable'!#REF!</f>
        <v>#REF!</v>
      </c>
      <c r="E249" s="56" t="e">
        <f>+'Proyectos Base digitable'!#REF!</f>
        <v>#REF!</v>
      </c>
      <c r="F249" s="56" t="e">
        <f>+'Proyectos Base digitable'!#REF!</f>
        <v>#REF!</v>
      </c>
      <c r="G249" s="57" t="e">
        <f>+'Proyectos Base digitable'!#REF!</f>
        <v>#REF!</v>
      </c>
      <c r="H249" s="56" t="e">
        <f>+'Proyectos Base digitable'!#REF!</f>
        <v>#REF!</v>
      </c>
      <c r="I249" s="56" t="e">
        <f>+'Proyectos Base digitable'!#REF!</f>
        <v>#REF!</v>
      </c>
      <c r="J249" s="56" t="e">
        <f>+'Proyectos Base digitable'!#REF!</f>
        <v>#REF!</v>
      </c>
      <c r="K249" s="56" t="e">
        <f>+'Proyectos Base digitable'!#REF!</f>
        <v>#REF!</v>
      </c>
      <c r="L249" s="56" t="e">
        <f>+'Proyectos Base digitable'!#REF!</f>
        <v>#REF!</v>
      </c>
      <c r="M249" s="56" t="e">
        <f>+'Proyectos Base digitable'!#REF!</f>
        <v>#REF!</v>
      </c>
      <c r="N249" s="52" t="e">
        <f>+'Proyectos Base digitable'!#REF!</f>
        <v>#REF!</v>
      </c>
      <c r="O249" s="52" t="e">
        <f>+'Proyectos Base digitable'!#REF!</f>
        <v>#REF!</v>
      </c>
      <c r="P249" s="185" t="e">
        <f>+'Proyectos Base digitable'!#REF!</f>
        <v>#REF!</v>
      </c>
      <c r="Q249" s="58" t="e">
        <f>+'Proyectos Base digitable'!#REF!</f>
        <v>#REF!</v>
      </c>
      <c r="R249" s="58" t="e">
        <f>+'Proyectos Base digitable'!#REF!</f>
        <v>#REF!</v>
      </c>
      <c r="S249" s="58" t="e">
        <f>+'Proyectos Base digitable'!#REF!</f>
        <v>#REF!</v>
      </c>
      <c r="T249" s="58" t="e">
        <f>+'Proyectos Base digitable'!#REF!</f>
        <v>#REF!</v>
      </c>
      <c r="U249" s="63" t="e">
        <f>'Proyectos Base digitable'!#REF!</f>
        <v>#REF!</v>
      </c>
      <c r="V249" s="63" t="e">
        <f>'Proyectos Base digitable'!#REF!</f>
        <v>#REF!</v>
      </c>
      <c r="W249" s="63" t="e">
        <f>'Proyectos Base digitable'!#REF!</f>
        <v>#REF!</v>
      </c>
      <c r="X249" s="63" t="e">
        <f>'Proyectos Base digitable'!#REF!</f>
        <v>#REF!</v>
      </c>
      <c r="Y249" s="63" t="e">
        <f>'Proyectos Base digitable'!#REF!</f>
        <v>#REF!</v>
      </c>
      <c r="Z249" s="58" t="e">
        <f>+'Proyectos Base digitable'!#REF!</f>
        <v>#REF!</v>
      </c>
      <c r="AA249" s="58" t="e">
        <f>+'Proyectos Base digitable'!#REF!</f>
        <v>#REF!</v>
      </c>
      <c r="AB249" s="63" t="e">
        <f>'Proyectos Base digitable'!#REF!</f>
        <v>#REF!</v>
      </c>
      <c r="AC249" s="56" t="e">
        <f>+'Proyectos Base digitable'!#REF!</f>
        <v>#REF!</v>
      </c>
      <c r="AD249" s="52" t="e">
        <f>+'Proyectos Base digitable'!#REF!</f>
        <v>#REF!</v>
      </c>
      <c r="AE249" s="52" t="e">
        <f>+'Proyectos Base digitable'!#REF!</f>
        <v>#REF!</v>
      </c>
      <c r="AF249" s="52" t="e">
        <f>+'Proyectos Base digitable'!#REF!</f>
        <v>#REF!</v>
      </c>
      <c r="AG249" s="56" t="e">
        <f>+'Proyectos Base digitable'!#REF!</f>
        <v>#REF!</v>
      </c>
      <c r="AH249" s="52" t="e">
        <f>+'Proyectos Base digitable'!#REF!</f>
        <v>#REF!</v>
      </c>
      <c r="AI249" s="52" t="e">
        <f>+'Proyectos Base digitable'!#REF!</f>
        <v>#REF!</v>
      </c>
      <c r="AJ249" s="59" t="e">
        <f>+'Proyectos Base digitable'!#REF!</f>
        <v>#REF!</v>
      </c>
      <c r="AK249" s="186" t="e">
        <f>+'Proyectos Base digitable'!#REF!</f>
        <v>#REF!</v>
      </c>
      <c r="AL249" s="186" t="e">
        <f>+'Proyectos Base digitable'!#REF!</f>
        <v>#REF!</v>
      </c>
      <c r="AM249" s="186" t="e">
        <f>+'Proyectos Base digitable'!#REF!</f>
        <v>#REF!</v>
      </c>
      <c r="AN249" s="186" t="e">
        <f>+'Proyectos Base digitable'!#REF!</f>
        <v>#REF!</v>
      </c>
      <c r="AO249" s="186" t="e">
        <f>+'Proyectos Base digitable'!#REF!</f>
        <v>#REF!</v>
      </c>
      <c r="AP249" s="186" t="e">
        <f>+'Proyectos Base digitable'!#REF!</f>
        <v>#REF!</v>
      </c>
      <c r="AQ249" s="186" t="e">
        <f>+'Proyectos Base digitable'!#REF!</f>
        <v>#REF!</v>
      </c>
      <c r="AR249" s="186" t="e">
        <f>+'Proyectos Base digitable'!#REF!</f>
        <v>#REF!</v>
      </c>
      <c r="AS249" s="186" t="e">
        <f>+'Proyectos Base digitable'!#REF!</f>
        <v>#REF!</v>
      </c>
      <c r="AT249" s="187" t="e">
        <f>+'Proyectos Base digitable'!#REF!</f>
        <v>#REF!</v>
      </c>
      <c r="AU249" s="56" t="e">
        <f>+'Proyectos Base digitable'!#REF!</f>
        <v>#REF!</v>
      </c>
      <c r="AV249" s="56" t="e">
        <f>+'Proyectos Base digitable'!#REF!</f>
        <v>#REF!</v>
      </c>
      <c r="AW249" s="56" t="e">
        <f>+'Proyectos Base digitable'!#REF!</f>
        <v>#REF!</v>
      </c>
      <c r="AX249" s="56" t="e">
        <f>+'Proyectos Base digitable'!#REF!</f>
        <v>#REF!</v>
      </c>
      <c r="AY249" s="56" t="e">
        <f>+'Proyectos Base digitable'!#REF!</f>
        <v>#REF!</v>
      </c>
      <c r="AZ249" s="188" t="e">
        <f>+'Proyectos Base digitable'!#REF!</f>
        <v>#REF!</v>
      </c>
      <c r="BA249" s="188" t="e">
        <f>+'Proyectos Base digitable'!#REF!</f>
        <v>#REF!</v>
      </c>
    </row>
    <row r="250" spans="1:53" ht="13.5" customHeight="1">
      <c r="A250" s="60" t="e">
        <f>+'Proyectos Base digitable'!#REF!</f>
        <v>#REF!</v>
      </c>
      <c r="B250" s="56" t="e">
        <f>+'Proyectos Base digitable'!#REF!</f>
        <v>#REF!</v>
      </c>
      <c r="C250" s="56" t="e">
        <f>+'Proyectos Base digitable'!#REF!</f>
        <v>#REF!</v>
      </c>
      <c r="D250" s="56" t="e">
        <f>+'Proyectos Base digitable'!#REF!</f>
        <v>#REF!</v>
      </c>
      <c r="E250" s="56" t="e">
        <f>+'Proyectos Base digitable'!#REF!</f>
        <v>#REF!</v>
      </c>
      <c r="F250" s="56" t="e">
        <f>+'Proyectos Base digitable'!#REF!</f>
        <v>#REF!</v>
      </c>
      <c r="G250" s="57" t="e">
        <f>+'Proyectos Base digitable'!#REF!</f>
        <v>#REF!</v>
      </c>
      <c r="H250" s="56" t="e">
        <f>+'Proyectos Base digitable'!#REF!</f>
        <v>#REF!</v>
      </c>
      <c r="I250" s="56" t="e">
        <f>+'Proyectos Base digitable'!#REF!</f>
        <v>#REF!</v>
      </c>
      <c r="J250" s="56" t="e">
        <f>+'Proyectos Base digitable'!#REF!</f>
        <v>#REF!</v>
      </c>
      <c r="K250" s="56" t="e">
        <f>+'Proyectos Base digitable'!#REF!</f>
        <v>#REF!</v>
      </c>
      <c r="L250" s="56" t="e">
        <f>+'Proyectos Base digitable'!#REF!</f>
        <v>#REF!</v>
      </c>
      <c r="M250" s="56" t="e">
        <f>+'Proyectos Base digitable'!#REF!</f>
        <v>#REF!</v>
      </c>
      <c r="N250" s="52" t="e">
        <f>+'Proyectos Base digitable'!#REF!</f>
        <v>#REF!</v>
      </c>
      <c r="O250" s="52" t="e">
        <f>+'Proyectos Base digitable'!#REF!</f>
        <v>#REF!</v>
      </c>
      <c r="P250" s="185" t="e">
        <f>+'Proyectos Base digitable'!#REF!</f>
        <v>#REF!</v>
      </c>
      <c r="Q250" s="58" t="e">
        <f>+'Proyectos Base digitable'!#REF!</f>
        <v>#REF!</v>
      </c>
      <c r="R250" s="58" t="e">
        <f>+'Proyectos Base digitable'!#REF!</f>
        <v>#REF!</v>
      </c>
      <c r="S250" s="58" t="e">
        <f>+'Proyectos Base digitable'!#REF!</f>
        <v>#REF!</v>
      </c>
      <c r="T250" s="58" t="e">
        <f>+'Proyectos Base digitable'!#REF!</f>
        <v>#REF!</v>
      </c>
      <c r="U250" s="63" t="e">
        <f>'Proyectos Base digitable'!#REF!</f>
        <v>#REF!</v>
      </c>
      <c r="V250" s="63" t="e">
        <f>'Proyectos Base digitable'!#REF!</f>
        <v>#REF!</v>
      </c>
      <c r="W250" s="63" t="e">
        <f>'Proyectos Base digitable'!#REF!</f>
        <v>#REF!</v>
      </c>
      <c r="X250" s="63" t="e">
        <f>'Proyectos Base digitable'!#REF!</f>
        <v>#REF!</v>
      </c>
      <c r="Y250" s="63" t="e">
        <f>'Proyectos Base digitable'!#REF!</f>
        <v>#REF!</v>
      </c>
      <c r="Z250" s="58" t="e">
        <f>+'Proyectos Base digitable'!#REF!</f>
        <v>#REF!</v>
      </c>
      <c r="AA250" s="58" t="e">
        <f>+'Proyectos Base digitable'!#REF!</f>
        <v>#REF!</v>
      </c>
      <c r="AB250" s="63" t="e">
        <f>'Proyectos Base digitable'!#REF!</f>
        <v>#REF!</v>
      </c>
      <c r="AC250" s="56" t="e">
        <f>+'Proyectos Base digitable'!#REF!</f>
        <v>#REF!</v>
      </c>
      <c r="AD250" s="52" t="e">
        <f>+'Proyectos Base digitable'!#REF!</f>
        <v>#REF!</v>
      </c>
      <c r="AE250" s="52" t="e">
        <f>+'Proyectos Base digitable'!#REF!</f>
        <v>#REF!</v>
      </c>
      <c r="AF250" s="52" t="e">
        <f>+'Proyectos Base digitable'!#REF!</f>
        <v>#REF!</v>
      </c>
      <c r="AG250" s="56" t="e">
        <f>+'Proyectos Base digitable'!#REF!</f>
        <v>#REF!</v>
      </c>
      <c r="AH250" s="52" t="e">
        <f>+'Proyectos Base digitable'!#REF!</f>
        <v>#REF!</v>
      </c>
      <c r="AI250" s="52" t="e">
        <f>+'Proyectos Base digitable'!#REF!</f>
        <v>#REF!</v>
      </c>
      <c r="AJ250" s="59" t="e">
        <f>+'Proyectos Base digitable'!#REF!</f>
        <v>#REF!</v>
      </c>
      <c r="AK250" s="186" t="e">
        <f>+'Proyectos Base digitable'!#REF!</f>
        <v>#REF!</v>
      </c>
      <c r="AL250" s="186" t="e">
        <f>+'Proyectos Base digitable'!#REF!</f>
        <v>#REF!</v>
      </c>
      <c r="AM250" s="186" t="e">
        <f>+'Proyectos Base digitable'!#REF!</f>
        <v>#REF!</v>
      </c>
      <c r="AN250" s="186" t="e">
        <f>+'Proyectos Base digitable'!#REF!</f>
        <v>#REF!</v>
      </c>
      <c r="AO250" s="186" t="e">
        <f>+'Proyectos Base digitable'!#REF!</f>
        <v>#REF!</v>
      </c>
      <c r="AP250" s="186" t="e">
        <f>+'Proyectos Base digitable'!#REF!</f>
        <v>#REF!</v>
      </c>
      <c r="AQ250" s="186" t="e">
        <f>+'Proyectos Base digitable'!#REF!</f>
        <v>#REF!</v>
      </c>
      <c r="AR250" s="186" t="e">
        <f>+'Proyectos Base digitable'!#REF!</f>
        <v>#REF!</v>
      </c>
      <c r="AS250" s="186" t="e">
        <f>+'Proyectos Base digitable'!#REF!</f>
        <v>#REF!</v>
      </c>
      <c r="AT250" s="187" t="e">
        <f>+'Proyectos Base digitable'!#REF!</f>
        <v>#REF!</v>
      </c>
      <c r="AU250" s="56" t="e">
        <f>+'Proyectos Base digitable'!#REF!</f>
        <v>#REF!</v>
      </c>
      <c r="AV250" s="56" t="e">
        <f>+'Proyectos Base digitable'!#REF!</f>
        <v>#REF!</v>
      </c>
      <c r="AW250" s="56" t="e">
        <f>+'Proyectos Base digitable'!#REF!</f>
        <v>#REF!</v>
      </c>
      <c r="AX250" s="56" t="e">
        <f>+'Proyectos Base digitable'!#REF!</f>
        <v>#REF!</v>
      </c>
      <c r="AY250" s="56" t="e">
        <f>+'Proyectos Base digitable'!#REF!</f>
        <v>#REF!</v>
      </c>
      <c r="AZ250" s="188" t="e">
        <f>+'Proyectos Base digitable'!#REF!</f>
        <v>#REF!</v>
      </c>
      <c r="BA250" s="188" t="e">
        <f>+'Proyectos Base digitable'!#REF!</f>
        <v>#REF!</v>
      </c>
    </row>
    <row r="251" spans="1:53" ht="13.5" customHeight="1">
      <c r="A251" s="60" t="e">
        <f>+'Proyectos Base digitable'!#REF!</f>
        <v>#REF!</v>
      </c>
      <c r="B251" s="56" t="e">
        <f>+'Proyectos Base digitable'!#REF!</f>
        <v>#REF!</v>
      </c>
      <c r="C251" s="56" t="e">
        <f>+'Proyectos Base digitable'!#REF!</f>
        <v>#REF!</v>
      </c>
      <c r="D251" s="56" t="e">
        <f>+'Proyectos Base digitable'!#REF!</f>
        <v>#REF!</v>
      </c>
      <c r="E251" s="56" t="e">
        <f>+'Proyectos Base digitable'!#REF!</f>
        <v>#REF!</v>
      </c>
      <c r="F251" s="56" t="e">
        <f>+'Proyectos Base digitable'!#REF!</f>
        <v>#REF!</v>
      </c>
      <c r="G251" s="57" t="e">
        <f>+'Proyectos Base digitable'!#REF!</f>
        <v>#REF!</v>
      </c>
      <c r="H251" s="56" t="e">
        <f>+'Proyectos Base digitable'!#REF!</f>
        <v>#REF!</v>
      </c>
      <c r="I251" s="56" t="e">
        <f>+'Proyectos Base digitable'!#REF!</f>
        <v>#REF!</v>
      </c>
      <c r="J251" s="56" t="e">
        <f>+'Proyectos Base digitable'!#REF!</f>
        <v>#REF!</v>
      </c>
      <c r="K251" s="56" t="e">
        <f>+'Proyectos Base digitable'!#REF!</f>
        <v>#REF!</v>
      </c>
      <c r="L251" s="56" t="e">
        <f>+'Proyectos Base digitable'!#REF!</f>
        <v>#REF!</v>
      </c>
      <c r="M251" s="56" t="e">
        <f>+'Proyectos Base digitable'!#REF!</f>
        <v>#REF!</v>
      </c>
      <c r="N251" s="52" t="e">
        <f>+'Proyectos Base digitable'!#REF!</f>
        <v>#REF!</v>
      </c>
      <c r="O251" s="52" t="e">
        <f>+'Proyectos Base digitable'!#REF!</f>
        <v>#REF!</v>
      </c>
      <c r="P251" s="185" t="e">
        <f>+'Proyectos Base digitable'!#REF!</f>
        <v>#REF!</v>
      </c>
      <c r="Q251" s="58" t="e">
        <f>+'Proyectos Base digitable'!#REF!</f>
        <v>#REF!</v>
      </c>
      <c r="R251" s="58" t="e">
        <f>+'Proyectos Base digitable'!#REF!</f>
        <v>#REF!</v>
      </c>
      <c r="S251" s="58" t="e">
        <f>+'Proyectos Base digitable'!#REF!</f>
        <v>#REF!</v>
      </c>
      <c r="T251" s="58" t="e">
        <f>+'Proyectos Base digitable'!#REF!</f>
        <v>#REF!</v>
      </c>
      <c r="U251" s="63" t="e">
        <f>'Proyectos Base digitable'!#REF!</f>
        <v>#REF!</v>
      </c>
      <c r="V251" s="63" t="e">
        <f>'Proyectos Base digitable'!#REF!</f>
        <v>#REF!</v>
      </c>
      <c r="W251" s="63" t="e">
        <f>'Proyectos Base digitable'!#REF!</f>
        <v>#REF!</v>
      </c>
      <c r="X251" s="63" t="e">
        <f>'Proyectos Base digitable'!#REF!</f>
        <v>#REF!</v>
      </c>
      <c r="Y251" s="63" t="e">
        <f>'Proyectos Base digitable'!#REF!</f>
        <v>#REF!</v>
      </c>
      <c r="Z251" s="58" t="e">
        <f>+'Proyectos Base digitable'!#REF!</f>
        <v>#REF!</v>
      </c>
      <c r="AA251" s="58" t="e">
        <f>+'Proyectos Base digitable'!#REF!</f>
        <v>#REF!</v>
      </c>
      <c r="AB251" s="63" t="e">
        <f>'Proyectos Base digitable'!#REF!</f>
        <v>#REF!</v>
      </c>
      <c r="AC251" s="56" t="e">
        <f>+'Proyectos Base digitable'!#REF!</f>
        <v>#REF!</v>
      </c>
      <c r="AD251" s="52" t="e">
        <f>+'Proyectos Base digitable'!#REF!</f>
        <v>#REF!</v>
      </c>
      <c r="AE251" s="52" t="e">
        <f>+'Proyectos Base digitable'!#REF!</f>
        <v>#REF!</v>
      </c>
      <c r="AF251" s="52" t="e">
        <f>+'Proyectos Base digitable'!#REF!</f>
        <v>#REF!</v>
      </c>
      <c r="AG251" s="56" t="e">
        <f>+'Proyectos Base digitable'!#REF!</f>
        <v>#REF!</v>
      </c>
      <c r="AH251" s="52" t="e">
        <f>+'Proyectos Base digitable'!#REF!</f>
        <v>#REF!</v>
      </c>
      <c r="AI251" s="52" t="e">
        <f>+'Proyectos Base digitable'!#REF!</f>
        <v>#REF!</v>
      </c>
      <c r="AJ251" s="59" t="e">
        <f>+'Proyectos Base digitable'!#REF!</f>
        <v>#REF!</v>
      </c>
      <c r="AK251" s="186" t="e">
        <f>+'Proyectos Base digitable'!#REF!</f>
        <v>#REF!</v>
      </c>
      <c r="AL251" s="186" t="e">
        <f>+'Proyectos Base digitable'!#REF!</f>
        <v>#REF!</v>
      </c>
      <c r="AM251" s="186" t="e">
        <f>+'Proyectos Base digitable'!#REF!</f>
        <v>#REF!</v>
      </c>
      <c r="AN251" s="186" t="e">
        <f>+'Proyectos Base digitable'!#REF!</f>
        <v>#REF!</v>
      </c>
      <c r="AO251" s="186" t="e">
        <f>+'Proyectos Base digitable'!#REF!</f>
        <v>#REF!</v>
      </c>
      <c r="AP251" s="186" t="e">
        <f>+'Proyectos Base digitable'!#REF!</f>
        <v>#REF!</v>
      </c>
      <c r="AQ251" s="186" t="e">
        <f>+'Proyectos Base digitable'!#REF!</f>
        <v>#REF!</v>
      </c>
      <c r="AR251" s="186" t="e">
        <f>+'Proyectos Base digitable'!#REF!</f>
        <v>#REF!</v>
      </c>
      <c r="AS251" s="186" t="e">
        <f>+'Proyectos Base digitable'!#REF!</f>
        <v>#REF!</v>
      </c>
      <c r="AT251" s="187" t="e">
        <f>+'Proyectos Base digitable'!#REF!</f>
        <v>#REF!</v>
      </c>
      <c r="AU251" s="56" t="e">
        <f>+'Proyectos Base digitable'!#REF!</f>
        <v>#REF!</v>
      </c>
      <c r="AV251" s="56" t="e">
        <f>+'Proyectos Base digitable'!#REF!</f>
        <v>#REF!</v>
      </c>
      <c r="AW251" s="56" t="e">
        <f>+'Proyectos Base digitable'!#REF!</f>
        <v>#REF!</v>
      </c>
      <c r="AX251" s="56" t="e">
        <f>+'Proyectos Base digitable'!#REF!</f>
        <v>#REF!</v>
      </c>
      <c r="AY251" s="56" t="e">
        <f>+'Proyectos Base digitable'!#REF!</f>
        <v>#REF!</v>
      </c>
      <c r="AZ251" s="188" t="e">
        <f>+'Proyectos Base digitable'!#REF!</f>
        <v>#REF!</v>
      </c>
      <c r="BA251" s="188" t="e">
        <f>+'Proyectos Base digitable'!#REF!</f>
        <v>#REF!</v>
      </c>
    </row>
    <row r="252" spans="1:53" ht="13.5" customHeight="1">
      <c r="A252" s="60" t="e">
        <f>+'Proyectos Base digitable'!#REF!</f>
        <v>#REF!</v>
      </c>
      <c r="B252" s="56" t="e">
        <f>+'Proyectos Base digitable'!#REF!</f>
        <v>#REF!</v>
      </c>
      <c r="C252" s="56" t="e">
        <f>+'Proyectos Base digitable'!#REF!</f>
        <v>#REF!</v>
      </c>
      <c r="D252" s="56" t="e">
        <f>+'Proyectos Base digitable'!#REF!</f>
        <v>#REF!</v>
      </c>
      <c r="E252" s="56" t="e">
        <f>+'Proyectos Base digitable'!#REF!</f>
        <v>#REF!</v>
      </c>
      <c r="F252" s="56" t="e">
        <f>+'Proyectos Base digitable'!#REF!</f>
        <v>#REF!</v>
      </c>
      <c r="G252" s="57" t="e">
        <f>+'Proyectos Base digitable'!#REF!</f>
        <v>#REF!</v>
      </c>
      <c r="H252" s="56" t="e">
        <f>+'Proyectos Base digitable'!#REF!</f>
        <v>#REF!</v>
      </c>
      <c r="I252" s="56" t="e">
        <f>+'Proyectos Base digitable'!#REF!</f>
        <v>#REF!</v>
      </c>
      <c r="J252" s="56" t="e">
        <f>+'Proyectos Base digitable'!#REF!</f>
        <v>#REF!</v>
      </c>
      <c r="K252" s="56" t="e">
        <f>+'Proyectos Base digitable'!#REF!</f>
        <v>#REF!</v>
      </c>
      <c r="L252" s="56" t="e">
        <f>+'Proyectos Base digitable'!#REF!</f>
        <v>#REF!</v>
      </c>
      <c r="M252" s="56" t="e">
        <f>+'Proyectos Base digitable'!#REF!</f>
        <v>#REF!</v>
      </c>
      <c r="N252" s="52" t="e">
        <f>+'Proyectos Base digitable'!#REF!</f>
        <v>#REF!</v>
      </c>
      <c r="O252" s="52" t="e">
        <f>+'Proyectos Base digitable'!#REF!</f>
        <v>#REF!</v>
      </c>
      <c r="P252" s="185" t="e">
        <f>+'Proyectos Base digitable'!#REF!</f>
        <v>#REF!</v>
      </c>
      <c r="Q252" s="58" t="e">
        <f>+'Proyectos Base digitable'!#REF!</f>
        <v>#REF!</v>
      </c>
      <c r="R252" s="58" t="e">
        <f>+'Proyectos Base digitable'!#REF!</f>
        <v>#REF!</v>
      </c>
      <c r="S252" s="58" t="e">
        <f>+'Proyectos Base digitable'!#REF!</f>
        <v>#REF!</v>
      </c>
      <c r="T252" s="58" t="e">
        <f>+'Proyectos Base digitable'!#REF!</f>
        <v>#REF!</v>
      </c>
      <c r="U252" s="63" t="e">
        <f>'Proyectos Base digitable'!#REF!</f>
        <v>#REF!</v>
      </c>
      <c r="V252" s="63" t="e">
        <f>'Proyectos Base digitable'!#REF!</f>
        <v>#REF!</v>
      </c>
      <c r="W252" s="63" t="e">
        <f>'Proyectos Base digitable'!#REF!</f>
        <v>#REF!</v>
      </c>
      <c r="X252" s="63" t="e">
        <f>'Proyectos Base digitable'!#REF!</f>
        <v>#REF!</v>
      </c>
      <c r="Y252" s="63" t="e">
        <f>'Proyectos Base digitable'!#REF!</f>
        <v>#REF!</v>
      </c>
      <c r="Z252" s="58" t="e">
        <f>+'Proyectos Base digitable'!#REF!</f>
        <v>#REF!</v>
      </c>
      <c r="AA252" s="58" t="e">
        <f>+'Proyectos Base digitable'!#REF!</f>
        <v>#REF!</v>
      </c>
      <c r="AB252" s="63" t="e">
        <f>'Proyectos Base digitable'!#REF!</f>
        <v>#REF!</v>
      </c>
      <c r="AC252" s="56" t="e">
        <f>+'Proyectos Base digitable'!#REF!</f>
        <v>#REF!</v>
      </c>
      <c r="AD252" s="52" t="e">
        <f>+'Proyectos Base digitable'!#REF!</f>
        <v>#REF!</v>
      </c>
      <c r="AE252" s="52" t="e">
        <f>+'Proyectos Base digitable'!#REF!</f>
        <v>#REF!</v>
      </c>
      <c r="AF252" s="52" t="e">
        <f>+'Proyectos Base digitable'!#REF!</f>
        <v>#REF!</v>
      </c>
      <c r="AG252" s="56" t="e">
        <f>+'Proyectos Base digitable'!#REF!</f>
        <v>#REF!</v>
      </c>
      <c r="AH252" s="52" t="e">
        <f>+'Proyectos Base digitable'!#REF!</f>
        <v>#REF!</v>
      </c>
      <c r="AI252" s="52" t="e">
        <f>+'Proyectos Base digitable'!#REF!</f>
        <v>#REF!</v>
      </c>
      <c r="AJ252" s="59" t="e">
        <f>+'Proyectos Base digitable'!#REF!</f>
        <v>#REF!</v>
      </c>
      <c r="AK252" s="186" t="e">
        <f>+'Proyectos Base digitable'!#REF!</f>
        <v>#REF!</v>
      </c>
      <c r="AL252" s="186" t="e">
        <f>+'Proyectos Base digitable'!#REF!</f>
        <v>#REF!</v>
      </c>
      <c r="AM252" s="186" t="e">
        <f>+'Proyectos Base digitable'!#REF!</f>
        <v>#REF!</v>
      </c>
      <c r="AN252" s="186" t="e">
        <f>+'Proyectos Base digitable'!#REF!</f>
        <v>#REF!</v>
      </c>
      <c r="AO252" s="186" t="e">
        <f>+'Proyectos Base digitable'!#REF!</f>
        <v>#REF!</v>
      </c>
      <c r="AP252" s="186" t="e">
        <f>+'Proyectos Base digitable'!#REF!</f>
        <v>#REF!</v>
      </c>
      <c r="AQ252" s="186" t="e">
        <f>+'Proyectos Base digitable'!#REF!</f>
        <v>#REF!</v>
      </c>
      <c r="AR252" s="186" t="e">
        <f>+'Proyectos Base digitable'!#REF!</f>
        <v>#REF!</v>
      </c>
      <c r="AS252" s="186" t="e">
        <f>+'Proyectos Base digitable'!#REF!</f>
        <v>#REF!</v>
      </c>
      <c r="AT252" s="187" t="e">
        <f>+'Proyectos Base digitable'!#REF!</f>
        <v>#REF!</v>
      </c>
      <c r="AU252" s="56" t="e">
        <f>+'Proyectos Base digitable'!#REF!</f>
        <v>#REF!</v>
      </c>
      <c r="AV252" s="56" t="e">
        <f>+'Proyectos Base digitable'!#REF!</f>
        <v>#REF!</v>
      </c>
      <c r="AW252" s="56" t="e">
        <f>+'Proyectos Base digitable'!#REF!</f>
        <v>#REF!</v>
      </c>
      <c r="AX252" s="56" t="e">
        <f>+'Proyectos Base digitable'!#REF!</f>
        <v>#REF!</v>
      </c>
      <c r="AY252" s="56" t="e">
        <f>+'Proyectos Base digitable'!#REF!</f>
        <v>#REF!</v>
      </c>
      <c r="AZ252" s="188" t="e">
        <f>+'Proyectos Base digitable'!#REF!</f>
        <v>#REF!</v>
      </c>
      <c r="BA252" s="188" t="e">
        <f>+'Proyectos Base digitable'!#REF!</f>
        <v>#REF!</v>
      </c>
    </row>
    <row r="253" spans="1:53" ht="13.5" customHeight="1">
      <c r="A253" s="60" t="e">
        <f>+'Proyectos Base digitable'!#REF!</f>
        <v>#REF!</v>
      </c>
      <c r="B253" s="56" t="e">
        <f>+'Proyectos Base digitable'!#REF!</f>
        <v>#REF!</v>
      </c>
      <c r="C253" s="56" t="e">
        <f>+'Proyectos Base digitable'!#REF!</f>
        <v>#REF!</v>
      </c>
      <c r="D253" s="56" t="e">
        <f>+'Proyectos Base digitable'!#REF!</f>
        <v>#REF!</v>
      </c>
      <c r="E253" s="56" t="e">
        <f>+'Proyectos Base digitable'!#REF!</f>
        <v>#REF!</v>
      </c>
      <c r="F253" s="56" t="e">
        <f>+'Proyectos Base digitable'!#REF!</f>
        <v>#REF!</v>
      </c>
      <c r="G253" s="57" t="e">
        <f>+'Proyectos Base digitable'!#REF!</f>
        <v>#REF!</v>
      </c>
      <c r="H253" s="56" t="e">
        <f>+'Proyectos Base digitable'!#REF!</f>
        <v>#REF!</v>
      </c>
      <c r="I253" s="56" t="e">
        <f>+'Proyectos Base digitable'!#REF!</f>
        <v>#REF!</v>
      </c>
      <c r="J253" s="56" t="e">
        <f>+'Proyectos Base digitable'!#REF!</f>
        <v>#REF!</v>
      </c>
      <c r="K253" s="56" t="e">
        <f>+'Proyectos Base digitable'!#REF!</f>
        <v>#REF!</v>
      </c>
      <c r="L253" s="56" t="e">
        <f>+'Proyectos Base digitable'!#REF!</f>
        <v>#REF!</v>
      </c>
      <c r="M253" s="56" t="e">
        <f>+'Proyectos Base digitable'!#REF!</f>
        <v>#REF!</v>
      </c>
      <c r="N253" s="52" t="e">
        <f>+'Proyectos Base digitable'!#REF!</f>
        <v>#REF!</v>
      </c>
      <c r="O253" s="52" t="e">
        <f>+'Proyectos Base digitable'!#REF!</f>
        <v>#REF!</v>
      </c>
      <c r="P253" s="185" t="e">
        <f>+'Proyectos Base digitable'!#REF!</f>
        <v>#REF!</v>
      </c>
      <c r="Q253" s="58" t="e">
        <f>+'Proyectos Base digitable'!#REF!</f>
        <v>#REF!</v>
      </c>
      <c r="R253" s="58" t="e">
        <f>+'Proyectos Base digitable'!#REF!</f>
        <v>#REF!</v>
      </c>
      <c r="S253" s="58" t="e">
        <f>+'Proyectos Base digitable'!#REF!</f>
        <v>#REF!</v>
      </c>
      <c r="T253" s="58" t="e">
        <f>+'Proyectos Base digitable'!#REF!</f>
        <v>#REF!</v>
      </c>
      <c r="U253" s="63" t="e">
        <f>'Proyectos Base digitable'!#REF!</f>
        <v>#REF!</v>
      </c>
      <c r="V253" s="63" t="e">
        <f>'Proyectos Base digitable'!#REF!</f>
        <v>#REF!</v>
      </c>
      <c r="W253" s="63" t="e">
        <f>'Proyectos Base digitable'!#REF!</f>
        <v>#REF!</v>
      </c>
      <c r="X253" s="63" t="e">
        <f>'Proyectos Base digitable'!#REF!</f>
        <v>#REF!</v>
      </c>
      <c r="Y253" s="63" t="e">
        <f>'Proyectos Base digitable'!#REF!</f>
        <v>#REF!</v>
      </c>
      <c r="Z253" s="58" t="e">
        <f>+'Proyectos Base digitable'!#REF!</f>
        <v>#REF!</v>
      </c>
      <c r="AA253" s="58" t="e">
        <f>+'Proyectos Base digitable'!#REF!</f>
        <v>#REF!</v>
      </c>
      <c r="AB253" s="63" t="e">
        <f>'Proyectos Base digitable'!#REF!</f>
        <v>#REF!</v>
      </c>
      <c r="AC253" s="56" t="e">
        <f>+'Proyectos Base digitable'!#REF!</f>
        <v>#REF!</v>
      </c>
      <c r="AD253" s="52" t="e">
        <f>+'Proyectos Base digitable'!#REF!</f>
        <v>#REF!</v>
      </c>
      <c r="AE253" s="52" t="e">
        <f>+'Proyectos Base digitable'!#REF!</f>
        <v>#REF!</v>
      </c>
      <c r="AF253" s="52" t="e">
        <f>+'Proyectos Base digitable'!#REF!</f>
        <v>#REF!</v>
      </c>
      <c r="AG253" s="56" t="e">
        <f>+'Proyectos Base digitable'!#REF!</f>
        <v>#REF!</v>
      </c>
      <c r="AH253" s="52" t="e">
        <f>+'Proyectos Base digitable'!#REF!</f>
        <v>#REF!</v>
      </c>
      <c r="AI253" s="52" t="e">
        <f>+'Proyectos Base digitable'!#REF!</f>
        <v>#REF!</v>
      </c>
      <c r="AJ253" s="59" t="e">
        <f>+'Proyectos Base digitable'!#REF!</f>
        <v>#REF!</v>
      </c>
      <c r="AK253" s="186" t="e">
        <f>+'Proyectos Base digitable'!#REF!</f>
        <v>#REF!</v>
      </c>
      <c r="AL253" s="186" t="e">
        <f>+'Proyectos Base digitable'!#REF!</f>
        <v>#REF!</v>
      </c>
      <c r="AM253" s="186" t="e">
        <f>+'Proyectos Base digitable'!#REF!</f>
        <v>#REF!</v>
      </c>
      <c r="AN253" s="186" t="e">
        <f>+'Proyectos Base digitable'!#REF!</f>
        <v>#REF!</v>
      </c>
      <c r="AO253" s="186" t="e">
        <f>+'Proyectos Base digitable'!#REF!</f>
        <v>#REF!</v>
      </c>
      <c r="AP253" s="186" t="e">
        <f>+'Proyectos Base digitable'!#REF!</f>
        <v>#REF!</v>
      </c>
      <c r="AQ253" s="186" t="e">
        <f>+'Proyectos Base digitable'!#REF!</f>
        <v>#REF!</v>
      </c>
      <c r="AR253" s="186" t="e">
        <f>+'Proyectos Base digitable'!#REF!</f>
        <v>#REF!</v>
      </c>
      <c r="AS253" s="186" t="e">
        <f>+'Proyectos Base digitable'!#REF!</f>
        <v>#REF!</v>
      </c>
      <c r="AT253" s="187" t="e">
        <f>+'Proyectos Base digitable'!#REF!</f>
        <v>#REF!</v>
      </c>
      <c r="AU253" s="56" t="e">
        <f>+'Proyectos Base digitable'!#REF!</f>
        <v>#REF!</v>
      </c>
      <c r="AV253" s="56" t="e">
        <f>+'Proyectos Base digitable'!#REF!</f>
        <v>#REF!</v>
      </c>
      <c r="AW253" s="56" t="e">
        <f>+'Proyectos Base digitable'!#REF!</f>
        <v>#REF!</v>
      </c>
      <c r="AX253" s="56" t="e">
        <f>+'Proyectos Base digitable'!#REF!</f>
        <v>#REF!</v>
      </c>
      <c r="AY253" s="56" t="e">
        <f>+'Proyectos Base digitable'!#REF!</f>
        <v>#REF!</v>
      </c>
      <c r="AZ253" s="188" t="e">
        <f>+'Proyectos Base digitable'!#REF!</f>
        <v>#REF!</v>
      </c>
      <c r="BA253" s="188" t="e">
        <f>+'Proyectos Base digitable'!#REF!</f>
        <v>#REF!</v>
      </c>
    </row>
    <row r="254" spans="1:53" ht="13.5" customHeight="1">
      <c r="A254" s="60" t="e">
        <f>+'Proyectos Base digitable'!#REF!</f>
        <v>#REF!</v>
      </c>
      <c r="B254" s="56" t="e">
        <f>+'Proyectos Base digitable'!#REF!</f>
        <v>#REF!</v>
      </c>
      <c r="C254" s="56" t="e">
        <f>+'Proyectos Base digitable'!#REF!</f>
        <v>#REF!</v>
      </c>
      <c r="D254" s="56" t="e">
        <f>+'Proyectos Base digitable'!#REF!</f>
        <v>#REF!</v>
      </c>
      <c r="E254" s="56" t="e">
        <f>+'Proyectos Base digitable'!#REF!</f>
        <v>#REF!</v>
      </c>
      <c r="F254" s="56" t="e">
        <f>+'Proyectos Base digitable'!#REF!</f>
        <v>#REF!</v>
      </c>
      <c r="G254" s="57" t="e">
        <f>+'Proyectos Base digitable'!#REF!</f>
        <v>#REF!</v>
      </c>
      <c r="H254" s="56" t="e">
        <f>+'Proyectos Base digitable'!#REF!</f>
        <v>#REF!</v>
      </c>
      <c r="I254" s="56" t="e">
        <f>+'Proyectos Base digitable'!#REF!</f>
        <v>#REF!</v>
      </c>
      <c r="J254" s="56" t="e">
        <f>+'Proyectos Base digitable'!#REF!</f>
        <v>#REF!</v>
      </c>
      <c r="K254" s="56" t="e">
        <f>+'Proyectos Base digitable'!#REF!</f>
        <v>#REF!</v>
      </c>
      <c r="L254" s="56" t="e">
        <f>+'Proyectos Base digitable'!#REF!</f>
        <v>#REF!</v>
      </c>
      <c r="M254" s="56" t="e">
        <f>+'Proyectos Base digitable'!#REF!</f>
        <v>#REF!</v>
      </c>
      <c r="N254" s="52" t="e">
        <f>+'Proyectos Base digitable'!#REF!</f>
        <v>#REF!</v>
      </c>
      <c r="O254" s="52" t="e">
        <f>+'Proyectos Base digitable'!#REF!</f>
        <v>#REF!</v>
      </c>
      <c r="P254" s="185" t="e">
        <f>+'Proyectos Base digitable'!#REF!</f>
        <v>#REF!</v>
      </c>
      <c r="Q254" s="58" t="e">
        <f>+'Proyectos Base digitable'!#REF!</f>
        <v>#REF!</v>
      </c>
      <c r="R254" s="58" t="e">
        <f>+'Proyectos Base digitable'!#REF!</f>
        <v>#REF!</v>
      </c>
      <c r="S254" s="58" t="e">
        <f>+'Proyectos Base digitable'!#REF!</f>
        <v>#REF!</v>
      </c>
      <c r="T254" s="58" t="e">
        <f>+'Proyectos Base digitable'!#REF!</f>
        <v>#REF!</v>
      </c>
      <c r="U254" s="63" t="e">
        <f>'Proyectos Base digitable'!#REF!</f>
        <v>#REF!</v>
      </c>
      <c r="V254" s="63" t="e">
        <f>'Proyectos Base digitable'!#REF!</f>
        <v>#REF!</v>
      </c>
      <c r="W254" s="63" t="e">
        <f>'Proyectos Base digitable'!#REF!</f>
        <v>#REF!</v>
      </c>
      <c r="X254" s="63" t="e">
        <f>'Proyectos Base digitable'!#REF!</f>
        <v>#REF!</v>
      </c>
      <c r="Y254" s="63" t="e">
        <f>'Proyectos Base digitable'!#REF!</f>
        <v>#REF!</v>
      </c>
      <c r="Z254" s="58" t="e">
        <f>+'Proyectos Base digitable'!#REF!</f>
        <v>#REF!</v>
      </c>
      <c r="AA254" s="58" t="e">
        <f>+'Proyectos Base digitable'!#REF!</f>
        <v>#REF!</v>
      </c>
      <c r="AB254" s="63" t="e">
        <f>'Proyectos Base digitable'!#REF!</f>
        <v>#REF!</v>
      </c>
      <c r="AC254" s="56" t="e">
        <f>+'Proyectos Base digitable'!#REF!</f>
        <v>#REF!</v>
      </c>
      <c r="AD254" s="52" t="e">
        <f>+'Proyectos Base digitable'!#REF!</f>
        <v>#REF!</v>
      </c>
      <c r="AE254" s="52" t="e">
        <f>+'Proyectos Base digitable'!#REF!</f>
        <v>#REF!</v>
      </c>
      <c r="AF254" s="52" t="e">
        <f>+'Proyectos Base digitable'!#REF!</f>
        <v>#REF!</v>
      </c>
      <c r="AG254" s="56" t="e">
        <f>+'Proyectos Base digitable'!#REF!</f>
        <v>#REF!</v>
      </c>
      <c r="AH254" s="52" t="e">
        <f>+'Proyectos Base digitable'!#REF!</f>
        <v>#REF!</v>
      </c>
      <c r="AI254" s="52" t="e">
        <f>+'Proyectos Base digitable'!#REF!</f>
        <v>#REF!</v>
      </c>
      <c r="AJ254" s="59" t="e">
        <f>+'Proyectos Base digitable'!#REF!</f>
        <v>#REF!</v>
      </c>
      <c r="AK254" s="186" t="e">
        <f>+'Proyectos Base digitable'!#REF!</f>
        <v>#REF!</v>
      </c>
      <c r="AL254" s="186" t="e">
        <f>+'Proyectos Base digitable'!#REF!</f>
        <v>#REF!</v>
      </c>
      <c r="AM254" s="186" t="e">
        <f>+'Proyectos Base digitable'!#REF!</f>
        <v>#REF!</v>
      </c>
      <c r="AN254" s="186" t="e">
        <f>+'Proyectos Base digitable'!#REF!</f>
        <v>#REF!</v>
      </c>
      <c r="AO254" s="186" t="e">
        <f>+'Proyectos Base digitable'!#REF!</f>
        <v>#REF!</v>
      </c>
      <c r="AP254" s="186" t="e">
        <f>+'Proyectos Base digitable'!#REF!</f>
        <v>#REF!</v>
      </c>
      <c r="AQ254" s="186" t="e">
        <f>+'Proyectos Base digitable'!#REF!</f>
        <v>#REF!</v>
      </c>
      <c r="AR254" s="186" t="e">
        <f>+'Proyectos Base digitable'!#REF!</f>
        <v>#REF!</v>
      </c>
      <c r="AS254" s="186" t="e">
        <f>+'Proyectos Base digitable'!#REF!</f>
        <v>#REF!</v>
      </c>
      <c r="AT254" s="187" t="e">
        <f>+'Proyectos Base digitable'!#REF!</f>
        <v>#REF!</v>
      </c>
      <c r="AU254" s="56" t="e">
        <f>+'Proyectos Base digitable'!#REF!</f>
        <v>#REF!</v>
      </c>
      <c r="AV254" s="56" t="e">
        <f>+'Proyectos Base digitable'!#REF!</f>
        <v>#REF!</v>
      </c>
      <c r="AW254" s="56" t="e">
        <f>+'Proyectos Base digitable'!#REF!</f>
        <v>#REF!</v>
      </c>
      <c r="AX254" s="56" t="e">
        <f>+'Proyectos Base digitable'!#REF!</f>
        <v>#REF!</v>
      </c>
      <c r="AY254" s="56" t="e">
        <f>+'Proyectos Base digitable'!#REF!</f>
        <v>#REF!</v>
      </c>
      <c r="AZ254" s="188" t="e">
        <f>+'Proyectos Base digitable'!#REF!</f>
        <v>#REF!</v>
      </c>
      <c r="BA254" s="188" t="e">
        <f>+'Proyectos Base digitable'!#REF!</f>
        <v>#REF!</v>
      </c>
    </row>
    <row r="255" spans="1:53" ht="13.5" customHeight="1">
      <c r="A255" s="60" t="e">
        <f>+'Proyectos Base digitable'!#REF!</f>
        <v>#REF!</v>
      </c>
      <c r="B255" s="56" t="e">
        <f>+'Proyectos Base digitable'!#REF!</f>
        <v>#REF!</v>
      </c>
      <c r="C255" s="56" t="e">
        <f>+'Proyectos Base digitable'!#REF!</f>
        <v>#REF!</v>
      </c>
      <c r="D255" s="56" t="e">
        <f>+'Proyectos Base digitable'!#REF!</f>
        <v>#REF!</v>
      </c>
      <c r="E255" s="56" t="e">
        <f>+'Proyectos Base digitable'!#REF!</f>
        <v>#REF!</v>
      </c>
      <c r="F255" s="56" t="e">
        <f>+'Proyectos Base digitable'!#REF!</f>
        <v>#REF!</v>
      </c>
      <c r="G255" s="57" t="e">
        <f>+'Proyectos Base digitable'!#REF!</f>
        <v>#REF!</v>
      </c>
      <c r="H255" s="56" t="e">
        <f>+'Proyectos Base digitable'!#REF!</f>
        <v>#REF!</v>
      </c>
      <c r="I255" s="56" t="e">
        <f>+'Proyectos Base digitable'!#REF!</f>
        <v>#REF!</v>
      </c>
      <c r="J255" s="56" t="e">
        <f>+'Proyectos Base digitable'!#REF!</f>
        <v>#REF!</v>
      </c>
      <c r="K255" s="56" t="e">
        <f>+'Proyectos Base digitable'!#REF!</f>
        <v>#REF!</v>
      </c>
      <c r="L255" s="56" t="e">
        <f>+'Proyectos Base digitable'!#REF!</f>
        <v>#REF!</v>
      </c>
      <c r="M255" s="56" t="e">
        <f>+'Proyectos Base digitable'!#REF!</f>
        <v>#REF!</v>
      </c>
      <c r="N255" s="52" t="e">
        <f>+'Proyectos Base digitable'!#REF!</f>
        <v>#REF!</v>
      </c>
      <c r="O255" s="52" t="e">
        <f>+'Proyectos Base digitable'!#REF!</f>
        <v>#REF!</v>
      </c>
      <c r="P255" s="185" t="e">
        <f>+'Proyectos Base digitable'!#REF!</f>
        <v>#REF!</v>
      </c>
      <c r="Q255" s="58" t="e">
        <f>+'Proyectos Base digitable'!#REF!</f>
        <v>#REF!</v>
      </c>
      <c r="R255" s="58" t="e">
        <f>+'Proyectos Base digitable'!#REF!</f>
        <v>#REF!</v>
      </c>
      <c r="S255" s="58" t="e">
        <f>+'Proyectos Base digitable'!#REF!</f>
        <v>#REF!</v>
      </c>
      <c r="T255" s="58" t="e">
        <f>+'Proyectos Base digitable'!#REF!</f>
        <v>#REF!</v>
      </c>
      <c r="U255" s="63" t="e">
        <f>'Proyectos Base digitable'!#REF!</f>
        <v>#REF!</v>
      </c>
      <c r="V255" s="63" t="e">
        <f>'Proyectos Base digitable'!#REF!</f>
        <v>#REF!</v>
      </c>
      <c r="W255" s="63" t="e">
        <f>'Proyectos Base digitable'!#REF!</f>
        <v>#REF!</v>
      </c>
      <c r="X255" s="63" t="e">
        <f>'Proyectos Base digitable'!#REF!</f>
        <v>#REF!</v>
      </c>
      <c r="Y255" s="63" t="e">
        <f>'Proyectos Base digitable'!#REF!</f>
        <v>#REF!</v>
      </c>
      <c r="Z255" s="58" t="e">
        <f>+'Proyectos Base digitable'!#REF!</f>
        <v>#REF!</v>
      </c>
      <c r="AA255" s="58" t="e">
        <f>+'Proyectos Base digitable'!#REF!</f>
        <v>#REF!</v>
      </c>
      <c r="AB255" s="63" t="e">
        <f>'Proyectos Base digitable'!#REF!</f>
        <v>#REF!</v>
      </c>
      <c r="AC255" s="56" t="e">
        <f>+'Proyectos Base digitable'!#REF!</f>
        <v>#REF!</v>
      </c>
      <c r="AD255" s="52" t="e">
        <f>+'Proyectos Base digitable'!#REF!</f>
        <v>#REF!</v>
      </c>
      <c r="AE255" s="52" t="e">
        <f>+'Proyectos Base digitable'!#REF!</f>
        <v>#REF!</v>
      </c>
      <c r="AF255" s="52" t="e">
        <f>+'Proyectos Base digitable'!#REF!</f>
        <v>#REF!</v>
      </c>
      <c r="AG255" s="56" t="e">
        <f>+'Proyectos Base digitable'!#REF!</f>
        <v>#REF!</v>
      </c>
      <c r="AH255" s="52" t="e">
        <f>+'Proyectos Base digitable'!#REF!</f>
        <v>#REF!</v>
      </c>
      <c r="AI255" s="52" t="e">
        <f>+'Proyectos Base digitable'!#REF!</f>
        <v>#REF!</v>
      </c>
      <c r="AJ255" s="59" t="e">
        <f>+'Proyectos Base digitable'!#REF!</f>
        <v>#REF!</v>
      </c>
      <c r="AK255" s="186" t="e">
        <f>+'Proyectos Base digitable'!#REF!</f>
        <v>#REF!</v>
      </c>
      <c r="AL255" s="186" t="e">
        <f>+'Proyectos Base digitable'!#REF!</f>
        <v>#REF!</v>
      </c>
      <c r="AM255" s="186" t="e">
        <f>+'Proyectos Base digitable'!#REF!</f>
        <v>#REF!</v>
      </c>
      <c r="AN255" s="186" t="e">
        <f>+'Proyectos Base digitable'!#REF!</f>
        <v>#REF!</v>
      </c>
      <c r="AO255" s="186" t="e">
        <f>+'Proyectos Base digitable'!#REF!</f>
        <v>#REF!</v>
      </c>
      <c r="AP255" s="186" t="e">
        <f>+'Proyectos Base digitable'!#REF!</f>
        <v>#REF!</v>
      </c>
      <c r="AQ255" s="186" t="e">
        <f>+'Proyectos Base digitable'!#REF!</f>
        <v>#REF!</v>
      </c>
      <c r="AR255" s="186" t="e">
        <f>+'Proyectos Base digitable'!#REF!</f>
        <v>#REF!</v>
      </c>
      <c r="AS255" s="186" t="e">
        <f>+'Proyectos Base digitable'!#REF!</f>
        <v>#REF!</v>
      </c>
      <c r="AT255" s="187" t="e">
        <f>+'Proyectos Base digitable'!#REF!</f>
        <v>#REF!</v>
      </c>
      <c r="AU255" s="56" t="e">
        <f>+'Proyectos Base digitable'!#REF!</f>
        <v>#REF!</v>
      </c>
      <c r="AV255" s="56" t="e">
        <f>+'Proyectos Base digitable'!#REF!</f>
        <v>#REF!</v>
      </c>
      <c r="AW255" s="56" t="e">
        <f>+'Proyectos Base digitable'!#REF!</f>
        <v>#REF!</v>
      </c>
      <c r="AX255" s="56" t="e">
        <f>+'Proyectos Base digitable'!#REF!</f>
        <v>#REF!</v>
      </c>
      <c r="AY255" s="56" t="e">
        <f>+'Proyectos Base digitable'!#REF!</f>
        <v>#REF!</v>
      </c>
      <c r="AZ255" s="188" t="e">
        <f>+'Proyectos Base digitable'!#REF!</f>
        <v>#REF!</v>
      </c>
      <c r="BA255" s="188" t="e">
        <f>+'Proyectos Base digitable'!#REF!</f>
        <v>#REF!</v>
      </c>
    </row>
    <row r="256" spans="1:53" ht="13.5" customHeight="1">
      <c r="A256" s="60" t="e">
        <f>+'Proyectos Base digitable'!#REF!</f>
        <v>#REF!</v>
      </c>
      <c r="B256" s="56" t="e">
        <f>+'Proyectos Base digitable'!#REF!</f>
        <v>#REF!</v>
      </c>
      <c r="C256" s="56" t="e">
        <f>+'Proyectos Base digitable'!#REF!</f>
        <v>#REF!</v>
      </c>
      <c r="D256" s="56" t="e">
        <f>+'Proyectos Base digitable'!#REF!</f>
        <v>#REF!</v>
      </c>
      <c r="E256" s="56" t="e">
        <f>+'Proyectos Base digitable'!#REF!</f>
        <v>#REF!</v>
      </c>
      <c r="F256" s="56" t="e">
        <f>+'Proyectos Base digitable'!#REF!</f>
        <v>#REF!</v>
      </c>
      <c r="G256" s="57" t="e">
        <f>+'Proyectos Base digitable'!#REF!</f>
        <v>#REF!</v>
      </c>
      <c r="H256" s="56" t="e">
        <f>+'Proyectos Base digitable'!#REF!</f>
        <v>#REF!</v>
      </c>
      <c r="I256" s="56" t="e">
        <f>+'Proyectos Base digitable'!#REF!</f>
        <v>#REF!</v>
      </c>
      <c r="J256" s="56" t="e">
        <f>+'Proyectos Base digitable'!#REF!</f>
        <v>#REF!</v>
      </c>
      <c r="K256" s="56" t="e">
        <f>+'Proyectos Base digitable'!#REF!</f>
        <v>#REF!</v>
      </c>
      <c r="L256" s="56" t="e">
        <f>+'Proyectos Base digitable'!#REF!</f>
        <v>#REF!</v>
      </c>
      <c r="M256" s="56" t="e">
        <f>+'Proyectos Base digitable'!#REF!</f>
        <v>#REF!</v>
      </c>
      <c r="N256" s="52" t="e">
        <f>+'Proyectos Base digitable'!#REF!</f>
        <v>#REF!</v>
      </c>
      <c r="O256" s="52" t="e">
        <f>+'Proyectos Base digitable'!#REF!</f>
        <v>#REF!</v>
      </c>
      <c r="P256" s="185" t="e">
        <f>+'Proyectos Base digitable'!#REF!</f>
        <v>#REF!</v>
      </c>
      <c r="Q256" s="58" t="e">
        <f>+'Proyectos Base digitable'!#REF!</f>
        <v>#REF!</v>
      </c>
      <c r="R256" s="58" t="e">
        <f>+'Proyectos Base digitable'!#REF!</f>
        <v>#REF!</v>
      </c>
      <c r="S256" s="58" t="e">
        <f>+'Proyectos Base digitable'!#REF!</f>
        <v>#REF!</v>
      </c>
      <c r="T256" s="58" t="e">
        <f>+'Proyectos Base digitable'!#REF!</f>
        <v>#REF!</v>
      </c>
      <c r="U256" s="63" t="e">
        <f>'Proyectos Base digitable'!#REF!</f>
        <v>#REF!</v>
      </c>
      <c r="V256" s="63" t="e">
        <f>'Proyectos Base digitable'!#REF!</f>
        <v>#REF!</v>
      </c>
      <c r="W256" s="63" t="e">
        <f>'Proyectos Base digitable'!#REF!</f>
        <v>#REF!</v>
      </c>
      <c r="X256" s="63" t="e">
        <f>'Proyectos Base digitable'!#REF!</f>
        <v>#REF!</v>
      </c>
      <c r="Y256" s="63" t="e">
        <f>'Proyectos Base digitable'!#REF!</f>
        <v>#REF!</v>
      </c>
      <c r="Z256" s="58" t="e">
        <f>+'Proyectos Base digitable'!#REF!</f>
        <v>#REF!</v>
      </c>
      <c r="AA256" s="58" t="e">
        <f>+'Proyectos Base digitable'!#REF!</f>
        <v>#REF!</v>
      </c>
      <c r="AB256" s="63" t="e">
        <f>'Proyectos Base digitable'!#REF!</f>
        <v>#REF!</v>
      </c>
      <c r="AC256" s="56" t="e">
        <f>+'Proyectos Base digitable'!#REF!</f>
        <v>#REF!</v>
      </c>
      <c r="AD256" s="52" t="e">
        <f>+'Proyectos Base digitable'!#REF!</f>
        <v>#REF!</v>
      </c>
      <c r="AE256" s="52" t="e">
        <f>+'Proyectos Base digitable'!#REF!</f>
        <v>#REF!</v>
      </c>
      <c r="AF256" s="52" t="e">
        <f>+'Proyectos Base digitable'!#REF!</f>
        <v>#REF!</v>
      </c>
      <c r="AG256" s="56" t="e">
        <f>+'Proyectos Base digitable'!#REF!</f>
        <v>#REF!</v>
      </c>
      <c r="AH256" s="52" t="e">
        <f>+'Proyectos Base digitable'!#REF!</f>
        <v>#REF!</v>
      </c>
      <c r="AI256" s="52" t="e">
        <f>+'Proyectos Base digitable'!#REF!</f>
        <v>#REF!</v>
      </c>
      <c r="AJ256" s="59" t="e">
        <f>+'Proyectos Base digitable'!#REF!</f>
        <v>#REF!</v>
      </c>
      <c r="AK256" s="186" t="e">
        <f>+'Proyectos Base digitable'!#REF!</f>
        <v>#REF!</v>
      </c>
      <c r="AL256" s="186" t="e">
        <f>+'Proyectos Base digitable'!#REF!</f>
        <v>#REF!</v>
      </c>
      <c r="AM256" s="186" t="e">
        <f>+'Proyectos Base digitable'!#REF!</f>
        <v>#REF!</v>
      </c>
      <c r="AN256" s="186" t="e">
        <f>+'Proyectos Base digitable'!#REF!</f>
        <v>#REF!</v>
      </c>
      <c r="AO256" s="186" t="e">
        <f>+'Proyectos Base digitable'!#REF!</f>
        <v>#REF!</v>
      </c>
      <c r="AP256" s="186" t="e">
        <f>+'Proyectos Base digitable'!#REF!</f>
        <v>#REF!</v>
      </c>
      <c r="AQ256" s="186" t="e">
        <f>+'Proyectos Base digitable'!#REF!</f>
        <v>#REF!</v>
      </c>
      <c r="AR256" s="186" t="e">
        <f>+'Proyectos Base digitable'!#REF!</f>
        <v>#REF!</v>
      </c>
      <c r="AS256" s="186" t="e">
        <f>+'Proyectos Base digitable'!#REF!</f>
        <v>#REF!</v>
      </c>
      <c r="AT256" s="187" t="e">
        <f>+'Proyectos Base digitable'!#REF!</f>
        <v>#REF!</v>
      </c>
      <c r="AU256" s="56" t="e">
        <f>+'Proyectos Base digitable'!#REF!</f>
        <v>#REF!</v>
      </c>
      <c r="AV256" s="56" t="e">
        <f>+'Proyectos Base digitable'!#REF!</f>
        <v>#REF!</v>
      </c>
      <c r="AW256" s="56" t="e">
        <f>+'Proyectos Base digitable'!#REF!</f>
        <v>#REF!</v>
      </c>
      <c r="AX256" s="56" t="e">
        <f>+'Proyectos Base digitable'!#REF!</f>
        <v>#REF!</v>
      </c>
      <c r="AY256" s="56" t="e">
        <f>+'Proyectos Base digitable'!#REF!</f>
        <v>#REF!</v>
      </c>
      <c r="AZ256" s="188" t="e">
        <f>+'Proyectos Base digitable'!#REF!</f>
        <v>#REF!</v>
      </c>
      <c r="BA256" s="188" t="e">
        <f>+'Proyectos Base digitable'!#REF!</f>
        <v>#REF!</v>
      </c>
    </row>
    <row r="257" spans="1:53" ht="13.5" customHeight="1">
      <c r="A257" s="60" t="e">
        <f>+'Proyectos Base digitable'!#REF!</f>
        <v>#REF!</v>
      </c>
      <c r="B257" s="56" t="e">
        <f>+'Proyectos Base digitable'!#REF!</f>
        <v>#REF!</v>
      </c>
      <c r="C257" s="56" t="e">
        <f>+'Proyectos Base digitable'!#REF!</f>
        <v>#REF!</v>
      </c>
      <c r="D257" s="56" t="e">
        <f>+'Proyectos Base digitable'!#REF!</f>
        <v>#REF!</v>
      </c>
      <c r="E257" s="56" t="e">
        <f>+'Proyectos Base digitable'!#REF!</f>
        <v>#REF!</v>
      </c>
      <c r="F257" s="56" t="e">
        <f>+'Proyectos Base digitable'!#REF!</f>
        <v>#REF!</v>
      </c>
      <c r="G257" s="57" t="e">
        <f>+'Proyectos Base digitable'!#REF!</f>
        <v>#REF!</v>
      </c>
      <c r="H257" s="56" t="e">
        <f>+'Proyectos Base digitable'!#REF!</f>
        <v>#REF!</v>
      </c>
      <c r="I257" s="56" t="e">
        <f>+'Proyectos Base digitable'!#REF!</f>
        <v>#REF!</v>
      </c>
      <c r="J257" s="56" t="e">
        <f>+'Proyectos Base digitable'!#REF!</f>
        <v>#REF!</v>
      </c>
      <c r="K257" s="56" t="e">
        <f>+'Proyectos Base digitable'!#REF!</f>
        <v>#REF!</v>
      </c>
      <c r="L257" s="56" t="e">
        <f>+'Proyectos Base digitable'!#REF!</f>
        <v>#REF!</v>
      </c>
      <c r="M257" s="56" t="e">
        <f>+'Proyectos Base digitable'!#REF!</f>
        <v>#REF!</v>
      </c>
      <c r="N257" s="52" t="e">
        <f>+'Proyectos Base digitable'!#REF!</f>
        <v>#REF!</v>
      </c>
      <c r="O257" s="52" t="e">
        <f>+'Proyectos Base digitable'!#REF!</f>
        <v>#REF!</v>
      </c>
      <c r="P257" s="185" t="e">
        <f>+'Proyectos Base digitable'!#REF!</f>
        <v>#REF!</v>
      </c>
      <c r="Q257" s="58" t="e">
        <f>+'Proyectos Base digitable'!#REF!</f>
        <v>#REF!</v>
      </c>
      <c r="R257" s="58" t="e">
        <f>+'Proyectos Base digitable'!#REF!</f>
        <v>#REF!</v>
      </c>
      <c r="S257" s="58" t="e">
        <f>+'Proyectos Base digitable'!#REF!</f>
        <v>#REF!</v>
      </c>
      <c r="T257" s="58" t="e">
        <f>+'Proyectos Base digitable'!#REF!</f>
        <v>#REF!</v>
      </c>
      <c r="U257" s="63" t="e">
        <f>'Proyectos Base digitable'!#REF!</f>
        <v>#REF!</v>
      </c>
      <c r="V257" s="63" t="e">
        <f>'Proyectos Base digitable'!#REF!</f>
        <v>#REF!</v>
      </c>
      <c r="W257" s="63" t="e">
        <f>'Proyectos Base digitable'!#REF!</f>
        <v>#REF!</v>
      </c>
      <c r="X257" s="63" t="e">
        <f>'Proyectos Base digitable'!#REF!</f>
        <v>#REF!</v>
      </c>
      <c r="Y257" s="63" t="e">
        <f>'Proyectos Base digitable'!#REF!</f>
        <v>#REF!</v>
      </c>
      <c r="Z257" s="58" t="e">
        <f>+'Proyectos Base digitable'!#REF!</f>
        <v>#REF!</v>
      </c>
      <c r="AA257" s="58" t="e">
        <f>+'Proyectos Base digitable'!#REF!</f>
        <v>#REF!</v>
      </c>
      <c r="AB257" s="63" t="e">
        <f>'Proyectos Base digitable'!#REF!</f>
        <v>#REF!</v>
      </c>
      <c r="AC257" s="56" t="e">
        <f>+'Proyectos Base digitable'!#REF!</f>
        <v>#REF!</v>
      </c>
      <c r="AD257" s="52" t="e">
        <f>+'Proyectos Base digitable'!#REF!</f>
        <v>#REF!</v>
      </c>
      <c r="AE257" s="52" t="e">
        <f>+'Proyectos Base digitable'!#REF!</f>
        <v>#REF!</v>
      </c>
      <c r="AF257" s="52" t="e">
        <f>+'Proyectos Base digitable'!#REF!</f>
        <v>#REF!</v>
      </c>
      <c r="AG257" s="56" t="e">
        <f>+'Proyectos Base digitable'!#REF!</f>
        <v>#REF!</v>
      </c>
      <c r="AH257" s="52" t="e">
        <f>+'Proyectos Base digitable'!#REF!</f>
        <v>#REF!</v>
      </c>
      <c r="AI257" s="52" t="e">
        <f>+'Proyectos Base digitable'!#REF!</f>
        <v>#REF!</v>
      </c>
      <c r="AJ257" s="59" t="e">
        <f>+'Proyectos Base digitable'!#REF!</f>
        <v>#REF!</v>
      </c>
      <c r="AK257" s="186" t="e">
        <f>+'Proyectos Base digitable'!#REF!</f>
        <v>#REF!</v>
      </c>
      <c r="AL257" s="186" t="e">
        <f>+'Proyectos Base digitable'!#REF!</f>
        <v>#REF!</v>
      </c>
      <c r="AM257" s="186" t="e">
        <f>+'Proyectos Base digitable'!#REF!</f>
        <v>#REF!</v>
      </c>
      <c r="AN257" s="186" t="e">
        <f>+'Proyectos Base digitable'!#REF!</f>
        <v>#REF!</v>
      </c>
      <c r="AO257" s="186" t="e">
        <f>+'Proyectos Base digitable'!#REF!</f>
        <v>#REF!</v>
      </c>
      <c r="AP257" s="186" t="e">
        <f>+'Proyectos Base digitable'!#REF!</f>
        <v>#REF!</v>
      </c>
      <c r="AQ257" s="186" t="e">
        <f>+'Proyectos Base digitable'!#REF!</f>
        <v>#REF!</v>
      </c>
      <c r="AR257" s="186" t="e">
        <f>+'Proyectos Base digitable'!#REF!</f>
        <v>#REF!</v>
      </c>
      <c r="AS257" s="186" t="e">
        <f>+'Proyectos Base digitable'!#REF!</f>
        <v>#REF!</v>
      </c>
      <c r="AT257" s="187" t="e">
        <f>+'Proyectos Base digitable'!#REF!</f>
        <v>#REF!</v>
      </c>
      <c r="AU257" s="56" t="e">
        <f>+'Proyectos Base digitable'!#REF!</f>
        <v>#REF!</v>
      </c>
      <c r="AV257" s="56" t="e">
        <f>+'Proyectos Base digitable'!#REF!</f>
        <v>#REF!</v>
      </c>
      <c r="AW257" s="56" t="e">
        <f>+'Proyectos Base digitable'!#REF!</f>
        <v>#REF!</v>
      </c>
      <c r="AX257" s="56" t="e">
        <f>+'Proyectos Base digitable'!#REF!</f>
        <v>#REF!</v>
      </c>
      <c r="AY257" s="56" t="e">
        <f>+'Proyectos Base digitable'!#REF!</f>
        <v>#REF!</v>
      </c>
      <c r="AZ257" s="188" t="e">
        <f>+'Proyectos Base digitable'!#REF!</f>
        <v>#REF!</v>
      </c>
      <c r="BA257" s="188" t="e">
        <f>+'Proyectos Base digitable'!#REF!</f>
        <v>#REF!</v>
      </c>
    </row>
    <row r="258" spans="1:53" ht="13.5" customHeight="1">
      <c r="A258" s="60" t="e">
        <f>+'Proyectos Base digitable'!#REF!</f>
        <v>#REF!</v>
      </c>
      <c r="B258" s="56" t="e">
        <f>+'Proyectos Base digitable'!#REF!</f>
        <v>#REF!</v>
      </c>
      <c r="C258" s="56" t="e">
        <f>+'Proyectos Base digitable'!#REF!</f>
        <v>#REF!</v>
      </c>
      <c r="D258" s="56" t="e">
        <f>+'Proyectos Base digitable'!#REF!</f>
        <v>#REF!</v>
      </c>
      <c r="E258" s="56" t="e">
        <f>+'Proyectos Base digitable'!#REF!</f>
        <v>#REF!</v>
      </c>
      <c r="F258" s="56" t="e">
        <f>+'Proyectos Base digitable'!#REF!</f>
        <v>#REF!</v>
      </c>
      <c r="G258" s="57" t="e">
        <f>+'Proyectos Base digitable'!#REF!</f>
        <v>#REF!</v>
      </c>
      <c r="H258" s="56" t="e">
        <f>+'Proyectos Base digitable'!#REF!</f>
        <v>#REF!</v>
      </c>
      <c r="I258" s="56" t="e">
        <f>+'Proyectos Base digitable'!#REF!</f>
        <v>#REF!</v>
      </c>
      <c r="J258" s="56" t="e">
        <f>+'Proyectos Base digitable'!#REF!</f>
        <v>#REF!</v>
      </c>
      <c r="K258" s="56" t="e">
        <f>+'Proyectos Base digitable'!#REF!</f>
        <v>#REF!</v>
      </c>
      <c r="L258" s="56" t="e">
        <f>+'Proyectos Base digitable'!#REF!</f>
        <v>#REF!</v>
      </c>
      <c r="M258" s="56" t="e">
        <f>+'Proyectos Base digitable'!#REF!</f>
        <v>#REF!</v>
      </c>
      <c r="N258" s="52" t="e">
        <f>+'Proyectos Base digitable'!#REF!</f>
        <v>#REF!</v>
      </c>
      <c r="O258" s="52" t="e">
        <f>+'Proyectos Base digitable'!#REF!</f>
        <v>#REF!</v>
      </c>
      <c r="P258" s="185" t="e">
        <f>+'Proyectos Base digitable'!#REF!</f>
        <v>#REF!</v>
      </c>
      <c r="Q258" s="58" t="e">
        <f>+'Proyectos Base digitable'!#REF!</f>
        <v>#REF!</v>
      </c>
      <c r="R258" s="58" t="e">
        <f>+'Proyectos Base digitable'!#REF!</f>
        <v>#REF!</v>
      </c>
      <c r="S258" s="58" t="e">
        <f>+'Proyectos Base digitable'!#REF!</f>
        <v>#REF!</v>
      </c>
      <c r="T258" s="58" t="e">
        <f>+'Proyectos Base digitable'!#REF!</f>
        <v>#REF!</v>
      </c>
      <c r="U258" s="63" t="e">
        <f>'Proyectos Base digitable'!#REF!</f>
        <v>#REF!</v>
      </c>
      <c r="V258" s="63" t="e">
        <f>'Proyectos Base digitable'!#REF!</f>
        <v>#REF!</v>
      </c>
      <c r="W258" s="63" t="e">
        <f>'Proyectos Base digitable'!#REF!</f>
        <v>#REF!</v>
      </c>
      <c r="X258" s="63" t="e">
        <f>'Proyectos Base digitable'!#REF!</f>
        <v>#REF!</v>
      </c>
      <c r="Y258" s="63" t="e">
        <f>'Proyectos Base digitable'!#REF!</f>
        <v>#REF!</v>
      </c>
      <c r="Z258" s="58" t="e">
        <f>+'Proyectos Base digitable'!#REF!</f>
        <v>#REF!</v>
      </c>
      <c r="AA258" s="58" t="e">
        <f>+'Proyectos Base digitable'!#REF!</f>
        <v>#REF!</v>
      </c>
      <c r="AB258" s="63" t="e">
        <f>'Proyectos Base digitable'!#REF!</f>
        <v>#REF!</v>
      </c>
      <c r="AC258" s="56" t="e">
        <f>+'Proyectos Base digitable'!#REF!</f>
        <v>#REF!</v>
      </c>
      <c r="AD258" s="52" t="e">
        <f>+'Proyectos Base digitable'!#REF!</f>
        <v>#REF!</v>
      </c>
      <c r="AE258" s="52" t="e">
        <f>+'Proyectos Base digitable'!#REF!</f>
        <v>#REF!</v>
      </c>
      <c r="AF258" s="52" t="e">
        <f>+'Proyectos Base digitable'!#REF!</f>
        <v>#REF!</v>
      </c>
      <c r="AG258" s="56" t="e">
        <f>+'Proyectos Base digitable'!#REF!</f>
        <v>#REF!</v>
      </c>
      <c r="AH258" s="52" t="e">
        <f>+'Proyectos Base digitable'!#REF!</f>
        <v>#REF!</v>
      </c>
      <c r="AI258" s="52" t="e">
        <f>+'Proyectos Base digitable'!#REF!</f>
        <v>#REF!</v>
      </c>
      <c r="AJ258" s="59" t="e">
        <f>+'Proyectos Base digitable'!#REF!</f>
        <v>#REF!</v>
      </c>
      <c r="AK258" s="186" t="e">
        <f>+'Proyectos Base digitable'!#REF!</f>
        <v>#REF!</v>
      </c>
      <c r="AL258" s="186" t="e">
        <f>+'Proyectos Base digitable'!#REF!</f>
        <v>#REF!</v>
      </c>
      <c r="AM258" s="186" t="e">
        <f>+'Proyectos Base digitable'!#REF!</f>
        <v>#REF!</v>
      </c>
      <c r="AN258" s="186" t="e">
        <f>+'Proyectos Base digitable'!#REF!</f>
        <v>#REF!</v>
      </c>
      <c r="AO258" s="186" t="e">
        <f>+'Proyectos Base digitable'!#REF!</f>
        <v>#REF!</v>
      </c>
      <c r="AP258" s="186" t="e">
        <f>+'Proyectos Base digitable'!#REF!</f>
        <v>#REF!</v>
      </c>
      <c r="AQ258" s="186" t="e">
        <f>+'Proyectos Base digitable'!#REF!</f>
        <v>#REF!</v>
      </c>
      <c r="AR258" s="186" t="e">
        <f>+'Proyectos Base digitable'!#REF!</f>
        <v>#REF!</v>
      </c>
      <c r="AS258" s="186" t="e">
        <f>+'Proyectos Base digitable'!#REF!</f>
        <v>#REF!</v>
      </c>
      <c r="AT258" s="187" t="e">
        <f>+'Proyectos Base digitable'!#REF!</f>
        <v>#REF!</v>
      </c>
      <c r="AU258" s="56" t="e">
        <f>+'Proyectos Base digitable'!#REF!</f>
        <v>#REF!</v>
      </c>
      <c r="AV258" s="56" t="e">
        <f>+'Proyectos Base digitable'!#REF!</f>
        <v>#REF!</v>
      </c>
      <c r="AW258" s="56" t="e">
        <f>+'Proyectos Base digitable'!#REF!</f>
        <v>#REF!</v>
      </c>
      <c r="AX258" s="56" t="e">
        <f>+'Proyectos Base digitable'!#REF!</f>
        <v>#REF!</v>
      </c>
      <c r="AY258" s="56" t="e">
        <f>+'Proyectos Base digitable'!#REF!</f>
        <v>#REF!</v>
      </c>
      <c r="AZ258" s="188" t="e">
        <f>+'Proyectos Base digitable'!#REF!</f>
        <v>#REF!</v>
      </c>
      <c r="BA258" s="188" t="e">
        <f>+'Proyectos Base digitable'!#REF!</f>
        <v>#REF!</v>
      </c>
    </row>
    <row r="259" spans="1:53" ht="13.5" customHeight="1">
      <c r="A259" s="60" t="e">
        <f>+'Proyectos Base digitable'!#REF!</f>
        <v>#REF!</v>
      </c>
      <c r="B259" s="56" t="e">
        <f>+'Proyectos Base digitable'!#REF!</f>
        <v>#REF!</v>
      </c>
      <c r="C259" s="56" t="e">
        <f>+'Proyectos Base digitable'!#REF!</f>
        <v>#REF!</v>
      </c>
      <c r="D259" s="56" t="e">
        <f>+'Proyectos Base digitable'!#REF!</f>
        <v>#REF!</v>
      </c>
      <c r="E259" s="56" t="e">
        <f>+'Proyectos Base digitable'!#REF!</f>
        <v>#REF!</v>
      </c>
      <c r="F259" s="56" t="e">
        <f>+'Proyectos Base digitable'!#REF!</f>
        <v>#REF!</v>
      </c>
      <c r="G259" s="57" t="e">
        <f>+'Proyectos Base digitable'!#REF!</f>
        <v>#REF!</v>
      </c>
      <c r="H259" s="56" t="e">
        <f>+'Proyectos Base digitable'!#REF!</f>
        <v>#REF!</v>
      </c>
      <c r="I259" s="56" t="e">
        <f>+'Proyectos Base digitable'!#REF!</f>
        <v>#REF!</v>
      </c>
      <c r="J259" s="56" t="e">
        <f>+'Proyectos Base digitable'!#REF!</f>
        <v>#REF!</v>
      </c>
      <c r="K259" s="56" t="e">
        <f>+'Proyectos Base digitable'!#REF!</f>
        <v>#REF!</v>
      </c>
      <c r="L259" s="56" t="e">
        <f>+'Proyectos Base digitable'!#REF!</f>
        <v>#REF!</v>
      </c>
      <c r="M259" s="56" t="e">
        <f>+'Proyectos Base digitable'!#REF!</f>
        <v>#REF!</v>
      </c>
      <c r="N259" s="52" t="e">
        <f>+'Proyectos Base digitable'!#REF!</f>
        <v>#REF!</v>
      </c>
      <c r="O259" s="52" t="e">
        <f>+'Proyectos Base digitable'!#REF!</f>
        <v>#REF!</v>
      </c>
      <c r="P259" s="185" t="e">
        <f>+'Proyectos Base digitable'!#REF!</f>
        <v>#REF!</v>
      </c>
      <c r="Q259" s="58" t="e">
        <f>+'Proyectos Base digitable'!#REF!</f>
        <v>#REF!</v>
      </c>
      <c r="R259" s="58" t="e">
        <f>+'Proyectos Base digitable'!#REF!</f>
        <v>#REF!</v>
      </c>
      <c r="S259" s="58" t="e">
        <f>+'Proyectos Base digitable'!#REF!</f>
        <v>#REF!</v>
      </c>
      <c r="T259" s="58" t="e">
        <f>+'Proyectos Base digitable'!#REF!</f>
        <v>#REF!</v>
      </c>
      <c r="U259" s="63" t="e">
        <f>'Proyectos Base digitable'!#REF!</f>
        <v>#REF!</v>
      </c>
      <c r="V259" s="63" t="e">
        <f>'Proyectos Base digitable'!#REF!</f>
        <v>#REF!</v>
      </c>
      <c r="W259" s="63" t="e">
        <f>'Proyectos Base digitable'!#REF!</f>
        <v>#REF!</v>
      </c>
      <c r="X259" s="63" t="e">
        <f>'Proyectos Base digitable'!#REF!</f>
        <v>#REF!</v>
      </c>
      <c r="Y259" s="63" t="e">
        <f>'Proyectos Base digitable'!#REF!</f>
        <v>#REF!</v>
      </c>
      <c r="Z259" s="58" t="e">
        <f>+'Proyectos Base digitable'!#REF!</f>
        <v>#REF!</v>
      </c>
      <c r="AA259" s="58" t="e">
        <f>+'Proyectos Base digitable'!#REF!</f>
        <v>#REF!</v>
      </c>
      <c r="AB259" s="63" t="e">
        <f>'Proyectos Base digitable'!#REF!</f>
        <v>#REF!</v>
      </c>
      <c r="AC259" s="56" t="e">
        <f>+'Proyectos Base digitable'!#REF!</f>
        <v>#REF!</v>
      </c>
      <c r="AD259" s="52" t="e">
        <f>+'Proyectos Base digitable'!#REF!</f>
        <v>#REF!</v>
      </c>
      <c r="AE259" s="52" t="e">
        <f>+'Proyectos Base digitable'!#REF!</f>
        <v>#REF!</v>
      </c>
      <c r="AF259" s="52" t="e">
        <f>+'Proyectos Base digitable'!#REF!</f>
        <v>#REF!</v>
      </c>
      <c r="AG259" s="56" t="e">
        <f>+'Proyectos Base digitable'!#REF!</f>
        <v>#REF!</v>
      </c>
      <c r="AH259" s="52" t="e">
        <f>+'Proyectos Base digitable'!#REF!</f>
        <v>#REF!</v>
      </c>
      <c r="AI259" s="52" t="e">
        <f>+'Proyectos Base digitable'!#REF!</f>
        <v>#REF!</v>
      </c>
      <c r="AJ259" s="59" t="e">
        <f>+'Proyectos Base digitable'!#REF!</f>
        <v>#REF!</v>
      </c>
      <c r="AK259" s="186" t="e">
        <f>+'Proyectos Base digitable'!#REF!</f>
        <v>#REF!</v>
      </c>
      <c r="AL259" s="186" t="e">
        <f>+'Proyectos Base digitable'!#REF!</f>
        <v>#REF!</v>
      </c>
      <c r="AM259" s="186" t="e">
        <f>+'Proyectos Base digitable'!#REF!</f>
        <v>#REF!</v>
      </c>
      <c r="AN259" s="186" t="e">
        <f>+'Proyectos Base digitable'!#REF!</f>
        <v>#REF!</v>
      </c>
      <c r="AO259" s="186" t="e">
        <f>+'Proyectos Base digitable'!#REF!</f>
        <v>#REF!</v>
      </c>
      <c r="AP259" s="186" t="e">
        <f>+'Proyectos Base digitable'!#REF!</f>
        <v>#REF!</v>
      </c>
      <c r="AQ259" s="186" t="e">
        <f>+'Proyectos Base digitable'!#REF!</f>
        <v>#REF!</v>
      </c>
      <c r="AR259" s="186" t="e">
        <f>+'Proyectos Base digitable'!#REF!</f>
        <v>#REF!</v>
      </c>
      <c r="AS259" s="186" t="e">
        <f>+'Proyectos Base digitable'!#REF!</f>
        <v>#REF!</v>
      </c>
      <c r="AT259" s="187" t="e">
        <f>+'Proyectos Base digitable'!#REF!</f>
        <v>#REF!</v>
      </c>
      <c r="AU259" s="56" t="e">
        <f>+'Proyectos Base digitable'!#REF!</f>
        <v>#REF!</v>
      </c>
      <c r="AV259" s="56" t="e">
        <f>+'Proyectos Base digitable'!#REF!</f>
        <v>#REF!</v>
      </c>
      <c r="AW259" s="56" t="e">
        <f>+'Proyectos Base digitable'!#REF!</f>
        <v>#REF!</v>
      </c>
      <c r="AX259" s="56" t="e">
        <f>+'Proyectos Base digitable'!#REF!</f>
        <v>#REF!</v>
      </c>
      <c r="AY259" s="56" t="e">
        <f>+'Proyectos Base digitable'!#REF!</f>
        <v>#REF!</v>
      </c>
      <c r="AZ259" s="188" t="e">
        <f>+'Proyectos Base digitable'!#REF!</f>
        <v>#REF!</v>
      </c>
      <c r="BA259" s="188" t="e">
        <f>+'Proyectos Base digitable'!#REF!</f>
        <v>#REF!</v>
      </c>
    </row>
    <row r="260" spans="1:53" ht="13.5" customHeight="1">
      <c r="A260" s="60" t="e">
        <f>+'Proyectos Base digitable'!#REF!</f>
        <v>#REF!</v>
      </c>
      <c r="B260" s="56" t="e">
        <f>+'Proyectos Base digitable'!#REF!</f>
        <v>#REF!</v>
      </c>
      <c r="C260" s="56" t="e">
        <f>+'Proyectos Base digitable'!#REF!</f>
        <v>#REF!</v>
      </c>
      <c r="D260" s="56" t="e">
        <f>+'Proyectos Base digitable'!#REF!</f>
        <v>#REF!</v>
      </c>
      <c r="E260" s="56" t="e">
        <f>+'Proyectos Base digitable'!#REF!</f>
        <v>#REF!</v>
      </c>
      <c r="F260" s="56" t="e">
        <f>+'Proyectos Base digitable'!#REF!</f>
        <v>#REF!</v>
      </c>
      <c r="G260" s="57" t="e">
        <f>+'Proyectos Base digitable'!#REF!</f>
        <v>#REF!</v>
      </c>
      <c r="H260" s="56" t="e">
        <f>+'Proyectos Base digitable'!#REF!</f>
        <v>#REF!</v>
      </c>
      <c r="I260" s="56" t="e">
        <f>+'Proyectos Base digitable'!#REF!</f>
        <v>#REF!</v>
      </c>
      <c r="J260" s="56" t="e">
        <f>+'Proyectos Base digitable'!#REF!</f>
        <v>#REF!</v>
      </c>
      <c r="K260" s="56" t="e">
        <f>+'Proyectos Base digitable'!#REF!</f>
        <v>#REF!</v>
      </c>
      <c r="L260" s="56" t="e">
        <f>+'Proyectos Base digitable'!#REF!</f>
        <v>#REF!</v>
      </c>
      <c r="M260" s="56" t="e">
        <f>+'Proyectos Base digitable'!#REF!</f>
        <v>#REF!</v>
      </c>
      <c r="N260" s="52" t="e">
        <f>+'Proyectos Base digitable'!#REF!</f>
        <v>#REF!</v>
      </c>
      <c r="O260" s="52" t="e">
        <f>+'Proyectos Base digitable'!#REF!</f>
        <v>#REF!</v>
      </c>
      <c r="P260" s="185" t="e">
        <f>+'Proyectos Base digitable'!#REF!</f>
        <v>#REF!</v>
      </c>
      <c r="Q260" s="58" t="e">
        <f>+'Proyectos Base digitable'!#REF!</f>
        <v>#REF!</v>
      </c>
      <c r="R260" s="58" t="e">
        <f>+'Proyectos Base digitable'!#REF!</f>
        <v>#REF!</v>
      </c>
      <c r="S260" s="58" t="e">
        <f>+'Proyectos Base digitable'!#REF!</f>
        <v>#REF!</v>
      </c>
      <c r="T260" s="58" t="e">
        <f>+'Proyectos Base digitable'!#REF!</f>
        <v>#REF!</v>
      </c>
      <c r="U260" s="63" t="e">
        <f>'Proyectos Base digitable'!#REF!</f>
        <v>#REF!</v>
      </c>
      <c r="V260" s="63" t="e">
        <f>'Proyectos Base digitable'!#REF!</f>
        <v>#REF!</v>
      </c>
      <c r="W260" s="63" t="e">
        <f>'Proyectos Base digitable'!#REF!</f>
        <v>#REF!</v>
      </c>
      <c r="X260" s="63" t="e">
        <f>'Proyectos Base digitable'!#REF!</f>
        <v>#REF!</v>
      </c>
      <c r="Y260" s="63" t="e">
        <f>'Proyectos Base digitable'!#REF!</f>
        <v>#REF!</v>
      </c>
      <c r="Z260" s="58" t="e">
        <f>+'Proyectos Base digitable'!#REF!</f>
        <v>#REF!</v>
      </c>
      <c r="AA260" s="58" t="e">
        <f>+'Proyectos Base digitable'!#REF!</f>
        <v>#REF!</v>
      </c>
      <c r="AB260" s="63" t="e">
        <f>'Proyectos Base digitable'!#REF!</f>
        <v>#REF!</v>
      </c>
      <c r="AC260" s="56" t="e">
        <f>+'Proyectos Base digitable'!#REF!</f>
        <v>#REF!</v>
      </c>
      <c r="AD260" s="52" t="e">
        <f>+'Proyectos Base digitable'!#REF!</f>
        <v>#REF!</v>
      </c>
      <c r="AE260" s="52" t="e">
        <f>+'Proyectos Base digitable'!#REF!</f>
        <v>#REF!</v>
      </c>
      <c r="AF260" s="52" t="e">
        <f>+'Proyectos Base digitable'!#REF!</f>
        <v>#REF!</v>
      </c>
      <c r="AG260" s="56" t="e">
        <f>+'Proyectos Base digitable'!#REF!</f>
        <v>#REF!</v>
      </c>
      <c r="AH260" s="52" t="e">
        <f>+'Proyectos Base digitable'!#REF!</f>
        <v>#REF!</v>
      </c>
      <c r="AI260" s="52" t="e">
        <f>+'Proyectos Base digitable'!#REF!</f>
        <v>#REF!</v>
      </c>
      <c r="AJ260" s="59" t="e">
        <f>+'Proyectos Base digitable'!#REF!</f>
        <v>#REF!</v>
      </c>
      <c r="AK260" s="186" t="e">
        <f>+'Proyectos Base digitable'!#REF!</f>
        <v>#REF!</v>
      </c>
      <c r="AL260" s="186" t="e">
        <f>+'Proyectos Base digitable'!#REF!</f>
        <v>#REF!</v>
      </c>
      <c r="AM260" s="186" t="e">
        <f>+'Proyectos Base digitable'!#REF!</f>
        <v>#REF!</v>
      </c>
      <c r="AN260" s="186" t="e">
        <f>+'Proyectos Base digitable'!#REF!</f>
        <v>#REF!</v>
      </c>
      <c r="AO260" s="186" t="e">
        <f>+'Proyectos Base digitable'!#REF!</f>
        <v>#REF!</v>
      </c>
      <c r="AP260" s="186" t="e">
        <f>+'Proyectos Base digitable'!#REF!</f>
        <v>#REF!</v>
      </c>
      <c r="AQ260" s="186" t="e">
        <f>+'Proyectos Base digitable'!#REF!</f>
        <v>#REF!</v>
      </c>
      <c r="AR260" s="186" t="e">
        <f>+'Proyectos Base digitable'!#REF!</f>
        <v>#REF!</v>
      </c>
      <c r="AS260" s="186" t="e">
        <f>+'Proyectos Base digitable'!#REF!</f>
        <v>#REF!</v>
      </c>
      <c r="AT260" s="187" t="e">
        <f>+'Proyectos Base digitable'!#REF!</f>
        <v>#REF!</v>
      </c>
      <c r="AU260" s="56" t="e">
        <f>+'Proyectos Base digitable'!#REF!</f>
        <v>#REF!</v>
      </c>
      <c r="AV260" s="56" t="e">
        <f>+'Proyectos Base digitable'!#REF!</f>
        <v>#REF!</v>
      </c>
      <c r="AW260" s="56" t="e">
        <f>+'Proyectos Base digitable'!#REF!</f>
        <v>#REF!</v>
      </c>
      <c r="AX260" s="56" t="e">
        <f>+'Proyectos Base digitable'!#REF!</f>
        <v>#REF!</v>
      </c>
      <c r="AY260" s="56" t="e">
        <f>+'Proyectos Base digitable'!#REF!</f>
        <v>#REF!</v>
      </c>
      <c r="AZ260" s="188" t="e">
        <f>+'Proyectos Base digitable'!#REF!</f>
        <v>#REF!</v>
      </c>
      <c r="BA260" s="188" t="e">
        <f>+'Proyectos Base digitable'!#REF!</f>
        <v>#REF!</v>
      </c>
    </row>
    <row r="261" spans="1:53" ht="13.5" customHeight="1">
      <c r="A261" s="60" t="e">
        <f>+'Proyectos Base digitable'!#REF!</f>
        <v>#REF!</v>
      </c>
      <c r="B261" s="56" t="e">
        <f>+'Proyectos Base digitable'!#REF!</f>
        <v>#REF!</v>
      </c>
      <c r="C261" s="56" t="e">
        <f>+'Proyectos Base digitable'!#REF!</f>
        <v>#REF!</v>
      </c>
      <c r="D261" s="56" t="e">
        <f>+'Proyectos Base digitable'!#REF!</f>
        <v>#REF!</v>
      </c>
      <c r="E261" s="56" t="e">
        <f>+'Proyectos Base digitable'!#REF!</f>
        <v>#REF!</v>
      </c>
      <c r="F261" s="56" t="e">
        <f>+'Proyectos Base digitable'!#REF!</f>
        <v>#REF!</v>
      </c>
      <c r="G261" s="57" t="e">
        <f>+'Proyectos Base digitable'!#REF!</f>
        <v>#REF!</v>
      </c>
      <c r="H261" s="56" t="e">
        <f>+'Proyectos Base digitable'!#REF!</f>
        <v>#REF!</v>
      </c>
      <c r="I261" s="56" t="e">
        <f>+'Proyectos Base digitable'!#REF!</f>
        <v>#REF!</v>
      </c>
      <c r="J261" s="56" t="e">
        <f>+'Proyectos Base digitable'!#REF!</f>
        <v>#REF!</v>
      </c>
      <c r="K261" s="56" t="e">
        <f>+'Proyectos Base digitable'!#REF!</f>
        <v>#REF!</v>
      </c>
      <c r="L261" s="56" t="e">
        <f>+'Proyectos Base digitable'!#REF!</f>
        <v>#REF!</v>
      </c>
      <c r="M261" s="56" t="e">
        <f>+'Proyectos Base digitable'!#REF!</f>
        <v>#REF!</v>
      </c>
      <c r="N261" s="52" t="e">
        <f>+'Proyectos Base digitable'!#REF!</f>
        <v>#REF!</v>
      </c>
      <c r="O261" s="52" t="e">
        <f>+'Proyectos Base digitable'!#REF!</f>
        <v>#REF!</v>
      </c>
      <c r="P261" s="185" t="e">
        <f>+'Proyectos Base digitable'!#REF!</f>
        <v>#REF!</v>
      </c>
      <c r="Q261" s="58" t="e">
        <f>+'Proyectos Base digitable'!#REF!</f>
        <v>#REF!</v>
      </c>
      <c r="R261" s="58" t="e">
        <f>+'Proyectos Base digitable'!#REF!</f>
        <v>#REF!</v>
      </c>
      <c r="S261" s="58" t="e">
        <f>+'Proyectos Base digitable'!#REF!</f>
        <v>#REF!</v>
      </c>
      <c r="T261" s="58" t="e">
        <f>+'Proyectos Base digitable'!#REF!</f>
        <v>#REF!</v>
      </c>
      <c r="U261" s="63" t="e">
        <f>'Proyectos Base digitable'!#REF!</f>
        <v>#REF!</v>
      </c>
      <c r="V261" s="63" t="e">
        <f>'Proyectos Base digitable'!#REF!</f>
        <v>#REF!</v>
      </c>
      <c r="W261" s="63" t="e">
        <f>'Proyectos Base digitable'!#REF!</f>
        <v>#REF!</v>
      </c>
      <c r="X261" s="63" t="e">
        <f>'Proyectos Base digitable'!#REF!</f>
        <v>#REF!</v>
      </c>
      <c r="Y261" s="63" t="e">
        <f>'Proyectos Base digitable'!#REF!</f>
        <v>#REF!</v>
      </c>
      <c r="Z261" s="58" t="e">
        <f>+'Proyectos Base digitable'!#REF!</f>
        <v>#REF!</v>
      </c>
      <c r="AA261" s="58" t="e">
        <f>+'Proyectos Base digitable'!#REF!</f>
        <v>#REF!</v>
      </c>
      <c r="AB261" s="63" t="e">
        <f>'Proyectos Base digitable'!#REF!</f>
        <v>#REF!</v>
      </c>
      <c r="AC261" s="56" t="e">
        <f>+'Proyectos Base digitable'!#REF!</f>
        <v>#REF!</v>
      </c>
      <c r="AD261" s="52" t="e">
        <f>+'Proyectos Base digitable'!#REF!</f>
        <v>#REF!</v>
      </c>
      <c r="AE261" s="52" t="e">
        <f>+'Proyectos Base digitable'!#REF!</f>
        <v>#REF!</v>
      </c>
      <c r="AF261" s="52" t="e">
        <f>+'Proyectos Base digitable'!#REF!</f>
        <v>#REF!</v>
      </c>
      <c r="AG261" s="56" t="e">
        <f>+'Proyectos Base digitable'!#REF!</f>
        <v>#REF!</v>
      </c>
      <c r="AH261" s="52" t="e">
        <f>+'Proyectos Base digitable'!#REF!</f>
        <v>#REF!</v>
      </c>
      <c r="AI261" s="52" t="e">
        <f>+'Proyectos Base digitable'!#REF!</f>
        <v>#REF!</v>
      </c>
      <c r="AJ261" s="59" t="e">
        <f>+'Proyectos Base digitable'!#REF!</f>
        <v>#REF!</v>
      </c>
      <c r="AK261" s="186" t="e">
        <f>+'Proyectos Base digitable'!#REF!</f>
        <v>#REF!</v>
      </c>
      <c r="AL261" s="186" t="e">
        <f>+'Proyectos Base digitable'!#REF!</f>
        <v>#REF!</v>
      </c>
      <c r="AM261" s="186" t="e">
        <f>+'Proyectos Base digitable'!#REF!</f>
        <v>#REF!</v>
      </c>
      <c r="AN261" s="186" t="e">
        <f>+'Proyectos Base digitable'!#REF!</f>
        <v>#REF!</v>
      </c>
      <c r="AO261" s="186" t="e">
        <f>+'Proyectos Base digitable'!#REF!</f>
        <v>#REF!</v>
      </c>
      <c r="AP261" s="186" t="e">
        <f>+'Proyectos Base digitable'!#REF!</f>
        <v>#REF!</v>
      </c>
      <c r="AQ261" s="186" t="e">
        <f>+'Proyectos Base digitable'!#REF!</f>
        <v>#REF!</v>
      </c>
      <c r="AR261" s="186" t="e">
        <f>+'Proyectos Base digitable'!#REF!</f>
        <v>#REF!</v>
      </c>
      <c r="AS261" s="186" t="e">
        <f>+'Proyectos Base digitable'!#REF!</f>
        <v>#REF!</v>
      </c>
      <c r="AT261" s="187" t="e">
        <f>+'Proyectos Base digitable'!#REF!</f>
        <v>#REF!</v>
      </c>
      <c r="AU261" s="56" t="e">
        <f>+'Proyectos Base digitable'!#REF!</f>
        <v>#REF!</v>
      </c>
      <c r="AV261" s="56" t="e">
        <f>+'Proyectos Base digitable'!#REF!</f>
        <v>#REF!</v>
      </c>
      <c r="AW261" s="56" t="e">
        <f>+'Proyectos Base digitable'!#REF!</f>
        <v>#REF!</v>
      </c>
      <c r="AX261" s="56" t="e">
        <f>+'Proyectos Base digitable'!#REF!</f>
        <v>#REF!</v>
      </c>
      <c r="AY261" s="56" t="e">
        <f>+'Proyectos Base digitable'!#REF!</f>
        <v>#REF!</v>
      </c>
      <c r="AZ261" s="188" t="e">
        <f>+'Proyectos Base digitable'!#REF!</f>
        <v>#REF!</v>
      </c>
      <c r="BA261" s="188" t="e">
        <f>+'Proyectos Base digitable'!#REF!</f>
        <v>#REF!</v>
      </c>
    </row>
    <row r="262" spans="1:53" ht="13.5" customHeight="1">
      <c r="A262" s="60" t="e">
        <f>+'Proyectos Base digitable'!#REF!</f>
        <v>#REF!</v>
      </c>
      <c r="B262" s="56" t="e">
        <f>+'Proyectos Base digitable'!#REF!</f>
        <v>#REF!</v>
      </c>
      <c r="C262" s="56" t="e">
        <f>+'Proyectos Base digitable'!#REF!</f>
        <v>#REF!</v>
      </c>
      <c r="D262" s="56" t="e">
        <f>+'Proyectos Base digitable'!#REF!</f>
        <v>#REF!</v>
      </c>
      <c r="E262" s="56" t="e">
        <f>+'Proyectos Base digitable'!#REF!</f>
        <v>#REF!</v>
      </c>
      <c r="F262" s="56" t="e">
        <f>+'Proyectos Base digitable'!#REF!</f>
        <v>#REF!</v>
      </c>
      <c r="G262" s="57" t="e">
        <f>+'Proyectos Base digitable'!#REF!</f>
        <v>#REF!</v>
      </c>
      <c r="H262" s="56" t="e">
        <f>+'Proyectos Base digitable'!#REF!</f>
        <v>#REF!</v>
      </c>
      <c r="I262" s="56" t="e">
        <f>+'Proyectos Base digitable'!#REF!</f>
        <v>#REF!</v>
      </c>
      <c r="J262" s="56" t="e">
        <f>+'Proyectos Base digitable'!#REF!</f>
        <v>#REF!</v>
      </c>
      <c r="K262" s="56" t="e">
        <f>+'Proyectos Base digitable'!#REF!</f>
        <v>#REF!</v>
      </c>
      <c r="L262" s="56" t="e">
        <f>+'Proyectos Base digitable'!#REF!</f>
        <v>#REF!</v>
      </c>
      <c r="M262" s="56" t="e">
        <f>+'Proyectos Base digitable'!#REF!</f>
        <v>#REF!</v>
      </c>
      <c r="N262" s="52" t="e">
        <f>+'Proyectos Base digitable'!#REF!</f>
        <v>#REF!</v>
      </c>
      <c r="O262" s="52" t="e">
        <f>+'Proyectos Base digitable'!#REF!</f>
        <v>#REF!</v>
      </c>
      <c r="P262" s="185" t="e">
        <f>+'Proyectos Base digitable'!#REF!</f>
        <v>#REF!</v>
      </c>
      <c r="Q262" s="58" t="e">
        <f>+'Proyectos Base digitable'!#REF!</f>
        <v>#REF!</v>
      </c>
      <c r="R262" s="58" t="e">
        <f>+'Proyectos Base digitable'!#REF!</f>
        <v>#REF!</v>
      </c>
      <c r="S262" s="58" t="e">
        <f>+'Proyectos Base digitable'!#REF!</f>
        <v>#REF!</v>
      </c>
      <c r="T262" s="58" t="e">
        <f>+'Proyectos Base digitable'!#REF!</f>
        <v>#REF!</v>
      </c>
      <c r="U262" s="63" t="e">
        <f>'Proyectos Base digitable'!#REF!</f>
        <v>#REF!</v>
      </c>
      <c r="V262" s="63" t="e">
        <f>'Proyectos Base digitable'!#REF!</f>
        <v>#REF!</v>
      </c>
      <c r="W262" s="63" t="e">
        <f>'Proyectos Base digitable'!#REF!</f>
        <v>#REF!</v>
      </c>
      <c r="X262" s="63" t="e">
        <f>'Proyectos Base digitable'!#REF!</f>
        <v>#REF!</v>
      </c>
      <c r="Y262" s="63" t="e">
        <f>'Proyectos Base digitable'!#REF!</f>
        <v>#REF!</v>
      </c>
      <c r="Z262" s="58" t="e">
        <f>+'Proyectos Base digitable'!#REF!</f>
        <v>#REF!</v>
      </c>
      <c r="AA262" s="58" t="e">
        <f>+'Proyectos Base digitable'!#REF!</f>
        <v>#REF!</v>
      </c>
      <c r="AB262" s="63" t="e">
        <f>'Proyectos Base digitable'!#REF!</f>
        <v>#REF!</v>
      </c>
      <c r="AC262" s="56" t="e">
        <f>+'Proyectos Base digitable'!#REF!</f>
        <v>#REF!</v>
      </c>
      <c r="AD262" s="52" t="e">
        <f>+'Proyectos Base digitable'!#REF!</f>
        <v>#REF!</v>
      </c>
      <c r="AE262" s="52" t="e">
        <f>+'Proyectos Base digitable'!#REF!</f>
        <v>#REF!</v>
      </c>
      <c r="AF262" s="52" t="e">
        <f>+'Proyectos Base digitable'!#REF!</f>
        <v>#REF!</v>
      </c>
      <c r="AG262" s="56" t="e">
        <f>+'Proyectos Base digitable'!#REF!</f>
        <v>#REF!</v>
      </c>
      <c r="AH262" s="52" t="e">
        <f>+'Proyectos Base digitable'!#REF!</f>
        <v>#REF!</v>
      </c>
      <c r="AI262" s="52" t="e">
        <f>+'Proyectos Base digitable'!#REF!</f>
        <v>#REF!</v>
      </c>
      <c r="AJ262" s="59" t="e">
        <f>+'Proyectos Base digitable'!#REF!</f>
        <v>#REF!</v>
      </c>
      <c r="AK262" s="186" t="e">
        <f>+'Proyectos Base digitable'!#REF!</f>
        <v>#REF!</v>
      </c>
      <c r="AL262" s="186" t="e">
        <f>+'Proyectos Base digitable'!#REF!</f>
        <v>#REF!</v>
      </c>
      <c r="AM262" s="186" t="e">
        <f>+'Proyectos Base digitable'!#REF!</f>
        <v>#REF!</v>
      </c>
      <c r="AN262" s="186" t="e">
        <f>+'Proyectos Base digitable'!#REF!</f>
        <v>#REF!</v>
      </c>
      <c r="AO262" s="186" t="e">
        <f>+'Proyectos Base digitable'!#REF!</f>
        <v>#REF!</v>
      </c>
      <c r="AP262" s="186" t="e">
        <f>+'Proyectos Base digitable'!#REF!</f>
        <v>#REF!</v>
      </c>
      <c r="AQ262" s="186" t="e">
        <f>+'Proyectos Base digitable'!#REF!</f>
        <v>#REF!</v>
      </c>
      <c r="AR262" s="186" t="e">
        <f>+'Proyectos Base digitable'!#REF!</f>
        <v>#REF!</v>
      </c>
      <c r="AS262" s="186" t="e">
        <f>+'Proyectos Base digitable'!#REF!</f>
        <v>#REF!</v>
      </c>
      <c r="AT262" s="187" t="e">
        <f>+'Proyectos Base digitable'!#REF!</f>
        <v>#REF!</v>
      </c>
      <c r="AU262" s="56" t="e">
        <f>+'Proyectos Base digitable'!#REF!</f>
        <v>#REF!</v>
      </c>
      <c r="AV262" s="56" t="e">
        <f>+'Proyectos Base digitable'!#REF!</f>
        <v>#REF!</v>
      </c>
      <c r="AW262" s="56" t="e">
        <f>+'Proyectos Base digitable'!#REF!</f>
        <v>#REF!</v>
      </c>
      <c r="AX262" s="56" t="e">
        <f>+'Proyectos Base digitable'!#REF!</f>
        <v>#REF!</v>
      </c>
      <c r="AY262" s="56" t="e">
        <f>+'Proyectos Base digitable'!#REF!</f>
        <v>#REF!</v>
      </c>
      <c r="AZ262" s="188" t="e">
        <f>+'Proyectos Base digitable'!#REF!</f>
        <v>#REF!</v>
      </c>
      <c r="BA262" s="188" t="e">
        <f>+'Proyectos Base digitable'!#REF!</f>
        <v>#REF!</v>
      </c>
    </row>
    <row r="263" spans="1:53" ht="13.5" customHeight="1">
      <c r="A263" s="60" t="e">
        <f>+'Proyectos Base digitable'!#REF!</f>
        <v>#REF!</v>
      </c>
      <c r="B263" s="56" t="e">
        <f>+'Proyectos Base digitable'!#REF!</f>
        <v>#REF!</v>
      </c>
      <c r="C263" s="56" t="e">
        <f>+'Proyectos Base digitable'!#REF!</f>
        <v>#REF!</v>
      </c>
      <c r="D263" s="56" t="e">
        <f>+'Proyectos Base digitable'!#REF!</f>
        <v>#REF!</v>
      </c>
      <c r="E263" s="56" t="e">
        <f>+'Proyectos Base digitable'!#REF!</f>
        <v>#REF!</v>
      </c>
      <c r="F263" s="56" t="e">
        <f>+'Proyectos Base digitable'!#REF!</f>
        <v>#REF!</v>
      </c>
      <c r="G263" s="57" t="e">
        <f>+'Proyectos Base digitable'!#REF!</f>
        <v>#REF!</v>
      </c>
      <c r="H263" s="56" t="e">
        <f>+'Proyectos Base digitable'!#REF!</f>
        <v>#REF!</v>
      </c>
      <c r="I263" s="56" t="e">
        <f>+'Proyectos Base digitable'!#REF!</f>
        <v>#REF!</v>
      </c>
      <c r="J263" s="56" t="e">
        <f>+'Proyectos Base digitable'!#REF!</f>
        <v>#REF!</v>
      </c>
      <c r="K263" s="56" t="e">
        <f>+'Proyectos Base digitable'!#REF!</f>
        <v>#REF!</v>
      </c>
      <c r="L263" s="56" t="e">
        <f>+'Proyectos Base digitable'!#REF!</f>
        <v>#REF!</v>
      </c>
      <c r="M263" s="56" t="e">
        <f>+'Proyectos Base digitable'!#REF!</f>
        <v>#REF!</v>
      </c>
      <c r="N263" s="52" t="e">
        <f>+'Proyectos Base digitable'!#REF!</f>
        <v>#REF!</v>
      </c>
      <c r="O263" s="52" t="e">
        <f>+'Proyectos Base digitable'!#REF!</f>
        <v>#REF!</v>
      </c>
      <c r="P263" s="185" t="e">
        <f>+'Proyectos Base digitable'!#REF!</f>
        <v>#REF!</v>
      </c>
      <c r="Q263" s="58" t="e">
        <f>+'Proyectos Base digitable'!#REF!</f>
        <v>#REF!</v>
      </c>
      <c r="R263" s="58" t="e">
        <f>+'Proyectos Base digitable'!#REF!</f>
        <v>#REF!</v>
      </c>
      <c r="S263" s="58" t="e">
        <f>+'Proyectos Base digitable'!#REF!</f>
        <v>#REF!</v>
      </c>
      <c r="T263" s="58" t="e">
        <f>+'Proyectos Base digitable'!#REF!</f>
        <v>#REF!</v>
      </c>
      <c r="U263" s="63" t="e">
        <f>'Proyectos Base digitable'!#REF!</f>
        <v>#REF!</v>
      </c>
      <c r="V263" s="63" t="e">
        <f>'Proyectos Base digitable'!#REF!</f>
        <v>#REF!</v>
      </c>
      <c r="W263" s="63" t="e">
        <f>'Proyectos Base digitable'!#REF!</f>
        <v>#REF!</v>
      </c>
      <c r="X263" s="63" t="e">
        <f>'Proyectos Base digitable'!#REF!</f>
        <v>#REF!</v>
      </c>
      <c r="Y263" s="63" t="e">
        <f>'Proyectos Base digitable'!#REF!</f>
        <v>#REF!</v>
      </c>
      <c r="Z263" s="58" t="e">
        <f>+'Proyectos Base digitable'!#REF!</f>
        <v>#REF!</v>
      </c>
      <c r="AA263" s="58" t="e">
        <f>+'Proyectos Base digitable'!#REF!</f>
        <v>#REF!</v>
      </c>
      <c r="AB263" s="63" t="e">
        <f>'Proyectos Base digitable'!#REF!</f>
        <v>#REF!</v>
      </c>
      <c r="AC263" s="56" t="e">
        <f>+'Proyectos Base digitable'!#REF!</f>
        <v>#REF!</v>
      </c>
      <c r="AD263" s="52" t="e">
        <f>+'Proyectos Base digitable'!#REF!</f>
        <v>#REF!</v>
      </c>
      <c r="AE263" s="52" t="e">
        <f>+'Proyectos Base digitable'!#REF!</f>
        <v>#REF!</v>
      </c>
      <c r="AF263" s="52" t="e">
        <f>+'Proyectos Base digitable'!#REF!</f>
        <v>#REF!</v>
      </c>
      <c r="AG263" s="56" t="e">
        <f>+'Proyectos Base digitable'!#REF!</f>
        <v>#REF!</v>
      </c>
      <c r="AH263" s="52" t="e">
        <f>+'Proyectos Base digitable'!#REF!</f>
        <v>#REF!</v>
      </c>
      <c r="AI263" s="52" t="e">
        <f>+'Proyectos Base digitable'!#REF!</f>
        <v>#REF!</v>
      </c>
      <c r="AJ263" s="59" t="e">
        <f>+'Proyectos Base digitable'!#REF!</f>
        <v>#REF!</v>
      </c>
      <c r="AK263" s="186" t="e">
        <f>+'Proyectos Base digitable'!#REF!</f>
        <v>#REF!</v>
      </c>
      <c r="AL263" s="186" t="e">
        <f>+'Proyectos Base digitable'!#REF!</f>
        <v>#REF!</v>
      </c>
      <c r="AM263" s="186" t="e">
        <f>+'Proyectos Base digitable'!#REF!</f>
        <v>#REF!</v>
      </c>
      <c r="AN263" s="186" t="e">
        <f>+'Proyectos Base digitable'!#REF!</f>
        <v>#REF!</v>
      </c>
      <c r="AO263" s="186" t="e">
        <f>+'Proyectos Base digitable'!#REF!</f>
        <v>#REF!</v>
      </c>
      <c r="AP263" s="186" t="e">
        <f>+'Proyectos Base digitable'!#REF!</f>
        <v>#REF!</v>
      </c>
      <c r="AQ263" s="186" t="e">
        <f>+'Proyectos Base digitable'!#REF!</f>
        <v>#REF!</v>
      </c>
      <c r="AR263" s="186" t="e">
        <f>+'Proyectos Base digitable'!#REF!</f>
        <v>#REF!</v>
      </c>
      <c r="AS263" s="186" t="e">
        <f>+'Proyectos Base digitable'!#REF!</f>
        <v>#REF!</v>
      </c>
      <c r="AT263" s="187" t="e">
        <f>+'Proyectos Base digitable'!#REF!</f>
        <v>#REF!</v>
      </c>
      <c r="AU263" s="56" t="e">
        <f>+'Proyectos Base digitable'!#REF!</f>
        <v>#REF!</v>
      </c>
      <c r="AV263" s="56" t="e">
        <f>+'Proyectos Base digitable'!#REF!</f>
        <v>#REF!</v>
      </c>
      <c r="AW263" s="56" t="e">
        <f>+'Proyectos Base digitable'!#REF!</f>
        <v>#REF!</v>
      </c>
      <c r="AX263" s="56" t="e">
        <f>+'Proyectos Base digitable'!#REF!</f>
        <v>#REF!</v>
      </c>
      <c r="AY263" s="56" t="e">
        <f>+'Proyectos Base digitable'!#REF!</f>
        <v>#REF!</v>
      </c>
      <c r="AZ263" s="188" t="e">
        <f>+'Proyectos Base digitable'!#REF!</f>
        <v>#REF!</v>
      </c>
      <c r="BA263" s="188" t="e">
        <f>+'Proyectos Base digitable'!#REF!</f>
        <v>#REF!</v>
      </c>
    </row>
    <row r="264" spans="1:53" ht="13.5" customHeight="1">
      <c r="A264" s="60" t="e">
        <f>+'Proyectos Base digitable'!#REF!</f>
        <v>#REF!</v>
      </c>
      <c r="B264" s="56" t="e">
        <f>+'Proyectos Base digitable'!#REF!</f>
        <v>#REF!</v>
      </c>
      <c r="C264" s="56" t="e">
        <f>+'Proyectos Base digitable'!#REF!</f>
        <v>#REF!</v>
      </c>
      <c r="D264" s="56" t="e">
        <f>+'Proyectos Base digitable'!#REF!</f>
        <v>#REF!</v>
      </c>
      <c r="E264" s="56" t="e">
        <f>+'Proyectos Base digitable'!#REF!</f>
        <v>#REF!</v>
      </c>
      <c r="F264" s="56" t="e">
        <f>+'Proyectos Base digitable'!#REF!</f>
        <v>#REF!</v>
      </c>
      <c r="G264" s="57" t="e">
        <f>+'Proyectos Base digitable'!#REF!</f>
        <v>#REF!</v>
      </c>
      <c r="H264" s="56" t="e">
        <f>+'Proyectos Base digitable'!#REF!</f>
        <v>#REF!</v>
      </c>
      <c r="I264" s="56" t="e">
        <f>+'Proyectos Base digitable'!#REF!</f>
        <v>#REF!</v>
      </c>
      <c r="J264" s="56" t="e">
        <f>+'Proyectos Base digitable'!#REF!</f>
        <v>#REF!</v>
      </c>
      <c r="K264" s="56" t="e">
        <f>+'Proyectos Base digitable'!#REF!</f>
        <v>#REF!</v>
      </c>
      <c r="L264" s="56" t="e">
        <f>+'Proyectos Base digitable'!#REF!</f>
        <v>#REF!</v>
      </c>
      <c r="M264" s="56" t="e">
        <f>+'Proyectos Base digitable'!#REF!</f>
        <v>#REF!</v>
      </c>
      <c r="N264" s="52" t="e">
        <f>+'Proyectos Base digitable'!#REF!</f>
        <v>#REF!</v>
      </c>
      <c r="O264" s="52" t="e">
        <f>+'Proyectos Base digitable'!#REF!</f>
        <v>#REF!</v>
      </c>
      <c r="P264" s="185" t="e">
        <f>+'Proyectos Base digitable'!#REF!</f>
        <v>#REF!</v>
      </c>
      <c r="Q264" s="58" t="e">
        <f>+'Proyectos Base digitable'!#REF!</f>
        <v>#REF!</v>
      </c>
      <c r="R264" s="58" t="e">
        <f>+'Proyectos Base digitable'!#REF!</f>
        <v>#REF!</v>
      </c>
      <c r="S264" s="58" t="e">
        <f>+'Proyectos Base digitable'!#REF!</f>
        <v>#REF!</v>
      </c>
      <c r="T264" s="58" t="e">
        <f>+'Proyectos Base digitable'!#REF!</f>
        <v>#REF!</v>
      </c>
      <c r="U264" s="63" t="e">
        <f>'Proyectos Base digitable'!#REF!</f>
        <v>#REF!</v>
      </c>
      <c r="V264" s="63" t="e">
        <f>'Proyectos Base digitable'!#REF!</f>
        <v>#REF!</v>
      </c>
      <c r="W264" s="63" t="e">
        <f>'Proyectos Base digitable'!#REF!</f>
        <v>#REF!</v>
      </c>
      <c r="X264" s="63" t="e">
        <f>'Proyectos Base digitable'!#REF!</f>
        <v>#REF!</v>
      </c>
      <c r="Y264" s="63" t="e">
        <f>'Proyectos Base digitable'!#REF!</f>
        <v>#REF!</v>
      </c>
      <c r="Z264" s="58" t="e">
        <f>+'Proyectos Base digitable'!#REF!</f>
        <v>#REF!</v>
      </c>
      <c r="AA264" s="58" t="e">
        <f>+'Proyectos Base digitable'!#REF!</f>
        <v>#REF!</v>
      </c>
      <c r="AB264" s="63" t="e">
        <f>'Proyectos Base digitable'!#REF!</f>
        <v>#REF!</v>
      </c>
      <c r="AC264" s="56" t="e">
        <f>+'Proyectos Base digitable'!#REF!</f>
        <v>#REF!</v>
      </c>
      <c r="AD264" s="52" t="e">
        <f>+'Proyectos Base digitable'!#REF!</f>
        <v>#REF!</v>
      </c>
      <c r="AE264" s="52" t="e">
        <f>+'Proyectos Base digitable'!#REF!</f>
        <v>#REF!</v>
      </c>
      <c r="AF264" s="52" t="e">
        <f>+'Proyectos Base digitable'!#REF!</f>
        <v>#REF!</v>
      </c>
      <c r="AG264" s="56" t="e">
        <f>+'Proyectos Base digitable'!#REF!</f>
        <v>#REF!</v>
      </c>
      <c r="AH264" s="52" t="e">
        <f>+'Proyectos Base digitable'!#REF!</f>
        <v>#REF!</v>
      </c>
      <c r="AI264" s="52" t="e">
        <f>+'Proyectos Base digitable'!#REF!</f>
        <v>#REF!</v>
      </c>
      <c r="AJ264" s="59" t="e">
        <f>+'Proyectos Base digitable'!#REF!</f>
        <v>#REF!</v>
      </c>
      <c r="AK264" s="186" t="e">
        <f>+'Proyectos Base digitable'!#REF!</f>
        <v>#REF!</v>
      </c>
      <c r="AL264" s="186" t="e">
        <f>+'Proyectos Base digitable'!#REF!</f>
        <v>#REF!</v>
      </c>
      <c r="AM264" s="186" t="e">
        <f>+'Proyectos Base digitable'!#REF!</f>
        <v>#REF!</v>
      </c>
      <c r="AN264" s="186" t="e">
        <f>+'Proyectos Base digitable'!#REF!</f>
        <v>#REF!</v>
      </c>
      <c r="AO264" s="186" t="e">
        <f>+'Proyectos Base digitable'!#REF!</f>
        <v>#REF!</v>
      </c>
      <c r="AP264" s="186" t="e">
        <f>+'Proyectos Base digitable'!#REF!</f>
        <v>#REF!</v>
      </c>
      <c r="AQ264" s="186" t="e">
        <f>+'Proyectos Base digitable'!#REF!</f>
        <v>#REF!</v>
      </c>
      <c r="AR264" s="186" t="e">
        <f>+'Proyectos Base digitable'!#REF!</f>
        <v>#REF!</v>
      </c>
      <c r="AS264" s="186" t="e">
        <f>+'Proyectos Base digitable'!#REF!</f>
        <v>#REF!</v>
      </c>
      <c r="AT264" s="187" t="e">
        <f>+'Proyectos Base digitable'!#REF!</f>
        <v>#REF!</v>
      </c>
      <c r="AU264" s="56" t="e">
        <f>+'Proyectos Base digitable'!#REF!</f>
        <v>#REF!</v>
      </c>
      <c r="AV264" s="56" t="e">
        <f>+'Proyectos Base digitable'!#REF!</f>
        <v>#REF!</v>
      </c>
      <c r="AW264" s="56" t="e">
        <f>+'Proyectos Base digitable'!#REF!</f>
        <v>#REF!</v>
      </c>
      <c r="AX264" s="56" t="e">
        <f>+'Proyectos Base digitable'!#REF!</f>
        <v>#REF!</v>
      </c>
      <c r="AY264" s="56" t="e">
        <f>+'Proyectos Base digitable'!#REF!</f>
        <v>#REF!</v>
      </c>
      <c r="AZ264" s="188" t="e">
        <f>+'Proyectos Base digitable'!#REF!</f>
        <v>#REF!</v>
      </c>
      <c r="BA264" s="188" t="e">
        <f>+'Proyectos Base digitable'!#REF!</f>
        <v>#REF!</v>
      </c>
    </row>
    <row r="265" spans="1:53" ht="13.5" customHeight="1">
      <c r="A265" s="60" t="e">
        <f>+'Proyectos Base digitable'!#REF!</f>
        <v>#REF!</v>
      </c>
      <c r="B265" s="56" t="e">
        <f>+'Proyectos Base digitable'!#REF!</f>
        <v>#REF!</v>
      </c>
      <c r="C265" s="56" t="e">
        <f>+'Proyectos Base digitable'!#REF!</f>
        <v>#REF!</v>
      </c>
      <c r="D265" s="56" t="e">
        <f>+'Proyectos Base digitable'!#REF!</f>
        <v>#REF!</v>
      </c>
      <c r="E265" s="56" t="e">
        <f>+'Proyectos Base digitable'!#REF!</f>
        <v>#REF!</v>
      </c>
      <c r="F265" s="56" t="e">
        <f>+'Proyectos Base digitable'!#REF!</f>
        <v>#REF!</v>
      </c>
      <c r="G265" s="57" t="e">
        <f>+'Proyectos Base digitable'!#REF!</f>
        <v>#REF!</v>
      </c>
      <c r="H265" s="56" t="e">
        <f>+'Proyectos Base digitable'!#REF!</f>
        <v>#REF!</v>
      </c>
      <c r="I265" s="56" t="e">
        <f>+'Proyectos Base digitable'!#REF!</f>
        <v>#REF!</v>
      </c>
      <c r="J265" s="56" t="e">
        <f>+'Proyectos Base digitable'!#REF!</f>
        <v>#REF!</v>
      </c>
      <c r="K265" s="56" t="e">
        <f>+'Proyectos Base digitable'!#REF!</f>
        <v>#REF!</v>
      </c>
      <c r="L265" s="56" t="e">
        <f>+'Proyectos Base digitable'!#REF!</f>
        <v>#REF!</v>
      </c>
      <c r="M265" s="56" t="e">
        <f>+'Proyectos Base digitable'!#REF!</f>
        <v>#REF!</v>
      </c>
      <c r="N265" s="52" t="e">
        <f>+'Proyectos Base digitable'!#REF!</f>
        <v>#REF!</v>
      </c>
      <c r="O265" s="52" t="e">
        <f>+'Proyectos Base digitable'!#REF!</f>
        <v>#REF!</v>
      </c>
      <c r="P265" s="185" t="e">
        <f>+'Proyectos Base digitable'!#REF!</f>
        <v>#REF!</v>
      </c>
      <c r="Q265" s="58" t="e">
        <f>+'Proyectos Base digitable'!#REF!</f>
        <v>#REF!</v>
      </c>
      <c r="R265" s="58" t="e">
        <f>+'Proyectos Base digitable'!#REF!</f>
        <v>#REF!</v>
      </c>
      <c r="S265" s="58" t="e">
        <f>+'Proyectos Base digitable'!#REF!</f>
        <v>#REF!</v>
      </c>
      <c r="T265" s="58" t="e">
        <f>+'Proyectos Base digitable'!#REF!</f>
        <v>#REF!</v>
      </c>
      <c r="U265" s="63" t="e">
        <f>'Proyectos Base digitable'!#REF!</f>
        <v>#REF!</v>
      </c>
      <c r="V265" s="63" t="e">
        <f>'Proyectos Base digitable'!#REF!</f>
        <v>#REF!</v>
      </c>
      <c r="W265" s="63" t="e">
        <f>'Proyectos Base digitable'!#REF!</f>
        <v>#REF!</v>
      </c>
      <c r="X265" s="63" t="e">
        <f>'Proyectos Base digitable'!#REF!</f>
        <v>#REF!</v>
      </c>
      <c r="Y265" s="63" t="e">
        <f>'Proyectos Base digitable'!#REF!</f>
        <v>#REF!</v>
      </c>
      <c r="Z265" s="58" t="e">
        <f>+'Proyectos Base digitable'!#REF!</f>
        <v>#REF!</v>
      </c>
      <c r="AA265" s="58" t="e">
        <f>+'Proyectos Base digitable'!#REF!</f>
        <v>#REF!</v>
      </c>
      <c r="AB265" s="63" t="e">
        <f>'Proyectos Base digitable'!#REF!</f>
        <v>#REF!</v>
      </c>
      <c r="AC265" s="56" t="e">
        <f>+'Proyectos Base digitable'!#REF!</f>
        <v>#REF!</v>
      </c>
      <c r="AD265" s="52" t="e">
        <f>+'Proyectos Base digitable'!#REF!</f>
        <v>#REF!</v>
      </c>
      <c r="AE265" s="52" t="e">
        <f>+'Proyectos Base digitable'!#REF!</f>
        <v>#REF!</v>
      </c>
      <c r="AF265" s="52" t="e">
        <f>+'Proyectos Base digitable'!#REF!</f>
        <v>#REF!</v>
      </c>
      <c r="AG265" s="56" t="e">
        <f>+'Proyectos Base digitable'!#REF!</f>
        <v>#REF!</v>
      </c>
      <c r="AH265" s="52" t="e">
        <f>+'Proyectos Base digitable'!#REF!</f>
        <v>#REF!</v>
      </c>
      <c r="AI265" s="52" t="e">
        <f>+'Proyectos Base digitable'!#REF!</f>
        <v>#REF!</v>
      </c>
      <c r="AJ265" s="59" t="e">
        <f>+'Proyectos Base digitable'!#REF!</f>
        <v>#REF!</v>
      </c>
      <c r="AK265" s="186" t="e">
        <f>+'Proyectos Base digitable'!#REF!</f>
        <v>#REF!</v>
      </c>
      <c r="AL265" s="186" t="e">
        <f>+'Proyectos Base digitable'!#REF!</f>
        <v>#REF!</v>
      </c>
      <c r="AM265" s="186" t="e">
        <f>+'Proyectos Base digitable'!#REF!</f>
        <v>#REF!</v>
      </c>
      <c r="AN265" s="186" t="e">
        <f>+'Proyectos Base digitable'!#REF!</f>
        <v>#REF!</v>
      </c>
      <c r="AO265" s="186" t="e">
        <f>+'Proyectos Base digitable'!#REF!</f>
        <v>#REF!</v>
      </c>
      <c r="AP265" s="186" t="e">
        <f>+'Proyectos Base digitable'!#REF!</f>
        <v>#REF!</v>
      </c>
      <c r="AQ265" s="186" t="e">
        <f>+'Proyectos Base digitable'!#REF!</f>
        <v>#REF!</v>
      </c>
      <c r="AR265" s="186" t="e">
        <f>+'Proyectos Base digitable'!#REF!</f>
        <v>#REF!</v>
      </c>
      <c r="AS265" s="186" t="e">
        <f>+'Proyectos Base digitable'!#REF!</f>
        <v>#REF!</v>
      </c>
      <c r="AT265" s="187" t="e">
        <f>+'Proyectos Base digitable'!#REF!</f>
        <v>#REF!</v>
      </c>
      <c r="AU265" s="56" t="e">
        <f>+'Proyectos Base digitable'!#REF!</f>
        <v>#REF!</v>
      </c>
      <c r="AV265" s="56" t="e">
        <f>+'Proyectos Base digitable'!#REF!</f>
        <v>#REF!</v>
      </c>
      <c r="AW265" s="56" t="e">
        <f>+'Proyectos Base digitable'!#REF!</f>
        <v>#REF!</v>
      </c>
      <c r="AX265" s="56" t="e">
        <f>+'Proyectos Base digitable'!#REF!</f>
        <v>#REF!</v>
      </c>
      <c r="AY265" s="56" t="e">
        <f>+'Proyectos Base digitable'!#REF!</f>
        <v>#REF!</v>
      </c>
      <c r="AZ265" s="188" t="e">
        <f>+'Proyectos Base digitable'!#REF!</f>
        <v>#REF!</v>
      </c>
      <c r="BA265" s="188" t="e">
        <f>+'Proyectos Base digitable'!#REF!</f>
        <v>#REF!</v>
      </c>
    </row>
    <row r="266" spans="1:53" ht="13.5" customHeight="1">
      <c r="A266" s="60" t="e">
        <f>+'Proyectos Base digitable'!#REF!</f>
        <v>#REF!</v>
      </c>
      <c r="B266" s="56" t="e">
        <f>+'Proyectos Base digitable'!#REF!</f>
        <v>#REF!</v>
      </c>
      <c r="C266" s="56" t="e">
        <f>+'Proyectos Base digitable'!#REF!</f>
        <v>#REF!</v>
      </c>
      <c r="D266" s="56" t="e">
        <f>+'Proyectos Base digitable'!#REF!</f>
        <v>#REF!</v>
      </c>
      <c r="E266" s="56" t="e">
        <f>+'Proyectos Base digitable'!#REF!</f>
        <v>#REF!</v>
      </c>
      <c r="F266" s="56" t="e">
        <f>+'Proyectos Base digitable'!#REF!</f>
        <v>#REF!</v>
      </c>
      <c r="G266" s="57" t="e">
        <f>+'Proyectos Base digitable'!#REF!</f>
        <v>#REF!</v>
      </c>
      <c r="H266" s="56" t="e">
        <f>+'Proyectos Base digitable'!#REF!</f>
        <v>#REF!</v>
      </c>
      <c r="I266" s="56" t="e">
        <f>+'Proyectos Base digitable'!#REF!</f>
        <v>#REF!</v>
      </c>
      <c r="J266" s="56" t="e">
        <f>+'Proyectos Base digitable'!#REF!</f>
        <v>#REF!</v>
      </c>
      <c r="K266" s="56" t="e">
        <f>+'Proyectos Base digitable'!#REF!</f>
        <v>#REF!</v>
      </c>
      <c r="L266" s="56" t="e">
        <f>+'Proyectos Base digitable'!#REF!</f>
        <v>#REF!</v>
      </c>
      <c r="M266" s="56" t="e">
        <f>+'Proyectos Base digitable'!#REF!</f>
        <v>#REF!</v>
      </c>
      <c r="N266" s="52" t="e">
        <f>+'Proyectos Base digitable'!#REF!</f>
        <v>#REF!</v>
      </c>
      <c r="O266" s="52" t="e">
        <f>+'Proyectos Base digitable'!#REF!</f>
        <v>#REF!</v>
      </c>
      <c r="P266" s="185" t="e">
        <f>+'Proyectos Base digitable'!#REF!</f>
        <v>#REF!</v>
      </c>
      <c r="Q266" s="58" t="e">
        <f>+'Proyectos Base digitable'!#REF!</f>
        <v>#REF!</v>
      </c>
      <c r="R266" s="58" t="e">
        <f>+'Proyectos Base digitable'!#REF!</f>
        <v>#REF!</v>
      </c>
      <c r="S266" s="58" t="e">
        <f>+'Proyectos Base digitable'!#REF!</f>
        <v>#REF!</v>
      </c>
      <c r="T266" s="58" t="e">
        <f>+'Proyectos Base digitable'!#REF!</f>
        <v>#REF!</v>
      </c>
      <c r="U266" s="63" t="e">
        <f>'Proyectos Base digitable'!#REF!</f>
        <v>#REF!</v>
      </c>
      <c r="V266" s="63" t="e">
        <f>'Proyectos Base digitable'!#REF!</f>
        <v>#REF!</v>
      </c>
      <c r="W266" s="63" t="e">
        <f>'Proyectos Base digitable'!#REF!</f>
        <v>#REF!</v>
      </c>
      <c r="X266" s="63" t="e">
        <f>'Proyectos Base digitable'!#REF!</f>
        <v>#REF!</v>
      </c>
      <c r="Y266" s="63" t="e">
        <f>'Proyectos Base digitable'!#REF!</f>
        <v>#REF!</v>
      </c>
      <c r="Z266" s="58" t="e">
        <f>+'Proyectos Base digitable'!#REF!</f>
        <v>#REF!</v>
      </c>
      <c r="AA266" s="58" t="e">
        <f>+'Proyectos Base digitable'!#REF!</f>
        <v>#REF!</v>
      </c>
      <c r="AB266" s="63" t="e">
        <f>'Proyectos Base digitable'!#REF!</f>
        <v>#REF!</v>
      </c>
      <c r="AC266" s="56" t="e">
        <f>+'Proyectos Base digitable'!#REF!</f>
        <v>#REF!</v>
      </c>
      <c r="AD266" s="52" t="e">
        <f>+'Proyectos Base digitable'!#REF!</f>
        <v>#REF!</v>
      </c>
      <c r="AE266" s="52" t="e">
        <f>+'Proyectos Base digitable'!#REF!</f>
        <v>#REF!</v>
      </c>
      <c r="AF266" s="52" t="e">
        <f>+'Proyectos Base digitable'!#REF!</f>
        <v>#REF!</v>
      </c>
      <c r="AG266" s="56" t="e">
        <f>+'Proyectos Base digitable'!#REF!</f>
        <v>#REF!</v>
      </c>
      <c r="AH266" s="52" t="e">
        <f>+'Proyectos Base digitable'!#REF!</f>
        <v>#REF!</v>
      </c>
      <c r="AI266" s="52" t="e">
        <f>+'Proyectos Base digitable'!#REF!</f>
        <v>#REF!</v>
      </c>
      <c r="AJ266" s="59" t="e">
        <f>+'Proyectos Base digitable'!#REF!</f>
        <v>#REF!</v>
      </c>
      <c r="AK266" s="186" t="e">
        <f>+'Proyectos Base digitable'!#REF!</f>
        <v>#REF!</v>
      </c>
      <c r="AL266" s="186" t="e">
        <f>+'Proyectos Base digitable'!#REF!</f>
        <v>#REF!</v>
      </c>
      <c r="AM266" s="186" t="e">
        <f>+'Proyectos Base digitable'!#REF!</f>
        <v>#REF!</v>
      </c>
      <c r="AN266" s="186" t="e">
        <f>+'Proyectos Base digitable'!#REF!</f>
        <v>#REF!</v>
      </c>
      <c r="AO266" s="186" t="e">
        <f>+'Proyectos Base digitable'!#REF!</f>
        <v>#REF!</v>
      </c>
      <c r="AP266" s="186" t="e">
        <f>+'Proyectos Base digitable'!#REF!</f>
        <v>#REF!</v>
      </c>
      <c r="AQ266" s="186" t="e">
        <f>+'Proyectos Base digitable'!#REF!</f>
        <v>#REF!</v>
      </c>
      <c r="AR266" s="186" t="e">
        <f>+'Proyectos Base digitable'!#REF!</f>
        <v>#REF!</v>
      </c>
      <c r="AS266" s="186" t="e">
        <f>+'Proyectos Base digitable'!#REF!</f>
        <v>#REF!</v>
      </c>
      <c r="AT266" s="187" t="e">
        <f>+'Proyectos Base digitable'!#REF!</f>
        <v>#REF!</v>
      </c>
      <c r="AU266" s="56" t="e">
        <f>+'Proyectos Base digitable'!#REF!</f>
        <v>#REF!</v>
      </c>
      <c r="AV266" s="56" t="e">
        <f>+'Proyectos Base digitable'!#REF!</f>
        <v>#REF!</v>
      </c>
      <c r="AW266" s="56" t="e">
        <f>+'Proyectos Base digitable'!#REF!</f>
        <v>#REF!</v>
      </c>
      <c r="AX266" s="56" t="e">
        <f>+'Proyectos Base digitable'!#REF!</f>
        <v>#REF!</v>
      </c>
      <c r="AY266" s="56" t="e">
        <f>+'Proyectos Base digitable'!#REF!</f>
        <v>#REF!</v>
      </c>
      <c r="AZ266" s="188" t="e">
        <f>+'Proyectos Base digitable'!#REF!</f>
        <v>#REF!</v>
      </c>
      <c r="BA266" s="188" t="e">
        <f>+'Proyectos Base digitable'!#REF!</f>
        <v>#REF!</v>
      </c>
    </row>
    <row r="267" spans="1:53" ht="13.5" customHeight="1">
      <c r="A267" s="60" t="e">
        <f>+'Proyectos Base digitable'!#REF!</f>
        <v>#REF!</v>
      </c>
      <c r="B267" s="56" t="e">
        <f>+'Proyectos Base digitable'!#REF!</f>
        <v>#REF!</v>
      </c>
      <c r="C267" s="56" t="e">
        <f>+'Proyectos Base digitable'!#REF!</f>
        <v>#REF!</v>
      </c>
      <c r="D267" s="56" t="e">
        <f>+'Proyectos Base digitable'!#REF!</f>
        <v>#REF!</v>
      </c>
      <c r="E267" s="56" t="e">
        <f>+'Proyectos Base digitable'!#REF!</f>
        <v>#REF!</v>
      </c>
      <c r="F267" s="56" t="e">
        <f>+'Proyectos Base digitable'!#REF!</f>
        <v>#REF!</v>
      </c>
      <c r="G267" s="57" t="e">
        <f>+'Proyectos Base digitable'!#REF!</f>
        <v>#REF!</v>
      </c>
      <c r="H267" s="56" t="e">
        <f>+'Proyectos Base digitable'!#REF!</f>
        <v>#REF!</v>
      </c>
      <c r="I267" s="56" t="e">
        <f>+'Proyectos Base digitable'!#REF!</f>
        <v>#REF!</v>
      </c>
      <c r="J267" s="56" t="e">
        <f>+'Proyectos Base digitable'!#REF!</f>
        <v>#REF!</v>
      </c>
      <c r="K267" s="56" t="e">
        <f>+'Proyectos Base digitable'!#REF!</f>
        <v>#REF!</v>
      </c>
      <c r="L267" s="56" t="e">
        <f>+'Proyectos Base digitable'!#REF!</f>
        <v>#REF!</v>
      </c>
      <c r="M267" s="56" t="e">
        <f>+'Proyectos Base digitable'!#REF!</f>
        <v>#REF!</v>
      </c>
      <c r="N267" s="52" t="e">
        <f>+'Proyectos Base digitable'!#REF!</f>
        <v>#REF!</v>
      </c>
      <c r="O267" s="52" t="e">
        <f>+'Proyectos Base digitable'!#REF!</f>
        <v>#REF!</v>
      </c>
      <c r="P267" s="185" t="e">
        <f>+'Proyectos Base digitable'!#REF!</f>
        <v>#REF!</v>
      </c>
      <c r="Q267" s="58" t="e">
        <f>+'Proyectos Base digitable'!#REF!</f>
        <v>#REF!</v>
      </c>
      <c r="R267" s="58" t="e">
        <f>+'Proyectos Base digitable'!#REF!</f>
        <v>#REF!</v>
      </c>
      <c r="S267" s="58" t="e">
        <f>+'Proyectos Base digitable'!#REF!</f>
        <v>#REF!</v>
      </c>
      <c r="T267" s="58" t="e">
        <f>+'Proyectos Base digitable'!#REF!</f>
        <v>#REF!</v>
      </c>
      <c r="U267" s="63" t="e">
        <f>'Proyectos Base digitable'!#REF!</f>
        <v>#REF!</v>
      </c>
      <c r="V267" s="63" t="e">
        <f>'Proyectos Base digitable'!#REF!</f>
        <v>#REF!</v>
      </c>
      <c r="W267" s="63" t="e">
        <f>'Proyectos Base digitable'!#REF!</f>
        <v>#REF!</v>
      </c>
      <c r="X267" s="63" t="e">
        <f>'Proyectos Base digitable'!#REF!</f>
        <v>#REF!</v>
      </c>
      <c r="Y267" s="63" t="e">
        <f>'Proyectos Base digitable'!#REF!</f>
        <v>#REF!</v>
      </c>
      <c r="Z267" s="58" t="e">
        <f>+'Proyectos Base digitable'!#REF!</f>
        <v>#REF!</v>
      </c>
      <c r="AA267" s="58" t="e">
        <f>+'Proyectos Base digitable'!#REF!</f>
        <v>#REF!</v>
      </c>
      <c r="AB267" s="63" t="e">
        <f>'Proyectos Base digitable'!#REF!</f>
        <v>#REF!</v>
      </c>
      <c r="AC267" s="56" t="e">
        <f>+'Proyectos Base digitable'!#REF!</f>
        <v>#REF!</v>
      </c>
      <c r="AD267" s="52" t="e">
        <f>+'Proyectos Base digitable'!#REF!</f>
        <v>#REF!</v>
      </c>
      <c r="AE267" s="52" t="e">
        <f>+'Proyectos Base digitable'!#REF!</f>
        <v>#REF!</v>
      </c>
      <c r="AF267" s="52" t="e">
        <f>+'Proyectos Base digitable'!#REF!</f>
        <v>#REF!</v>
      </c>
      <c r="AG267" s="56" t="e">
        <f>+'Proyectos Base digitable'!#REF!</f>
        <v>#REF!</v>
      </c>
      <c r="AH267" s="52" t="e">
        <f>+'Proyectos Base digitable'!#REF!</f>
        <v>#REF!</v>
      </c>
      <c r="AI267" s="52" t="e">
        <f>+'Proyectos Base digitable'!#REF!</f>
        <v>#REF!</v>
      </c>
      <c r="AJ267" s="59" t="e">
        <f>+'Proyectos Base digitable'!#REF!</f>
        <v>#REF!</v>
      </c>
      <c r="AK267" s="186" t="e">
        <f>+'Proyectos Base digitable'!#REF!</f>
        <v>#REF!</v>
      </c>
      <c r="AL267" s="186" t="e">
        <f>+'Proyectos Base digitable'!#REF!</f>
        <v>#REF!</v>
      </c>
      <c r="AM267" s="186" t="e">
        <f>+'Proyectos Base digitable'!#REF!</f>
        <v>#REF!</v>
      </c>
      <c r="AN267" s="186" t="e">
        <f>+'Proyectos Base digitable'!#REF!</f>
        <v>#REF!</v>
      </c>
      <c r="AO267" s="186" t="e">
        <f>+'Proyectos Base digitable'!#REF!</f>
        <v>#REF!</v>
      </c>
      <c r="AP267" s="186" t="e">
        <f>+'Proyectos Base digitable'!#REF!</f>
        <v>#REF!</v>
      </c>
      <c r="AQ267" s="186" t="e">
        <f>+'Proyectos Base digitable'!#REF!</f>
        <v>#REF!</v>
      </c>
      <c r="AR267" s="186" t="e">
        <f>+'Proyectos Base digitable'!#REF!</f>
        <v>#REF!</v>
      </c>
      <c r="AS267" s="186" t="e">
        <f>+'Proyectos Base digitable'!#REF!</f>
        <v>#REF!</v>
      </c>
      <c r="AT267" s="187" t="e">
        <f>+'Proyectos Base digitable'!#REF!</f>
        <v>#REF!</v>
      </c>
      <c r="AU267" s="56" t="e">
        <f>+'Proyectos Base digitable'!#REF!</f>
        <v>#REF!</v>
      </c>
      <c r="AV267" s="56" t="e">
        <f>+'Proyectos Base digitable'!#REF!</f>
        <v>#REF!</v>
      </c>
      <c r="AW267" s="56" t="e">
        <f>+'Proyectos Base digitable'!#REF!</f>
        <v>#REF!</v>
      </c>
      <c r="AX267" s="56" t="e">
        <f>+'Proyectos Base digitable'!#REF!</f>
        <v>#REF!</v>
      </c>
      <c r="AY267" s="56" t="e">
        <f>+'Proyectos Base digitable'!#REF!</f>
        <v>#REF!</v>
      </c>
      <c r="AZ267" s="188" t="e">
        <f>+'Proyectos Base digitable'!#REF!</f>
        <v>#REF!</v>
      </c>
      <c r="BA267" s="188" t="e">
        <f>+'Proyectos Base digitable'!#REF!</f>
        <v>#REF!</v>
      </c>
    </row>
    <row r="268" spans="1:53" ht="13.5" customHeight="1">
      <c r="A268" s="60" t="e">
        <f>+'Proyectos Base digitable'!#REF!</f>
        <v>#REF!</v>
      </c>
      <c r="B268" s="56" t="e">
        <f>+'Proyectos Base digitable'!#REF!</f>
        <v>#REF!</v>
      </c>
      <c r="C268" s="56" t="e">
        <f>+'Proyectos Base digitable'!#REF!</f>
        <v>#REF!</v>
      </c>
      <c r="D268" s="56" t="e">
        <f>+'Proyectos Base digitable'!#REF!</f>
        <v>#REF!</v>
      </c>
      <c r="E268" s="56" t="e">
        <f>+'Proyectos Base digitable'!#REF!</f>
        <v>#REF!</v>
      </c>
      <c r="F268" s="56" t="e">
        <f>+'Proyectos Base digitable'!#REF!</f>
        <v>#REF!</v>
      </c>
      <c r="G268" s="57" t="e">
        <f>+'Proyectos Base digitable'!#REF!</f>
        <v>#REF!</v>
      </c>
      <c r="H268" s="56" t="e">
        <f>+'Proyectos Base digitable'!#REF!</f>
        <v>#REF!</v>
      </c>
      <c r="I268" s="56" t="e">
        <f>+'Proyectos Base digitable'!#REF!</f>
        <v>#REF!</v>
      </c>
      <c r="J268" s="56" t="e">
        <f>+'Proyectos Base digitable'!#REF!</f>
        <v>#REF!</v>
      </c>
      <c r="K268" s="56" t="e">
        <f>+'Proyectos Base digitable'!#REF!</f>
        <v>#REF!</v>
      </c>
      <c r="L268" s="56" t="e">
        <f>+'Proyectos Base digitable'!#REF!</f>
        <v>#REF!</v>
      </c>
      <c r="M268" s="56" t="e">
        <f>+'Proyectos Base digitable'!#REF!</f>
        <v>#REF!</v>
      </c>
      <c r="N268" s="52" t="e">
        <f>+'Proyectos Base digitable'!#REF!</f>
        <v>#REF!</v>
      </c>
      <c r="O268" s="52" t="e">
        <f>+'Proyectos Base digitable'!#REF!</f>
        <v>#REF!</v>
      </c>
      <c r="P268" s="185" t="e">
        <f>+'Proyectos Base digitable'!#REF!</f>
        <v>#REF!</v>
      </c>
      <c r="Q268" s="58" t="e">
        <f>+'Proyectos Base digitable'!#REF!</f>
        <v>#REF!</v>
      </c>
      <c r="R268" s="58" t="e">
        <f>+'Proyectos Base digitable'!#REF!</f>
        <v>#REF!</v>
      </c>
      <c r="S268" s="58" t="e">
        <f>+'Proyectos Base digitable'!#REF!</f>
        <v>#REF!</v>
      </c>
      <c r="T268" s="58" t="e">
        <f>+'Proyectos Base digitable'!#REF!</f>
        <v>#REF!</v>
      </c>
      <c r="U268" s="63" t="e">
        <f>'Proyectos Base digitable'!#REF!</f>
        <v>#REF!</v>
      </c>
      <c r="V268" s="63" t="e">
        <f>'Proyectos Base digitable'!#REF!</f>
        <v>#REF!</v>
      </c>
      <c r="W268" s="63" t="e">
        <f>'Proyectos Base digitable'!#REF!</f>
        <v>#REF!</v>
      </c>
      <c r="X268" s="63" t="e">
        <f>'Proyectos Base digitable'!#REF!</f>
        <v>#REF!</v>
      </c>
      <c r="Y268" s="63" t="e">
        <f>'Proyectos Base digitable'!#REF!</f>
        <v>#REF!</v>
      </c>
      <c r="Z268" s="58" t="e">
        <f>+'Proyectos Base digitable'!#REF!</f>
        <v>#REF!</v>
      </c>
      <c r="AA268" s="58" t="e">
        <f>+'Proyectos Base digitable'!#REF!</f>
        <v>#REF!</v>
      </c>
      <c r="AB268" s="63" t="e">
        <f>'Proyectos Base digitable'!#REF!</f>
        <v>#REF!</v>
      </c>
      <c r="AC268" s="56" t="e">
        <f>+'Proyectos Base digitable'!#REF!</f>
        <v>#REF!</v>
      </c>
      <c r="AD268" s="52" t="e">
        <f>+'Proyectos Base digitable'!#REF!</f>
        <v>#REF!</v>
      </c>
      <c r="AE268" s="52" t="e">
        <f>+'Proyectos Base digitable'!#REF!</f>
        <v>#REF!</v>
      </c>
      <c r="AF268" s="52" t="e">
        <f>+'Proyectos Base digitable'!#REF!</f>
        <v>#REF!</v>
      </c>
      <c r="AG268" s="56" t="e">
        <f>+'Proyectos Base digitable'!#REF!</f>
        <v>#REF!</v>
      </c>
      <c r="AH268" s="52" t="e">
        <f>+'Proyectos Base digitable'!#REF!</f>
        <v>#REF!</v>
      </c>
      <c r="AI268" s="52" t="e">
        <f>+'Proyectos Base digitable'!#REF!</f>
        <v>#REF!</v>
      </c>
      <c r="AJ268" s="59" t="e">
        <f>+'Proyectos Base digitable'!#REF!</f>
        <v>#REF!</v>
      </c>
      <c r="AK268" s="186" t="e">
        <f>+'Proyectos Base digitable'!#REF!</f>
        <v>#REF!</v>
      </c>
      <c r="AL268" s="186" t="e">
        <f>+'Proyectos Base digitable'!#REF!</f>
        <v>#REF!</v>
      </c>
      <c r="AM268" s="186" t="e">
        <f>+'Proyectos Base digitable'!#REF!</f>
        <v>#REF!</v>
      </c>
      <c r="AN268" s="186" t="e">
        <f>+'Proyectos Base digitable'!#REF!</f>
        <v>#REF!</v>
      </c>
      <c r="AO268" s="186" t="e">
        <f>+'Proyectos Base digitable'!#REF!</f>
        <v>#REF!</v>
      </c>
      <c r="AP268" s="186" t="e">
        <f>+'Proyectos Base digitable'!#REF!</f>
        <v>#REF!</v>
      </c>
      <c r="AQ268" s="186" t="e">
        <f>+'Proyectos Base digitable'!#REF!</f>
        <v>#REF!</v>
      </c>
      <c r="AR268" s="186" t="e">
        <f>+'Proyectos Base digitable'!#REF!</f>
        <v>#REF!</v>
      </c>
      <c r="AS268" s="186" t="e">
        <f>+'Proyectos Base digitable'!#REF!</f>
        <v>#REF!</v>
      </c>
      <c r="AT268" s="187" t="e">
        <f>+'Proyectos Base digitable'!#REF!</f>
        <v>#REF!</v>
      </c>
      <c r="AU268" s="56" t="e">
        <f>+'Proyectos Base digitable'!#REF!</f>
        <v>#REF!</v>
      </c>
      <c r="AV268" s="56" t="e">
        <f>+'Proyectos Base digitable'!#REF!</f>
        <v>#REF!</v>
      </c>
      <c r="AW268" s="56" t="e">
        <f>+'Proyectos Base digitable'!#REF!</f>
        <v>#REF!</v>
      </c>
      <c r="AX268" s="56" t="e">
        <f>+'Proyectos Base digitable'!#REF!</f>
        <v>#REF!</v>
      </c>
      <c r="AY268" s="56" t="e">
        <f>+'Proyectos Base digitable'!#REF!</f>
        <v>#REF!</v>
      </c>
      <c r="AZ268" s="188" t="e">
        <f>+'Proyectos Base digitable'!#REF!</f>
        <v>#REF!</v>
      </c>
      <c r="BA268" s="188" t="e">
        <f>+'Proyectos Base digitable'!#REF!</f>
        <v>#REF!</v>
      </c>
    </row>
    <row r="269" spans="1:53" ht="13.5" customHeight="1">
      <c r="A269" s="60" t="e">
        <f>+'Proyectos Base digitable'!#REF!</f>
        <v>#REF!</v>
      </c>
      <c r="B269" s="56" t="e">
        <f>+'Proyectos Base digitable'!#REF!</f>
        <v>#REF!</v>
      </c>
      <c r="C269" s="56" t="e">
        <f>+'Proyectos Base digitable'!#REF!</f>
        <v>#REF!</v>
      </c>
      <c r="D269" s="56" t="e">
        <f>+'Proyectos Base digitable'!#REF!</f>
        <v>#REF!</v>
      </c>
      <c r="E269" s="56" t="e">
        <f>+'Proyectos Base digitable'!#REF!</f>
        <v>#REF!</v>
      </c>
      <c r="F269" s="56" t="e">
        <f>+'Proyectos Base digitable'!#REF!</f>
        <v>#REF!</v>
      </c>
      <c r="G269" s="57" t="e">
        <f>+'Proyectos Base digitable'!#REF!</f>
        <v>#REF!</v>
      </c>
      <c r="H269" s="56" t="e">
        <f>+'Proyectos Base digitable'!#REF!</f>
        <v>#REF!</v>
      </c>
      <c r="I269" s="56" t="e">
        <f>+'Proyectos Base digitable'!#REF!</f>
        <v>#REF!</v>
      </c>
      <c r="J269" s="56" t="e">
        <f>+'Proyectos Base digitable'!#REF!</f>
        <v>#REF!</v>
      </c>
      <c r="K269" s="56" t="e">
        <f>+'Proyectos Base digitable'!#REF!</f>
        <v>#REF!</v>
      </c>
      <c r="L269" s="56" t="e">
        <f>+'Proyectos Base digitable'!#REF!</f>
        <v>#REF!</v>
      </c>
      <c r="M269" s="56" t="e">
        <f>+'Proyectos Base digitable'!#REF!</f>
        <v>#REF!</v>
      </c>
      <c r="N269" s="52" t="e">
        <f>+'Proyectos Base digitable'!#REF!</f>
        <v>#REF!</v>
      </c>
      <c r="O269" s="52" t="e">
        <f>+'Proyectos Base digitable'!#REF!</f>
        <v>#REF!</v>
      </c>
      <c r="P269" s="185" t="e">
        <f>+'Proyectos Base digitable'!#REF!</f>
        <v>#REF!</v>
      </c>
      <c r="Q269" s="58" t="e">
        <f>+'Proyectos Base digitable'!#REF!</f>
        <v>#REF!</v>
      </c>
      <c r="R269" s="58" t="e">
        <f>+'Proyectos Base digitable'!#REF!</f>
        <v>#REF!</v>
      </c>
      <c r="S269" s="58" t="e">
        <f>+'Proyectos Base digitable'!#REF!</f>
        <v>#REF!</v>
      </c>
      <c r="T269" s="58" t="e">
        <f>+'Proyectos Base digitable'!#REF!</f>
        <v>#REF!</v>
      </c>
      <c r="U269" s="63" t="e">
        <f>'Proyectos Base digitable'!#REF!</f>
        <v>#REF!</v>
      </c>
      <c r="V269" s="63" t="e">
        <f>'Proyectos Base digitable'!#REF!</f>
        <v>#REF!</v>
      </c>
      <c r="W269" s="63" t="e">
        <f>'Proyectos Base digitable'!#REF!</f>
        <v>#REF!</v>
      </c>
      <c r="X269" s="63" t="e">
        <f>'Proyectos Base digitable'!#REF!</f>
        <v>#REF!</v>
      </c>
      <c r="Y269" s="63" t="e">
        <f>'Proyectos Base digitable'!#REF!</f>
        <v>#REF!</v>
      </c>
      <c r="Z269" s="58" t="e">
        <f>+'Proyectos Base digitable'!#REF!</f>
        <v>#REF!</v>
      </c>
      <c r="AA269" s="58" t="e">
        <f>+'Proyectos Base digitable'!#REF!</f>
        <v>#REF!</v>
      </c>
      <c r="AB269" s="63" t="e">
        <f>'Proyectos Base digitable'!#REF!</f>
        <v>#REF!</v>
      </c>
      <c r="AC269" s="56" t="e">
        <f>+'Proyectos Base digitable'!#REF!</f>
        <v>#REF!</v>
      </c>
      <c r="AD269" s="52" t="e">
        <f>+'Proyectos Base digitable'!#REF!</f>
        <v>#REF!</v>
      </c>
      <c r="AE269" s="52" t="e">
        <f>+'Proyectos Base digitable'!#REF!</f>
        <v>#REF!</v>
      </c>
      <c r="AF269" s="52" t="e">
        <f>+'Proyectos Base digitable'!#REF!</f>
        <v>#REF!</v>
      </c>
      <c r="AG269" s="56" t="e">
        <f>+'Proyectos Base digitable'!#REF!</f>
        <v>#REF!</v>
      </c>
      <c r="AH269" s="52" t="e">
        <f>+'Proyectos Base digitable'!#REF!</f>
        <v>#REF!</v>
      </c>
      <c r="AI269" s="52" t="e">
        <f>+'Proyectos Base digitable'!#REF!</f>
        <v>#REF!</v>
      </c>
      <c r="AJ269" s="59" t="e">
        <f>+'Proyectos Base digitable'!#REF!</f>
        <v>#REF!</v>
      </c>
      <c r="AK269" s="186" t="e">
        <f>+'Proyectos Base digitable'!#REF!</f>
        <v>#REF!</v>
      </c>
      <c r="AL269" s="186" t="e">
        <f>+'Proyectos Base digitable'!#REF!</f>
        <v>#REF!</v>
      </c>
      <c r="AM269" s="186" t="e">
        <f>+'Proyectos Base digitable'!#REF!</f>
        <v>#REF!</v>
      </c>
      <c r="AN269" s="186" t="e">
        <f>+'Proyectos Base digitable'!#REF!</f>
        <v>#REF!</v>
      </c>
      <c r="AO269" s="186" t="e">
        <f>+'Proyectos Base digitable'!#REF!</f>
        <v>#REF!</v>
      </c>
      <c r="AP269" s="186" t="e">
        <f>+'Proyectos Base digitable'!#REF!</f>
        <v>#REF!</v>
      </c>
      <c r="AQ269" s="186" t="e">
        <f>+'Proyectos Base digitable'!#REF!</f>
        <v>#REF!</v>
      </c>
      <c r="AR269" s="186" t="e">
        <f>+'Proyectos Base digitable'!#REF!</f>
        <v>#REF!</v>
      </c>
      <c r="AS269" s="186" t="e">
        <f>+'Proyectos Base digitable'!#REF!</f>
        <v>#REF!</v>
      </c>
      <c r="AT269" s="187" t="e">
        <f>+'Proyectos Base digitable'!#REF!</f>
        <v>#REF!</v>
      </c>
      <c r="AU269" s="56" t="e">
        <f>+'Proyectos Base digitable'!#REF!</f>
        <v>#REF!</v>
      </c>
      <c r="AV269" s="56" t="e">
        <f>+'Proyectos Base digitable'!#REF!</f>
        <v>#REF!</v>
      </c>
      <c r="AW269" s="56" t="e">
        <f>+'Proyectos Base digitable'!#REF!</f>
        <v>#REF!</v>
      </c>
      <c r="AX269" s="56" t="e">
        <f>+'Proyectos Base digitable'!#REF!</f>
        <v>#REF!</v>
      </c>
      <c r="AY269" s="56" t="e">
        <f>+'Proyectos Base digitable'!#REF!</f>
        <v>#REF!</v>
      </c>
      <c r="AZ269" s="188" t="e">
        <f>+'Proyectos Base digitable'!#REF!</f>
        <v>#REF!</v>
      </c>
      <c r="BA269" s="188" t="e">
        <f>+'Proyectos Base digitable'!#REF!</f>
        <v>#REF!</v>
      </c>
    </row>
    <row r="270" spans="1:53" ht="13.5" customHeight="1">
      <c r="A270" s="60" t="e">
        <f>+'Proyectos Base digitable'!#REF!</f>
        <v>#REF!</v>
      </c>
      <c r="B270" s="56" t="e">
        <f>+'Proyectos Base digitable'!#REF!</f>
        <v>#REF!</v>
      </c>
      <c r="C270" s="56" t="e">
        <f>+'Proyectos Base digitable'!#REF!</f>
        <v>#REF!</v>
      </c>
      <c r="D270" s="56" t="e">
        <f>+'Proyectos Base digitable'!#REF!</f>
        <v>#REF!</v>
      </c>
      <c r="E270" s="56" t="e">
        <f>+'Proyectos Base digitable'!#REF!</f>
        <v>#REF!</v>
      </c>
      <c r="F270" s="56" t="e">
        <f>+'Proyectos Base digitable'!#REF!</f>
        <v>#REF!</v>
      </c>
      <c r="G270" s="57" t="e">
        <f>+'Proyectos Base digitable'!#REF!</f>
        <v>#REF!</v>
      </c>
      <c r="H270" s="56" t="e">
        <f>+'Proyectos Base digitable'!#REF!</f>
        <v>#REF!</v>
      </c>
      <c r="I270" s="56" t="e">
        <f>+'Proyectos Base digitable'!#REF!</f>
        <v>#REF!</v>
      </c>
      <c r="J270" s="56" t="e">
        <f>+'Proyectos Base digitable'!#REF!</f>
        <v>#REF!</v>
      </c>
      <c r="K270" s="56" t="e">
        <f>+'Proyectos Base digitable'!#REF!</f>
        <v>#REF!</v>
      </c>
      <c r="L270" s="56" t="e">
        <f>+'Proyectos Base digitable'!#REF!</f>
        <v>#REF!</v>
      </c>
      <c r="M270" s="56" t="e">
        <f>+'Proyectos Base digitable'!#REF!</f>
        <v>#REF!</v>
      </c>
      <c r="N270" s="52" t="e">
        <f>+'Proyectos Base digitable'!#REF!</f>
        <v>#REF!</v>
      </c>
      <c r="O270" s="52" t="e">
        <f>+'Proyectos Base digitable'!#REF!</f>
        <v>#REF!</v>
      </c>
      <c r="P270" s="185" t="e">
        <f>+'Proyectos Base digitable'!#REF!</f>
        <v>#REF!</v>
      </c>
      <c r="Q270" s="58" t="e">
        <f>+'Proyectos Base digitable'!#REF!</f>
        <v>#REF!</v>
      </c>
      <c r="R270" s="58" t="e">
        <f>+'Proyectos Base digitable'!#REF!</f>
        <v>#REF!</v>
      </c>
      <c r="S270" s="58" t="e">
        <f>+'Proyectos Base digitable'!#REF!</f>
        <v>#REF!</v>
      </c>
      <c r="T270" s="58" t="e">
        <f>+'Proyectos Base digitable'!#REF!</f>
        <v>#REF!</v>
      </c>
      <c r="U270" s="63" t="e">
        <f>'Proyectos Base digitable'!#REF!</f>
        <v>#REF!</v>
      </c>
      <c r="V270" s="63" t="e">
        <f>'Proyectos Base digitable'!#REF!</f>
        <v>#REF!</v>
      </c>
      <c r="W270" s="63" t="e">
        <f>'Proyectos Base digitable'!#REF!</f>
        <v>#REF!</v>
      </c>
      <c r="X270" s="63" t="e">
        <f>'Proyectos Base digitable'!#REF!</f>
        <v>#REF!</v>
      </c>
      <c r="Y270" s="63" t="e">
        <f>'Proyectos Base digitable'!#REF!</f>
        <v>#REF!</v>
      </c>
      <c r="Z270" s="58" t="e">
        <f>+'Proyectos Base digitable'!#REF!</f>
        <v>#REF!</v>
      </c>
      <c r="AA270" s="58" t="e">
        <f>+'Proyectos Base digitable'!#REF!</f>
        <v>#REF!</v>
      </c>
      <c r="AB270" s="63" t="e">
        <f>'Proyectos Base digitable'!#REF!</f>
        <v>#REF!</v>
      </c>
      <c r="AC270" s="56" t="e">
        <f>+'Proyectos Base digitable'!#REF!</f>
        <v>#REF!</v>
      </c>
      <c r="AD270" s="52" t="e">
        <f>+'Proyectos Base digitable'!#REF!</f>
        <v>#REF!</v>
      </c>
      <c r="AE270" s="52" t="e">
        <f>+'Proyectos Base digitable'!#REF!</f>
        <v>#REF!</v>
      </c>
      <c r="AF270" s="52" t="e">
        <f>+'Proyectos Base digitable'!#REF!</f>
        <v>#REF!</v>
      </c>
      <c r="AG270" s="56" t="e">
        <f>+'Proyectos Base digitable'!#REF!</f>
        <v>#REF!</v>
      </c>
      <c r="AH270" s="52" t="e">
        <f>+'Proyectos Base digitable'!#REF!</f>
        <v>#REF!</v>
      </c>
      <c r="AI270" s="52" t="e">
        <f>+'Proyectos Base digitable'!#REF!</f>
        <v>#REF!</v>
      </c>
      <c r="AJ270" s="59" t="e">
        <f>+'Proyectos Base digitable'!#REF!</f>
        <v>#REF!</v>
      </c>
      <c r="AK270" s="186" t="e">
        <f>+'Proyectos Base digitable'!#REF!</f>
        <v>#REF!</v>
      </c>
      <c r="AL270" s="186" t="e">
        <f>+'Proyectos Base digitable'!#REF!</f>
        <v>#REF!</v>
      </c>
      <c r="AM270" s="186" t="e">
        <f>+'Proyectos Base digitable'!#REF!</f>
        <v>#REF!</v>
      </c>
      <c r="AN270" s="186" t="e">
        <f>+'Proyectos Base digitable'!#REF!</f>
        <v>#REF!</v>
      </c>
      <c r="AO270" s="186" t="e">
        <f>+'Proyectos Base digitable'!#REF!</f>
        <v>#REF!</v>
      </c>
      <c r="AP270" s="186" t="e">
        <f>+'Proyectos Base digitable'!#REF!</f>
        <v>#REF!</v>
      </c>
      <c r="AQ270" s="186" t="e">
        <f>+'Proyectos Base digitable'!#REF!</f>
        <v>#REF!</v>
      </c>
      <c r="AR270" s="186" t="e">
        <f>+'Proyectos Base digitable'!#REF!</f>
        <v>#REF!</v>
      </c>
      <c r="AS270" s="186" t="e">
        <f>+'Proyectos Base digitable'!#REF!</f>
        <v>#REF!</v>
      </c>
      <c r="AT270" s="187" t="e">
        <f>+'Proyectos Base digitable'!#REF!</f>
        <v>#REF!</v>
      </c>
      <c r="AU270" s="56" t="e">
        <f>+'Proyectos Base digitable'!#REF!</f>
        <v>#REF!</v>
      </c>
      <c r="AV270" s="56" t="e">
        <f>+'Proyectos Base digitable'!#REF!</f>
        <v>#REF!</v>
      </c>
      <c r="AW270" s="56" t="e">
        <f>+'Proyectos Base digitable'!#REF!</f>
        <v>#REF!</v>
      </c>
      <c r="AX270" s="56" t="e">
        <f>+'Proyectos Base digitable'!#REF!</f>
        <v>#REF!</v>
      </c>
      <c r="AY270" s="56" t="e">
        <f>+'Proyectos Base digitable'!#REF!</f>
        <v>#REF!</v>
      </c>
      <c r="AZ270" s="188" t="e">
        <f>+'Proyectos Base digitable'!#REF!</f>
        <v>#REF!</v>
      </c>
      <c r="BA270" s="188" t="e">
        <f>+'Proyectos Base digitable'!#REF!</f>
        <v>#REF!</v>
      </c>
    </row>
    <row r="271" spans="1:53" ht="13.5" customHeight="1">
      <c r="A271" s="60" t="e">
        <f>+'Proyectos Base digitable'!#REF!</f>
        <v>#REF!</v>
      </c>
      <c r="B271" s="56" t="e">
        <f>+'Proyectos Base digitable'!#REF!</f>
        <v>#REF!</v>
      </c>
      <c r="C271" s="56" t="e">
        <f>+'Proyectos Base digitable'!#REF!</f>
        <v>#REF!</v>
      </c>
      <c r="D271" s="56" t="e">
        <f>+'Proyectos Base digitable'!#REF!</f>
        <v>#REF!</v>
      </c>
      <c r="E271" s="56" t="e">
        <f>+'Proyectos Base digitable'!#REF!</f>
        <v>#REF!</v>
      </c>
      <c r="F271" s="56" t="e">
        <f>+'Proyectos Base digitable'!#REF!</f>
        <v>#REF!</v>
      </c>
      <c r="G271" s="57" t="e">
        <f>+'Proyectos Base digitable'!#REF!</f>
        <v>#REF!</v>
      </c>
      <c r="H271" s="56" t="e">
        <f>+'Proyectos Base digitable'!#REF!</f>
        <v>#REF!</v>
      </c>
      <c r="I271" s="56" t="e">
        <f>+'Proyectos Base digitable'!#REF!</f>
        <v>#REF!</v>
      </c>
      <c r="J271" s="56" t="e">
        <f>+'Proyectos Base digitable'!#REF!</f>
        <v>#REF!</v>
      </c>
      <c r="K271" s="56" t="e">
        <f>+'Proyectos Base digitable'!#REF!</f>
        <v>#REF!</v>
      </c>
      <c r="L271" s="56" t="e">
        <f>+'Proyectos Base digitable'!#REF!</f>
        <v>#REF!</v>
      </c>
      <c r="M271" s="56" t="e">
        <f>+'Proyectos Base digitable'!#REF!</f>
        <v>#REF!</v>
      </c>
      <c r="N271" s="52" t="e">
        <f>+'Proyectos Base digitable'!#REF!</f>
        <v>#REF!</v>
      </c>
      <c r="O271" s="52" t="e">
        <f>+'Proyectos Base digitable'!#REF!</f>
        <v>#REF!</v>
      </c>
      <c r="P271" s="185" t="e">
        <f>+'Proyectos Base digitable'!#REF!</f>
        <v>#REF!</v>
      </c>
      <c r="Q271" s="58" t="e">
        <f>+'Proyectos Base digitable'!#REF!</f>
        <v>#REF!</v>
      </c>
      <c r="R271" s="58" t="e">
        <f>+'Proyectos Base digitable'!#REF!</f>
        <v>#REF!</v>
      </c>
      <c r="S271" s="58" t="e">
        <f>+'Proyectos Base digitable'!#REF!</f>
        <v>#REF!</v>
      </c>
      <c r="T271" s="58" t="e">
        <f>+'Proyectos Base digitable'!#REF!</f>
        <v>#REF!</v>
      </c>
      <c r="U271" s="63" t="e">
        <f>'Proyectos Base digitable'!#REF!</f>
        <v>#REF!</v>
      </c>
      <c r="V271" s="63" t="e">
        <f>'Proyectos Base digitable'!#REF!</f>
        <v>#REF!</v>
      </c>
      <c r="W271" s="63" t="e">
        <f>'Proyectos Base digitable'!#REF!</f>
        <v>#REF!</v>
      </c>
      <c r="X271" s="63" t="e">
        <f>'Proyectos Base digitable'!#REF!</f>
        <v>#REF!</v>
      </c>
      <c r="Y271" s="63" t="e">
        <f>'Proyectos Base digitable'!#REF!</f>
        <v>#REF!</v>
      </c>
      <c r="Z271" s="58" t="e">
        <f>+'Proyectos Base digitable'!#REF!</f>
        <v>#REF!</v>
      </c>
      <c r="AA271" s="58" t="e">
        <f>+'Proyectos Base digitable'!#REF!</f>
        <v>#REF!</v>
      </c>
      <c r="AB271" s="63" t="e">
        <f>'Proyectos Base digitable'!#REF!</f>
        <v>#REF!</v>
      </c>
      <c r="AC271" s="56" t="e">
        <f>+'Proyectos Base digitable'!#REF!</f>
        <v>#REF!</v>
      </c>
      <c r="AD271" s="52" t="e">
        <f>+'Proyectos Base digitable'!#REF!</f>
        <v>#REF!</v>
      </c>
      <c r="AE271" s="52" t="e">
        <f>+'Proyectos Base digitable'!#REF!</f>
        <v>#REF!</v>
      </c>
      <c r="AF271" s="52" t="e">
        <f>+'Proyectos Base digitable'!#REF!</f>
        <v>#REF!</v>
      </c>
      <c r="AG271" s="56" t="e">
        <f>+'Proyectos Base digitable'!#REF!</f>
        <v>#REF!</v>
      </c>
      <c r="AH271" s="52" t="e">
        <f>+'Proyectos Base digitable'!#REF!</f>
        <v>#REF!</v>
      </c>
      <c r="AI271" s="52" t="e">
        <f>+'Proyectos Base digitable'!#REF!</f>
        <v>#REF!</v>
      </c>
      <c r="AJ271" s="59" t="e">
        <f>+'Proyectos Base digitable'!#REF!</f>
        <v>#REF!</v>
      </c>
      <c r="AK271" s="186" t="e">
        <f>+'Proyectos Base digitable'!#REF!</f>
        <v>#REF!</v>
      </c>
      <c r="AL271" s="186" t="e">
        <f>+'Proyectos Base digitable'!#REF!</f>
        <v>#REF!</v>
      </c>
      <c r="AM271" s="186" t="e">
        <f>+'Proyectos Base digitable'!#REF!</f>
        <v>#REF!</v>
      </c>
      <c r="AN271" s="186" t="e">
        <f>+'Proyectos Base digitable'!#REF!</f>
        <v>#REF!</v>
      </c>
      <c r="AO271" s="186" t="e">
        <f>+'Proyectos Base digitable'!#REF!</f>
        <v>#REF!</v>
      </c>
      <c r="AP271" s="186" t="e">
        <f>+'Proyectos Base digitable'!#REF!</f>
        <v>#REF!</v>
      </c>
      <c r="AQ271" s="186" t="e">
        <f>+'Proyectos Base digitable'!#REF!</f>
        <v>#REF!</v>
      </c>
      <c r="AR271" s="186" t="e">
        <f>+'Proyectos Base digitable'!#REF!</f>
        <v>#REF!</v>
      </c>
      <c r="AS271" s="186" t="e">
        <f>+'Proyectos Base digitable'!#REF!</f>
        <v>#REF!</v>
      </c>
      <c r="AT271" s="187" t="e">
        <f>+'Proyectos Base digitable'!#REF!</f>
        <v>#REF!</v>
      </c>
      <c r="AU271" s="56" t="e">
        <f>+'Proyectos Base digitable'!#REF!</f>
        <v>#REF!</v>
      </c>
      <c r="AV271" s="56" t="e">
        <f>+'Proyectos Base digitable'!#REF!</f>
        <v>#REF!</v>
      </c>
      <c r="AW271" s="56" t="e">
        <f>+'Proyectos Base digitable'!#REF!</f>
        <v>#REF!</v>
      </c>
      <c r="AX271" s="56" t="e">
        <f>+'Proyectos Base digitable'!#REF!</f>
        <v>#REF!</v>
      </c>
      <c r="AY271" s="56" t="e">
        <f>+'Proyectos Base digitable'!#REF!</f>
        <v>#REF!</v>
      </c>
      <c r="AZ271" s="188" t="e">
        <f>+'Proyectos Base digitable'!#REF!</f>
        <v>#REF!</v>
      </c>
      <c r="BA271" s="188" t="e">
        <f>+'Proyectos Base digitable'!#REF!</f>
        <v>#REF!</v>
      </c>
    </row>
    <row r="272" spans="1:53" ht="13.5" customHeight="1">
      <c r="A272" s="60" t="e">
        <f>+'Proyectos Base digitable'!#REF!</f>
        <v>#REF!</v>
      </c>
      <c r="B272" s="56" t="e">
        <f>+'Proyectos Base digitable'!#REF!</f>
        <v>#REF!</v>
      </c>
      <c r="C272" s="56" t="e">
        <f>+'Proyectos Base digitable'!#REF!</f>
        <v>#REF!</v>
      </c>
      <c r="D272" s="56" t="e">
        <f>+'Proyectos Base digitable'!#REF!</f>
        <v>#REF!</v>
      </c>
      <c r="E272" s="56" t="e">
        <f>+'Proyectos Base digitable'!#REF!</f>
        <v>#REF!</v>
      </c>
      <c r="F272" s="56" t="e">
        <f>+'Proyectos Base digitable'!#REF!</f>
        <v>#REF!</v>
      </c>
      <c r="G272" s="57" t="e">
        <f>+'Proyectos Base digitable'!#REF!</f>
        <v>#REF!</v>
      </c>
      <c r="H272" s="56" t="e">
        <f>+'Proyectos Base digitable'!#REF!</f>
        <v>#REF!</v>
      </c>
      <c r="I272" s="56" t="e">
        <f>+'Proyectos Base digitable'!#REF!</f>
        <v>#REF!</v>
      </c>
      <c r="J272" s="56" t="e">
        <f>+'Proyectos Base digitable'!#REF!</f>
        <v>#REF!</v>
      </c>
      <c r="K272" s="56" t="e">
        <f>+'Proyectos Base digitable'!#REF!</f>
        <v>#REF!</v>
      </c>
      <c r="L272" s="56" t="e">
        <f>+'Proyectos Base digitable'!#REF!</f>
        <v>#REF!</v>
      </c>
      <c r="M272" s="56" t="e">
        <f>+'Proyectos Base digitable'!#REF!</f>
        <v>#REF!</v>
      </c>
      <c r="N272" s="52" t="e">
        <f>+'Proyectos Base digitable'!#REF!</f>
        <v>#REF!</v>
      </c>
      <c r="O272" s="52" t="e">
        <f>+'Proyectos Base digitable'!#REF!</f>
        <v>#REF!</v>
      </c>
      <c r="P272" s="185" t="e">
        <f>+'Proyectos Base digitable'!#REF!</f>
        <v>#REF!</v>
      </c>
      <c r="Q272" s="58" t="e">
        <f>+'Proyectos Base digitable'!#REF!</f>
        <v>#REF!</v>
      </c>
      <c r="R272" s="58" t="e">
        <f>+'Proyectos Base digitable'!#REF!</f>
        <v>#REF!</v>
      </c>
      <c r="S272" s="58" t="e">
        <f>+'Proyectos Base digitable'!#REF!</f>
        <v>#REF!</v>
      </c>
      <c r="T272" s="58" t="e">
        <f>+'Proyectos Base digitable'!#REF!</f>
        <v>#REF!</v>
      </c>
      <c r="U272" s="63" t="e">
        <f>'Proyectos Base digitable'!#REF!</f>
        <v>#REF!</v>
      </c>
      <c r="V272" s="63" t="e">
        <f>'Proyectos Base digitable'!#REF!</f>
        <v>#REF!</v>
      </c>
      <c r="W272" s="63" t="e">
        <f>'Proyectos Base digitable'!#REF!</f>
        <v>#REF!</v>
      </c>
      <c r="X272" s="63" t="e">
        <f>'Proyectos Base digitable'!#REF!</f>
        <v>#REF!</v>
      </c>
      <c r="Y272" s="63" t="e">
        <f>'Proyectos Base digitable'!#REF!</f>
        <v>#REF!</v>
      </c>
      <c r="Z272" s="58" t="e">
        <f>+'Proyectos Base digitable'!#REF!</f>
        <v>#REF!</v>
      </c>
      <c r="AA272" s="58" t="e">
        <f>+'Proyectos Base digitable'!#REF!</f>
        <v>#REF!</v>
      </c>
      <c r="AB272" s="63" t="e">
        <f>'Proyectos Base digitable'!#REF!</f>
        <v>#REF!</v>
      </c>
      <c r="AC272" s="56" t="e">
        <f>+'Proyectos Base digitable'!#REF!</f>
        <v>#REF!</v>
      </c>
      <c r="AD272" s="52" t="e">
        <f>+'Proyectos Base digitable'!#REF!</f>
        <v>#REF!</v>
      </c>
      <c r="AE272" s="52" t="e">
        <f>+'Proyectos Base digitable'!#REF!</f>
        <v>#REF!</v>
      </c>
      <c r="AF272" s="52" t="e">
        <f>+'Proyectos Base digitable'!#REF!</f>
        <v>#REF!</v>
      </c>
      <c r="AG272" s="56" t="e">
        <f>+'Proyectos Base digitable'!#REF!</f>
        <v>#REF!</v>
      </c>
      <c r="AH272" s="52" t="e">
        <f>+'Proyectos Base digitable'!#REF!</f>
        <v>#REF!</v>
      </c>
      <c r="AI272" s="52" t="e">
        <f>+'Proyectos Base digitable'!#REF!</f>
        <v>#REF!</v>
      </c>
      <c r="AJ272" s="59" t="e">
        <f>+'Proyectos Base digitable'!#REF!</f>
        <v>#REF!</v>
      </c>
      <c r="AK272" s="186" t="e">
        <f>+'Proyectos Base digitable'!#REF!</f>
        <v>#REF!</v>
      </c>
      <c r="AL272" s="186" t="e">
        <f>+'Proyectos Base digitable'!#REF!</f>
        <v>#REF!</v>
      </c>
      <c r="AM272" s="186" t="e">
        <f>+'Proyectos Base digitable'!#REF!</f>
        <v>#REF!</v>
      </c>
      <c r="AN272" s="186" t="e">
        <f>+'Proyectos Base digitable'!#REF!</f>
        <v>#REF!</v>
      </c>
      <c r="AO272" s="186" t="e">
        <f>+'Proyectos Base digitable'!#REF!</f>
        <v>#REF!</v>
      </c>
      <c r="AP272" s="186" t="e">
        <f>+'Proyectos Base digitable'!#REF!</f>
        <v>#REF!</v>
      </c>
      <c r="AQ272" s="186" t="e">
        <f>+'Proyectos Base digitable'!#REF!</f>
        <v>#REF!</v>
      </c>
      <c r="AR272" s="186" t="e">
        <f>+'Proyectos Base digitable'!#REF!</f>
        <v>#REF!</v>
      </c>
      <c r="AS272" s="186" t="e">
        <f>+'Proyectos Base digitable'!#REF!</f>
        <v>#REF!</v>
      </c>
      <c r="AT272" s="187" t="e">
        <f>+'Proyectos Base digitable'!#REF!</f>
        <v>#REF!</v>
      </c>
      <c r="AU272" s="56" t="e">
        <f>+'Proyectos Base digitable'!#REF!</f>
        <v>#REF!</v>
      </c>
      <c r="AV272" s="56" t="e">
        <f>+'Proyectos Base digitable'!#REF!</f>
        <v>#REF!</v>
      </c>
      <c r="AW272" s="56" t="e">
        <f>+'Proyectos Base digitable'!#REF!</f>
        <v>#REF!</v>
      </c>
      <c r="AX272" s="56" t="e">
        <f>+'Proyectos Base digitable'!#REF!</f>
        <v>#REF!</v>
      </c>
      <c r="AY272" s="56" t="e">
        <f>+'Proyectos Base digitable'!#REF!</f>
        <v>#REF!</v>
      </c>
      <c r="AZ272" s="188" t="e">
        <f>+'Proyectos Base digitable'!#REF!</f>
        <v>#REF!</v>
      </c>
      <c r="BA272" s="188" t="e">
        <f>+'Proyectos Base digitable'!#REF!</f>
        <v>#REF!</v>
      </c>
    </row>
    <row r="273" spans="1:53" ht="13.5" customHeight="1">
      <c r="A273" s="60" t="e">
        <f>+'Proyectos Base digitable'!#REF!</f>
        <v>#REF!</v>
      </c>
      <c r="B273" s="56" t="e">
        <f>+'Proyectos Base digitable'!#REF!</f>
        <v>#REF!</v>
      </c>
      <c r="C273" s="56" t="e">
        <f>+'Proyectos Base digitable'!#REF!</f>
        <v>#REF!</v>
      </c>
      <c r="D273" s="56" t="e">
        <f>+'Proyectos Base digitable'!#REF!</f>
        <v>#REF!</v>
      </c>
      <c r="E273" s="56" t="e">
        <f>+'Proyectos Base digitable'!#REF!</f>
        <v>#REF!</v>
      </c>
      <c r="F273" s="56" t="e">
        <f>+'Proyectos Base digitable'!#REF!</f>
        <v>#REF!</v>
      </c>
      <c r="G273" s="57" t="e">
        <f>+'Proyectos Base digitable'!#REF!</f>
        <v>#REF!</v>
      </c>
      <c r="H273" s="56" t="e">
        <f>+'Proyectos Base digitable'!#REF!</f>
        <v>#REF!</v>
      </c>
      <c r="I273" s="56" t="e">
        <f>+'Proyectos Base digitable'!#REF!</f>
        <v>#REF!</v>
      </c>
      <c r="J273" s="56" t="e">
        <f>+'Proyectos Base digitable'!#REF!</f>
        <v>#REF!</v>
      </c>
      <c r="K273" s="56" t="e">
        <f>+'Proyectos Base digitable'!#REF!</f>
        <v>#REF!</v>
      </c>
      <c r="L273" s="56" t="e">
        <f>+'Proyectos Base digitable'!#REF!</f>
        <v>#REF!</v>
      </c>
      <c r="M273" s="56" t="e">
        <f>+'Proyectos Base digitable'!#REF!</f>
        <v>#REF!</v>
      </c>
      <c r="N273" s="52" t="e">
        <f>+'Proyectos Base digitable'!#REF!</f>
        <v>#REF!</v>
      </c>
      <c r="O273" s="52" t="e">
        <f>+'Proyectos Base digitable'!#REF!</f>
        <v>#REF!</v>
      </c>
      <c r="P273" s="185" t="e">
        <f>+'Proyectos Base digitable'!#REF!</f>
        <v>#REF!</v>
      </c>
      <c r="Q273" s="58" t="e">
        <f>+'Proyectos Base digitable'!#REF!</f>
        <v>#REF!</v>
      </c>
      <c r="R273" s="58" t="e">
        <f>+'Proyectos Base digitable'!#REF!</f>
        <v>#REF!</v>
      </c>
      <c r="S273" s="58" t="e">
        <f>+'Proyectos Base digitable'!#REF!</f>
        <v>#REF!</v>
      </c>
      <c r="T273" s="58" t="e">
        <f>+'Proyectos Base digitable'!#REF!</f>
        <v>#REF!</v>
      </c>
      <c r="U273" s="63" t="e">
        <f>'Proyectos Base digitable'!#REF!</f>
        <v>#REF!</v>
      </c>
      <c r="V273" s="63" t="e">
        <f>'Proyectos Base digitable'!#REF!</f>
        <v>#REF!</v>
      </c>
      <c r="W273" s="63" t="e">
        <f>'Proyectos Base digitable'!#REF!</f>
        <v>#REF!</v>
      </c>
      <c r="X273" s="63" t="e">
        <f>'Proyectos Base digitable'!#REF!</f>
        <v>#REF!</v>
      </c>
      <c r="Y273" s="63" t="e">
        <f>'Proyectos Base digitable'!#REF!</f>
        <v>#REF!</v>
      </c>
      <c r="Z273" s="58" t="e">
        <f>+'Proyectos Base digitable'!#REF!</f>
        <v>#REF!</v>
      </c>
      <c r="AA273" s="58" t="e">
        <f>+'Proyectos Base digitable'!#REF!</f>
        <v>#REF!</v>
      </c>
      <c r="AB273" s="63" t="e">
        <f>'Proyectos Base digitable'!#REF!</f>
        <v>#REF!</v>
      </c>
      <c r="AC273" s="56" t="e">
        <f>+'Proyectos Base digitable'!#REF!</f>
        <v>#REF!</v>
      </c>
      <c r="AD273" s="52" t="e">
        <f>+'Proyectos Base digitable'!#REF!</f>
        <v>#REF!</v>
      </c>
      <c r="AE273" s="52" t="e">
        <f>+'Proyectos Base digitable'!#REF!</f>
        <v>#REF!</v>
      </c>
      <c r="AF273" s="52" t="e">
        <f>+'Proyectos Base digitable'!#REF!</f>
        <v>#REF!</v>
      </c>
      <c r="AG273" s="56" t="e">
        <f>+'Proyectos Base digitable'!#REF!</f>
        <v>#REF!</v>
      </c>
      <c r="AH273" s="52" t="e">
        <f>+'Proyectos Base digitable'!#REF!</f>
        <v>#REF!</v>
      </c>
      <c r="AI273" s="52" t="e">
        <f>+'Proyectos Base digitable'!#REF!</f>
        <v>#REF!</v>
      </c>
      <c r="AJ273" s="59" t="e">
        <f>+'Proyectos Base digitable'!#REF!</f>
        <v>#REF!</v>
      </c>
      <c r="AK273" s="186" t="e">
        <f>+'Proyectos Base digitable'!#REF!</f>
        <v>#REF!</v>
      </c>
      <c r="AL273" s="186" t="e">
        <f>+'Proyectos Base digitable'!#REF!</f>
        <v>#REF!</v>
      </c>
      <c r="AM273" s="186" t="e">
        <f>+'Proyectos Base digitable'!#REF!</f>
        <v>#REF!</v>
      </c>
      <c r="AN273" s="186" t="e">
        <f>+'Proyectos Base digitable'!#REF!</f>
        <v>#REF!</v>
      </c>
      <c r="AO273" s="186" t="e">
        <f>+'Proyectos Base digitable'!#REF!</f>
        <v>#REF!</v>
      </c>
      <c r="AP273" s="186" t="e">
        <f>+'Proyectos Base digitable'!#REF!</f>
        <v>#REF!</v>
      </c>
      <c r="AQ273" s="186" t="e">
        <f>+'Proyectos Base digitable'!#REF!</f>
        <v>#REF!</v>
      </c>
      <c r="AR273" s="186" t="e">
        <f>+'Proyectos Base digitable'!#REF!</f>
        <v>#REF!</v>
      </c>
      <c r="AS273" s="186" t="e">
        <f>+'Proyectos Base digitable'!#REF!</f>
        <v>#REF!</v>
      </c>
      <c r="AT273" s="187" t="e">
        <f>+'Proyectos Base digitable'!#REF!</f>
        <v>#REF!</v>
      </c>
      <c r="AU273" s="56" t="e">
        <f>+'Proyectos Base digitable'!#REF!</f>
        <v>#REF!</v>
      </c>
      <c r="AV273" s="56" t="e">
        <f>+'Proyectos Base digitable'!#REF!</f>
        <v>#REF!</v>
      </c>
      <c r="AW273" s="56" t="e">
        <f>+'Proyectos Base digitable'!#REF!</f>
        <v>#REF!</v>
      </c>
      <c r="AX273" s="56" t="e">
        <f>+'Proyectos Base digitable'!#REF!</f>
        <v>#REF!</v>
      </c>
      <c r="AY273" s="56" t="e">
        <f>+'Proyectos Base digitable'!#REF!</f>
        <v>#REF!</v>
      </c>
      <c r="AZ273" s="188" t="e">
        <f>+'Proyectos Base digitable'!#REF!</f>
        <v>#REF!</v>
      </c>
      <c r="BA273" s="188" t="e">
        <f>+'Proyectos Base digitable'!#REF!</f>
        <v>#REF!</v>
      </c>
    </row>
    <row r="274" spans="1:53" ht="13.5" customHeight="1">
      <c r="A274" s="60" t="e">
        <f>+'Proyectos Base digitable'!#REF!</f>
        <v>#REF!</v>
      </c>
      <c r="B274" s="56" t="e">
        <f>+'Proyectos Base digitable'!#REF!</f>
        <v>#REF!</v>
      </c>
      <c r="C274" s="56" t="e">
        <f>+'Proyectos Base digitable'!#REF!</f>
        <v>#REF!</v>
      </c>
      <c r="D274" s="56" t="e">
        <f>+'Proyectos Base digitable'!#REF!</f>
        <v>#REF!</v>
      </c>
      <c r="E274" s="56" t="e">
        <f>+'Proyectos Base digitable'!#REF!</f>
        <v>#REF!</v>
      </c>
      <c r="F274" s="56" t="e">
        <f>+'Proyectos Base digitable'!#REF!</f>
        <v>#REF!</v>
      </c>
      <c r="G274" s="57" t="e">
        <f>+'Proyectos Base digitable'!#REF!</f>
        <v>#REF!</v>
      </c>
      <c r="H274" s="56" t="e">
        <f>+'Proyectos Base digitable'!#REF!</f>
        <v>#REF!</v>
      </c>
      <c r="I274" s="56" t="e">
        <f>+'Proyectos Base digitable'!#REF!</f>
        <v>#REF!</v>
      </c>
      <c r="J274" s="56" t="e">
        <f>+'Proyectos Base digitable'!#REF!</f>
        <v>#REF!</v>
      </c>
      <c r="K274" s="56" t="e">
        <f>+'Proyectos Base digitable'!#REF!</f>
        <v>#REF!</v>
      </c>
      <c r="L274" s="56" t="e">
        <f>+'Proyectos Base digitable'!#REF!</f>
        <v>#REF!</v>
      </c>
      <c r="M274" s="56" t="e">
        <f>+'Proyectos Base digitable'!#REF!</f>
        <v>#REF!</v>
      </c>
      <c r="N274" s="52" t="e">
        <f>+'Proyectos Base digitable'!#REF!</f>
        <v>#REF!</v>
      </c>
      <c r="O274" s="52" t="e">
        <f>+'Proyectos Base digitable'!#REF!</f>
        <v>#REF!</v>
      </c>
      <c r="P274" s="185" t="e">
        <f>+'Proyectos Base digitable'!#REF!</f>
        <v>#REF!</v>
      </c>
      <c r="Q274" s="58" t="e">
        <f>+'Proyectos Base digitable'!#REF!</f>
        <v>#REF!</v>
      </c>
      <c r="R274" s="58" t="e">
        <f>+'Proyectos Base digitable'!#REF!</f>
        <v>#REF!</v>
      </c>
      <c r="S274" s="58" t="e">
        <f>+'Proyectos Base digitable'!#REF!</f>
        <v>#REF!</v>
      </c>
      <c r="T274" s="58" t="e">
        <f>+'Proyectos Base digitable'!#REF!</f>
        <v>#REF!</v>
      </c>
      <c r="U274" s="63" t="e">
        <f>'Proyectos Base digitable'!#REF!</f>
        <v>#REF!</v>
      </c>
      <c r="V274" s="63" t="e">
        <f>'Proyectos Base digitable'!#REF!</f>
        <v>#REF!</v>
      </c>
      <c r="W274" s="63" t="e">
        <f>'Proyectos Base digitable'!#REF!</f>
        <v>#REF!</v>
      </c>
      <c r="X274" s="63" t="e">
        <f>'Proyectos Base digitable'!#REF!</f>
        <v>#REF!</v>
      </c>
      <c r="Y274" s="63" t="e">
        <f>'Proyectos Base digitable'!#REF!</f>
        <v>#REF!</v>
      </c>
      <c r="Z274" s="58" t="e">
        <f>+'Proyectos Base digitable'!#REF!</f>
        <v>#REF!</v>
      </c>
      <c r="AA274" s="58" t="e">
        <f>+'Proyectos Base digitable'!#REF!</f>
        <v>#REF!</v>
      </c>
      <c r="AB274" s="63" t="e">
        <f>'Proyectos Base digitable'!#REF!</f>
        <v>#REF!</v>
      </c>
      <c r="AC274" s="56" t="e">
        <f>+'Proyectos Base digitable'!#REF!</f>
        <v>#REF!</v>
      </c>
      <c r="AD274" s="52" t="e">
        <f>+'Proyectos Base digitable'!#REF!</f>
        <v>#REF!</v>
      </c>
      <c r="AE274" s="52" t="e">
        <f>+'Proyectos Base digitable'!#REF!</f>
        <v>#REF!</v>
      </c>
      <c r="AF274" s="52" t="e">
        <f>+'Proyectos Base digitable'!#REF!</f>
        <v>#REF!</v>
      </c>
      <c r="AG274" s="56" t="e">
        <f>+'Proyectos Base digitable'!#REF!</f>
        <v>#REF!</v>
      </c>
      <c r="AH274" s="52" t="e">
        <f>+'Proyectos Base digitable'!#REF!</f>
        <v>#REF!</v>
      </c>
      <c r="AI274" s="52" t="e">
        <f>+'Proyectos Base digitable'!#REF!</f>
        <v>#REF!</v>
      </c>
      <c r="AJ274" s="59" t="e">
        <f>+'Proyectos Base digitable'!#REF!</f>
        <v>#REF!</v>
      </c>
      <c r="AK274" s="186" t="e">
        <f>+'Proyectos Base digitable'!#REF!</f>
        <v>#REF!</v>
      </c>
      <c r="AL274" s="186" t="e">
        <f>+'Proyectos Base digitable'!#REF!</f>
        <v>#REF!</v>
      </c>
      <c r="AM274" s="186" t="e">
        <f>+'Proyectos Base digitable'!#REF!</f>
        <v>#REF!</v>
      </c>
      <c r="AN274" s="186" t="e">
        <f>+'Proyectos Base digitable'!#REF!</f>
        <v>#REF!</v>
      </c>
      <c r="AO274" s="186" t="e">
        <f>+'Proyectos Base digitable'!#REF!</f>
        <v>#REF!</v>
      </c>
      <c r="AP274" s="186" t="e">
        <f>+'Proyectos Base digitable'!#REF!</f>
        <v>#REF!</v>
      </c>
      <c r="AQ274" s="186" t="e">
        <f>+'Proyectos Base digitable'!#REF!</f>
        <v>#REF!</v>
      </c>
      <c r="AR274" s="186" t="e">
        <f>+'Proyectos Base digitable'!#REF!</f>
        <v>#REF!</v>
      </c>
      <c r="AS274" s="186" t="e">
        <f>+'Proyectos Base digitable'!#REF!</f>
        <v>#REF!</v>
      </c>
      <c r="AT274" s="187" t="e">
        <f>+'Proyectos Base digitable'!#REF!</f>
        <v>#REF!</v>
      </c>
      <c r="AU274" s="56" t="e">
        <f>+'Proyectos Base digitable'!#REF!</f>
        <v>#REF!</v>
      </c>
      <c r="AV274" s="56" t="e">
        <f>+'Proyectos Base digitable'!#REF!</f>
        <v>#REF!</v>
      </c>
      <c r="AW274" s="56" t="e">
        <f>+'Proyectos Base digitable'!#REF!</f>
        <v>#REF!</v>
      </c>
      <c r="AX274" s="56" t="e">
        <f>+'Proyectos Base digitable'!#REF!</f>
        <v>#REF!</v>
      </c>
      <c r="AY274" s="56" t="e">
        <f>+'Proyectos Base digitable'!#REF!</f>
        <v>#REF!</v>
      </c>
      <c r="AZ274" s="188" t="e">
        <f>+'Proyectos Base digitable'!#REF!</f>
        <v>#REF!</v>
      </c>
      <c r="BA274" s="188" t="e">
        <f>+'Proyectos Base digitable'!#REF!</f>
        <v>#REF!</v>
      </c>
    </row>
    <row r="275" spans="1:53" ht="13.5" customHeight="1">
      <c r="A275" s="60" t="e">
        <f>+'Proyectos Base digitable'!#REF!</f>
        <v>#REF!</v>
      </c>
      <c r="B275" s="56" t="e">
        <f>+'Proyectos Base digitable'!#REF!</f>
        <v>#REF!</v>
      </c>
      <c r="C275" s="56" t="e">
        <f>+'Proyectos Base digitable'!#REF!</f>
        <v>#REF!</v>
      </c>
      <c r="D275" s="56" t="e">
        <f>+'Proyectos Base digitable'!#REF!</f>
        <v>#REF!</v>
      </c>
      <c r="E275" s="56" t="e">
        <f>+'Proyectos Base digitable'!#REF!</f>
        <v>#REF!</v>
      </c>
      <c r="F275" s="56" t="e">
        <f>+'Proyectos Base digitable'!#REF!</f>
        <v>#REF!</v>
      </c>
      <c r="G275" s="57" t="e">
        <f>+'Proyectos Base digitable'!#REF!</f>
        <v>#REF!</v>
      </c>
      <c r="H275" s="56" t="e">
        <f>+'Proyectos Base digitable'!#REF!</f>
        <v>#REF!</v>
      </c>
      <c r="I275" s="56" t="e">
        <f>+'Proyectos Base digitable'!#REF!</f>
        <v>#REF!</v>
      </c>
      <c r="J275" s="56" t="e">
        <f>+'Proyectos Base digitable'!#REF!</f>
        <v>#REF!</v>
      </c>
      <c r="K275" s="56" t="e">
        <f>+'Proyectos Base digitable'!#REF!</f>
        <v>#REF!</v>
      </c>
      <c r="L275" s="56" t="e">
        <f>+'Proyectos Base digitable'!#REF!</f>
        <v>#REF!</v>
      </c>
      <c r="M275" s="56" t="e">
        <f>+'Proyectos Base digitable'!#REF!</f>
        <v>#REF!</v>
      </c>
      <c r="N275" s="52" t="e">
        <f>+'Proyectos Base digitable'!#REF!</f>
        <v>#REF!</v>
      </c>
      <c r="O275" s="52" t="e">
        <f>+'Proyectos Base digitable'!#REF!</f>
        <v>#REF!</v>
      </c>
      <c r="P275" s="185" t="e">
        <f>+'Proyectos Base digitable'!#REF!</f>
        <v>#REF!</v>
      </c>
      <c r="Q275" s="58" t="e">
        <f>+'Proyectos Base digitable'!#REF!</f>
        <v>#REF!</v>
      </c>
      <c r="R275" s="58" t="e">
        <f>+'Proyectos Base digitable'!#REF!</f>
        <v>#REF!</v>
      </c>
      <c r="S275" s="58" t="e">
        <f>+'Proyectos Base digitable'!#REF!</f>
        <v>#REF!</v>
      </c>
      <c r="T275" s="58" t="e">
        <f>+'Proyectos Base digitable'!#REF!</f>
        <v>#REF!</v>
      </c>
      <c r="U275" s="63" t="e">
        <f>'Proyectos Base digitable'!#REF!</f>
        <v>#REF!</v>
      </c>
      <c r="V275" s="63" t="e">
        <f>'Proyectos Base digitable'!#REF!</f>
        <v>#REF!</v>
      </c>
      <c r="W275" s="63" t="e">
        <f>'Proyectos Base digitable'!#REF!</f>
        <v>#REF!</v>
      </c>
      <c r="X275" s="63" t="e">
        <f>'Proyectos Base digitable'!#REF!</f>
        <v>#REF!</v>
      </c>
      <c r="Y275" s="63" t="e">
        <f>'Proyectos Base digitable'!#REF!</f>
        <v>#REF!</v>
      </c>
      <c r="Z275" s="58" t="e">
        <f>+'Proyectos Base digitable'!#REF!</f>
        <v>#REF!</v>
      </c>
      <c r="AA275" s="58" t="e">
        <f>+'Proyectos Base digitable'!#REF!</f>
        <v>#REF!</v>
      </c>
      <c r="AB275" s="63" t="e">
        <f>'Proyectos Base digitable'!#REF!</f>
        <v>#REF!</v>
      </c>
      <c r="AC275" s="56" t="e">
        <f>+'Proyectos Base digitable'!#REF!</f>
        <v>#REF!</v>
      </c>
      <c r="AD275" s="52" t="e">
        <f>+'Proyectos Base digitable'!#REF!</f>
        <v>#REF!</v>
      </c>
      <c r="AE275" s="52" t="e">
        <f>+'Proyectos Base digitable'!#REF!</f>
        <v>#REF!</v>
      </c>
      <c r="AF275" s="52" t="e">
        <f>+'Proyectos Base digitable'!#REF!</f>
        <v>#REF!</v>
      </c>
      <c r="AG275" s="56" t="e">
        <f>+'Proyectos Base digitable'!#REF!</f>
        <v>#REF!</v>
      </c>
      <c r="AH275" s="52" t="e">
        <f>+'Proyectos Base digitable'!#REF!</f>
        <v>#REF!</v>
      </c>
      <c r="AI275" s="52" t="e">
        <f>+'Proyectos Base digitable'!#REF!</f>
        <v>#REF!</v>
      </c>
      <c r="AJ275" s="59" t="e">
        <f>+'Proyectos Base digitable'!#REF!</f>
        <v>#REF!</v>
      </c>
      <c r="AK275" s="186" t="e">
        <f>+'Proyectos Base digitable'!#REF!</f>
        <v>#REF!</v>
      </c>
      <c r="AL275" s="186" t="e">
        <f>+'Proyectos Base digitable'!#REF!</f>
        <v>#REF!</v>
      </c>
      <c r="AM275" s="186" t="e">
        <f>+'Proyectos Base digitable'!#REF!</f>
        <v>#REF!</v>
      </c>
      <c r="AN275" s="186" t="e">
        <f>+'Proyectos Base digitable'!#REF!</f>
        <v>#REF!</v>
      </c>
      <c r="AO275" s="186" t="e">
        <f>+'Proyectos Base digitable'!#REF!</f>
        <v>#REF!</v>
      </c>
      <c r="AP275" s="186" t="e">
        <f>+'Proyectos Base digitable'!#REF!</f>
        <v>#REF!</v>
      </c>
      <c r="AQ275" s="186" t="e">
        <f>+'Proyectos Base digitable'!#REF!</f>
        <v>#REF!</v>
      </c>
      <c r="AR275" s="186" t="e">
        <f>+'Proyectos Base digitable'!#REF!</f>
        <v>#REF!</v>
      </c>
      <c r="AS275" s="186" t="e">
        <f>+'Proyectos Base digitable'!#REF!</f>
        <v>#REF!</v>
      </c>
      <c r="AT275" s="187" t="e">
        <f>+'Proyectos Base digitable'!#REF!</f>
        <v>#REF!</v>
      </c>
      <c r="AU275" s="56" t="e">
        <f>+'Proyectos Base digitable'!#REF!</f>
        <v>#REF!</v>
      </c>
      <c r="AV275" s="56" t="e">
        <f>+'Proyectos Base digitable'!#REF!</f>
        <v>#REF!</v>
      </c>
      <c r="AW275" s="56" t="e">
        <f>+'Proyectos Base digitable'!#REF!</f>
        <v>#REF!</v>
      </c>
      <c r="AX275" s="56" t="e">
        <f>+'Proyectos Base digitable'!#REF!</f>
        <v>#REF!</v>
      </c>
      <c r="AY275" s="56" t="e">
        <f>+'Proyectos Base digitable'!#REF!</f>
        <v>#REF!</v>
      </c>
      <c r="AZ275" s="188" t="e">
        <f>+'Proyectos Base digitable'!#REF!</f>
        <v>#REF!</v>
      </c>
      <c r="BA275" s="188" t="e">
        <f>+'Proyectos Base digitable'!#REF!</f>
        <v>#REF!</v>
      </c>
    </row>
    <row r="276" spans="1:53" ht="13.5" customHeight="1">
      <c r="A276" s="60">
        <f>+'Proyectos Base digitable'!A183</f>
        <v>182</v>
      </c>
      <c r="B276" s="277" t="str">
        <f>+'Proyectos Base digitable'!B183</f>
        <v>ADI</v>
      </c>
      <c r="C276" s="277" t="str">
        <f>+'Proyectos Base digitable'!C183</f>
        <v>N/A</v>
      </c>
      <c r="D276" s="277" t="str">
        <f>+'Proyectos Base digitable'!D183</f>
        <v>Línea Económica_Ciudad Dinámica</v>
      </c>
      <c r="E276" s="278" t="str">
        <f>+'Proyectos Base digitable'!E183</f>
        <v>Recreación_y_Deporte</v>
      </c>
      <c r="F276" s="56" t="str">
        <f>+'Proyectos Base digitable'!F183</f>
        <v>Parques</v>
      </c>
      <c r="G276" s="279" t="str">
        <f>+'Proyectos Base digitable'!G183</f>
        <v>Parques-VII - Grupo 7 Parque Las Nieves II</v>
      </c>
      <c r="H276" s="56" t="str">
        <f>+'Proyectos Base digitable'!H183</f>
        <v>Suroriente</v>
      </c>
      <c r="I276" s="56" t="str">
        <f>+'Proyectos Base digitable'!I183</f>
        <v>LAS NIEVES</v>
      </c>
      <c r="J276" s="56" t="str">
        <f>+'Proyectos Base digitable'!J183</f>
        <v>K15 C24</v>
      </c>
      <c r="K276" s="56" t="str">
        <f>+'Proyectos Base digitable'!K183</f>
        <v xml:space="preserve"> 10°57'9.17"N    74°46'43.48"O</v>
      </c>
      <c r="L276" s="56">
        <f>+'Proyectos Base digitable'!L183</f>
        <v>0</v>
      </c>
      <c r="M276" s="280">
        <f>+'Proyectos Base digitable'!M183</f>
        <v>0</v>
      </c>
      <c r="N276" s="281" t="str">
        <f>+'Proyectos Base digitable'!N183</f>
        <v>Contractual</v>
      </c>
      <c r="O276" s="281" t="str">
        <f>+'Proyectos Base digitable'!O183</f>
        <v>Terminado</v>
      </c>
      <c r="P276" s="187">
        <f>+'Proyectos Base digitable'!P183</f>
        <v>1640605123.3422449</v>
      </c>
      <c r="Q276" s="282">
        <f>+'Proyectos Base digitable'!Q183</f>
        <v>1</v>
      </c>
      <c r="R276" s="282">
        <f>+'Proyectos Base digitable'!R183</f>
        <v>1</v>
      </c>
      <c r="S276" s="58">
        <f>+'Proyectos Base digitable'!S183</f>
        <v>0</v>
      </c>
      <c r="T276" s="52" t="str">
        <f>+'Proyectos Base digitable'!T183</f>
        <v>Verde</v>
      </c>
      <c r="U276" s="283">
        <f>'Proyectos Base digitable'!U183</f>
        <v>45372</v>
      </c>
      <c r="V276" s="284">
        <f>'Proyectos Base digitable'!V183</f>
        <v>45388</v>
      </c>
      <c r="W276" s="284">
        <f>'Proyectos Base digitable'!W183</f>
        <v>45404</v>
      </c>
      <c r="X276" s="284">
        <f>'Proyectos Base digitable'!X183</f>
        <v>45657</v>
      </c>
      <c r="Y276" s="284">
        <f>'Proyectos Base digitable'!Y183</f>
        <v>45869</v>
      </c>
      <c r="Z276" s="58" t="str">
        <f ca="1">+'Proyectos Base digitable'!Z183</f>
        <v>Terminado</v>
      </c>
      <c r="AA276" s="58" t="str">
        <f ca="1">+'Proyectos Base digitable'!AA183</f>
        <v>-</v>
      </c>
      <c r="AB276" s="283">
        <f>'Proyectos Base digitable'!AD183</f>
        <v>0</v>
      </c>
      <c r="AC276" s="56" t="str">
        <f>+'Proyectos Base digitable'!AE183</f>
        <v>LP-002-2024 LOTE 7</v>
      </c>
      <c r="AD276" s="282" t="str">
        <f>+'Proyectos Base digitable'!AF183</f>
        <v>CONSORCIO EP BAQ</v>
      </c>
      <c r="AE276" s="282" t="str">
        <f>+'Proyectos Base digitable'!AG183</f>
        <v>BF CONSTRUYE S.A.S.
PLANETA, PROYECTOS Y OBRAS S.A.S</v>
      </c>
      <c r="AF276" s="282" t="str">
        <f>+'Proyectos Base digitable'!AH183</f>
        <v>MARIA ISABEL VALENZUELA BENITEZ</v>
      </c>
      <c r="AG276" s="277">
        <f>+'Proyectos Base digitable'!AI183</f>
        <v>0</v>
      </c>
      <c r="AH276" s="282" t="str">
        <f>+'Proyectos Base digitable'!AJ183</f>
        <v>EDUBAR S.A.</v>
      </c>
      <c r="AI276" s="282" t="str">
        <f>+'Proyectos Base digitable'!AK183</f>
        <v>N/A</v>
      </c>
      <c r="AJ276" s="285" t="str">
        <f>+'Proyectos Base digitable'!AL183</f>
        <v>Angelly Criales Anibal</v>
      </c>
      <c r="AK276" s="286">
        <f>+'Proyectos Base digitable'!AM183</f>
        <v>1562481069.8575695</v>
      </c>
      <c r="AL276" s="286">
        <f>+'Proyectos Base digitable'!AN183</f>
        <v>0</v>
      </c>
      <c r="AM276" s="286">
        <f>+'Proyectos Base digitable'!AO183</f>
        <v>1562481069.8575695</v>
      </c>
      <c r="AN276" s="286">
        <f>+'Proyectos Base digitable'!AP183</f>
        <v>0</v>
      </c>
      <c r="AO276" s="286">
        <f>+'Proyectos Base digitable'!AQ183</f>
        <v>0</v>
      </c>
      <c r="AP276" s="286">
        <f>+'Proyectos Base digitable'!AR183</f>
        <v>78124053.484675452</v>
      </c>
      <c r="AQ276" s="286">
        <f>+'Proyectos Base digitable'!AS183</f>
        <v>0</v>
      </c>
      <c r="AR276" s="286">
        <f>+'Proyectos Base digitable'!AT183</f>
        <v>78124053.484675452</v>
      </c>
      <c r="AS276" s="286">
        <f>+'Proyectos Base digitable'!AU183</f>
        <v>0</v>
      </c>
      <c r="AT276" s="286">
        <f>+'Proyectos Base digitable'!AV183</f>
        <v>0</v>
      </c>
      <c r="AU276" s="287">
        <f>+'Proyectos Base digitable'!AW183</f>
        <v>12500</v>
      </c>
      <c r="AV276" s="287">
        <f>+'Proyectos Base digitable'!AX183</f>
        <v>0</v>
      </c>
      <c r="AW276" s="287">
        <f>+'Proyectos Base digitable'!AY183</f>
        <v>0</v>
      </c>
      <c r="AX276" s="287">
        <f>+'Proyectos Base digitable'!AZ183</f>
        <v>0</v>
      </c>
      <c r="AY276" s="277" t="str">
        <f>+'Proyectos Base digitable'!BA183</f>
        <v xml:space="preserve">Reuniones comité </v>
      </c>
      <c r="AZ276" s="289" t="str">
        <f>+'Proyectos Base digitable'!BB183</f>
        <v>Parque Las Nieves: ENTREGADO</v>
      </c>
      <c r="BA276" s="289" t="str">
        <f>+'Proyectos Base digitable'!BC183</f>
        <v>No</v>
      </c>
    </row>
    <row r="277" spans="1:53" ht="13.5" customHeight="1">
      <c r="A277" s="60">
        <f>+'Proyectos Base digitable'!A184</f>
        <v>183</v>
      </c>
      <c r="B277" s="277" t="str">
        <f>+'Proyectos Base digitable'!B184</f>
        <v>ADI</v>
      </c>
      <c r="C277" s="277" t="str">
        <f>+'Proyectos Base digitable'!C184</f>
        <v>N/A</v>
      </c>
      <c r="D277" s="277" t="str">
        <f>+'Proyectos Base digitable'!D184</f>
        <v>Línea Económica_Ciudad Dinámica</v>
      </c>
      <c r="E277" s="278" t="str">
        <f>+'Proyectos Base digitable'!E184</f>
        <v>Recreación_y_Deporte</v>
      </c>
      <c r="F277" s="56" t="str">
        <f>+'Proyectos Base digitable'!F184</f>
        <v>Parques</v>
      </c>
      <c r="G277" s="279" t="str">
        <f>+'Proyectos Base digitable'!G184</f>
        <v>Parques-VII - Grupo 7 Parque Villa Campito</v>
      </c>
      <c r="H277" s="56" t="str">
        <f>+'Proyectos Base digitable'!H184</f>
        <v>Suroriente</v>
      </c>
      <c r="I277" s="56" t="str">
        <f>+'Proyectos Base digitable'!I184</f>
        <v>EL CAMPITO</v>
      </c>
      <c r="J277" s="56" t="str">
        <f>+'Proyectos Base digitable'!J184</f>
        <v>K10 C 36B</v>
      </c>
      <c r="K277" s="56" t="str">
        <f>+'Proyectos Base digitable'!K184</f>
        <v xml:space="preserve"> 10°57'1.59"N    74°47'30.41"O</v>
      </c>
      <c r="L277" s="56">
        <f>+'Proyectos Base digitable'!L184</f>
        <v>-74.791780555555505</v>
      </c>
      <c r="M277" s="280">
        <f>+'Proyectos Base digitable'!M184</f>
        <v>10.9504416666667</v>
      </c>
      <c r="N277" s="281" t="str">
        <f>+'Proyectos Base digitable'!N184</f>
        <v>Contractual</v>
      </c>
      <c r="O277" s="281" t="str">
        <f>+'Proyectos Base digitable'!O184</f>
        <v>Terminado</v>
      </c>
      <c r="P277" s="187">
        <f>+'Proyectos Base digitable'!P184</f>
        <v>485739404.40108514</v>
      </c>
      <c r="Q277" s="282">
        <f>+'Proyectos Base digitable'!Q184</f>
        <v>1</v>
      </c>
      <c r="R277" s="282">
        <f>+'Proyectos Base digitable'!R184</f>
        <v>1</v>
      </c>
      <c r="S277" s="58">
        <f>+'Proyectos Base digitable'!S184</f>
        <v>0</v>
      </c>
      <c r="T277" s="52" t="str">
        <f>+'Proyectos Base digitable'!T184</f>
        <v>Verde</v>
      </c>
      <c r="U277" s="283">
        <f>'Proyectos Base digitable'!U184</f>
        <v>45372</v>
      </c>
      <c r="V277" s="284">
        <f>'Proyectos Base digitable'!V184</f>
        <v>45388</v>
      </c>
      <c r="W277" s="284">
        <f>'Proyectos Base digitable'!W184</f>
        <v>45404</v>
      </c>
      <c r="X277" s="284">
        <f>'Proyectos Base digitable'!X184</f>
        <v>45657</v>
      </c>
      <c r="Y277" s="284">
        <f>'Proyectos Base digitable'!Y184</f>
        <v>45869</v>
      </c>
      <c r="Z277" s="58" t="str">
        <f ca="1">+'Proyectos Base digitable'!Z184</f>
        <v>Terminado</v>
      </c>
      <c r="AA277" s="58" t="str">
        <f ca="1">+'Proyectos Base digitable'!AA184</f>
        <v>-</v>
      </c>
      <c r="AB277" s="283">
        <f>'Proyectos Base digitable'!AD184</f>
        <v>0</v>
      </c>
      <c r="AC277" s="56" t="str">
        <f>+'Proyectos Base digitable'!AE184</f>
        <v>LP-002-2024 LOTE 7</v>
      </c>
      <c r="AD277" s="282" t="str">
        <f>+'Proyectos Base digitable'!AF184</f>
        <v>CONSORCIO EP BAQ</v>
      </c>
      <c r="AE277" s="282" t="str">
        <f>+'Proyectos Base digitable'!AG184</f>
        <v>BF CONSTRUYE S.A.S.
PLANETA, PROYECTOS Y OBRAS S.A.S</v>
      </c>
      <c r="AF277" s="282" t="str">
        <f>+'Proyectos Base digitable'!AH184</f>
        <v>MARIA ISABEL VALENZUELA BENITEZ</v>
      </c>
      <c r="AG277" s="277">
        <f>+'Proyectos Base digitable'!AI184</f>
        <v>0</v>
      </c>
      <c r="AH277" s="282" t="str">
        <f>+'Proyectos Base digitable'!AJ184</f>
        <v>EDUBAR S.A.</v>
      </c>
      <c r="AI277" s="282" t="str">
        <f>+'Proyectos Base digitable'!AK184</f>
        <v>N/A</v>
      </c>
      <c r="AJ277" s="285" t="str">
        <f>+'Proyectos Base digitable'!AL184</f>
        <v>Angelly Criales Anibal</v>
      </c>
      <c r="AK277" s="286">
        <f>+'Proyectos Base digitable'!AM184</f>
        <v>462608956.5747751</v>
      </c>
      <c r="AL277" s="286">
        <f>+'Proyectos Base digitable'!AN184</f>
        <v>0</v>
      </c>
      <c r="AM277" s="286">
        <f>+'Proyectos Base digitable'!AO184</f>
        <v>462608956.5747751</v>
      </c>
      <c r="AN277" s="286">
        <f>+'Proyectos Base digitable'!AP184</f>
        <v>0</v>
      </c>
      <c r="AO277" s="286">
        <f>+'Proyectos Base digitable'!AQ184</f>
        <v>0</v>
      </c>
      <c r="AP277" s="286">
        <f>+'Proyectos Base digitable'!AR184</f>
        <v>23130447.826310057</v>
      </c>
      <c r="AQ277" s="286">
        <f>+'Proyectos Base digitable'!AS184</f>
        <v>0</v>
      </c>
      <c r="AR277" s="286">
        <f>+'Proyectos Base digitable'!AT184</f>
        <v>23130447.826310057</v>
      </c>
      <c r="AS277" s="286">
        <f>+'Proyectos Base digitable'!AU184</f>
        <v>0</v>
      </c>
      <c r="AT277" s="286">
        <f>+'Proyectos Base digitable'!AV184</f>
        <v>0</v>
      </c>
      <c r="AU277" s="288">
        <f>+'Proyectos Base digitable'!AW184</f>
        <v>2560</v>
      </c>
      <c r="AV277" s="288">
        <f>+'Proyectos Base digitable'!AX184</f>
        <v>0</v>
      </c>
      <c r="AW277" s="288">
        <f>+'Proyectos Base digitable'!AY184</f>
        <v>0</v>
      </c>
      <c r="AX277" s="288">
        <f>+'Proyectos Base digitable'!AZ184</f>
        <v>0</v>
      </c>
      <c r="AY277" s="277" t="str">
        <f>+'Proyectos Base digitable'!BA184</f>
        <v xml:space="preserve">Reuniones comité </v>
      </c>
      <c r="AZ277" s="289" t="str">
        <f>+'Proyectos Base digitable'!BB184</f>
        <v>Parque El Campito: ENTREGADO</v>
      </c>
      <c r="BA277" s="289" t="str">
        <f>+'Proyectos Base digitable'!BC184</f>
        <v>No</v>
      </c>
    </row>
    <row r="278" spans="1:53" ht="13.5" customHeight="1">
      <c r="A278" s="60">
        <f>+'Proyectos Base digitable'!A185</f>
        <v>184</v>
      </c>
      <c r="B278" s="277" t="str">
        <f>+'Proyectos Base digitable'!B185</f>
        <v>ADI</v>
      </c>
      <c r="C278" s="277" t="str">
        <f>+'Proyectos Base digitable'!C185</f>
        <v>N/A</v>
      </c>
      <c r="D278" s="277" t="str">
        <f>+'Proyectos Base digitable'!D185</f>
        <v>Línea Económica_Ciudad Dinámica</v>
      </c>
      <c r="E278" s="278" t="str">
        <f>+'Proyectos Base digitable'!E185</f>
        <v>Recreación_y_Deporte</v>
      </c>
      <c r="F278" s="56" t="str">
        <f>+'Proyectos Base digitable'!F185</f>
        <v>Parques</v>
      </c>
      <c r="G278" s="279" t="str">
        <f>+'Proyectos Base digitable'!G185</f>
        <v>Parque-VIII-Grupo 1 BULEVAR DE SIMON BOLIVAR</v>
      </c>
      <c r="H278" s="56" t="str">
        <f>+'Proyectos Base digitable'!H185</f>
        <v>SURORIENTE</v>
      </c>
      <c r="I278" s="56" t="str">
        <f>+'Proyectos Base digitable'!I185</f>
        <v>SIMON BOLIVAR</v>
      </c>
      <c r="J278" s="56" t="str">
        <f>+'Proyectos Base digitable'!J185</f>
        <v>C 19 K 1B Y 7C</v>
      </c>
      <c r="K278" s="56" t="str">
        <f>+'Proyectos Base digitable'!K185</f>
        <v xml:space="preserve"> 10°56'29.96"N     74°46'40.67"O</v>
      </c>
      <c r="L278" s="56">
        <f>+'Proyectos Base digitable'!L185</f>
        <v>-74.777582019999997</v>
      </c>
      <c r="M278" s="280">
        <f>+'Proyectos Base digitable'!M185</f>
        <v>10.942471810000001</v>
      </c>
      <c r="N278" s="281" t="str">
        <f>+'Proyectos Base digitable'!N185</f>
        <v>Precontractual</v>
      </c>
      <c r="O278" s="281" t="str">
        <f>+'Proyectos Base digitable'!O185</f>
        <v>Perfeccionamiento_y_Legalización</v>
      </c>
      <c r="P278" s="187">
        <f>+'Proyectos Base digitable'!P185</f>
        <v>23155756672.009998</v>
      </c>
      <c r="Q278" s="282">
        <f>+'Proyectos Base digitable'!Q185</f>
        <v>0</v>
      </c>
      <c r="R278" s="282">
        <f>+'Proyectos Base digitable'!R185</f>
        <v>0</v>
      </c>
      <c r="S278" s="58">
        <f>+'Proyectos Base digitable'!S185</f>
        <v>0</v>
      </c>
      <c r="T278" s="52" t="str">
        <f>+'Proyectos Base digitable'!T185</f>
        <v>Verde</v>
      </c>
      <c r="U278" s="283">
        <f>'Proyectos Base digitable'!U185</f>
        <v>0</v>
      </c>
      <c r="V278" s="284">
        <f>'Proyectos Base digitable'!V185</f>
        <v>0</v>
      </c>
      <c r="W278" s="284">
        <f>'Proyectos Base digitable'!W185</f>
        <v>0</v>
      </c>
      <c r="X278" s="284">
        <f>'Proyectos Base digitable'!X185</f>
        <v>0</v>
      </c>
      <c r="Y278" s="284">
        <f>'Proyectos Base digitable'!Y185</f>
        <v>0</v>
      </c>
      <c r="Z278" s="58">
        <f>+'Proyectos Base digitable'!Z185</f>
        <v>0</v>
      </c>
      <c r="AA278" s="58">
        <f>+'Proyectos Base digitable'!AA185</f>
        <v>0</v>
      </c>
      <c r="AB278" s="283">
        <f>'Proyectos Base digitable'!AD185</f>
        <v>0</v>
      </c>
      <c r="AC278" s="56" t="str">
        <f>+'Proyectos Base digitable'!AE185</f>
        <v>SA-008-2025 LOTE 1</v>
      </c>
      <c r="AD278" s="282" t="str">
        <f>+'Proyectos Base digitable'!AF185</f>
        <v>CONSORCIO BARRANQUILLA PG</v>
      </c>
      <c r="AE278" s="282">
        <f>+'Proyectos Base digitable'!AG185</f>
        <v>0</v>
      </c>
      <c r="AF278" s="282">
        <f>+'Proyectos Base digitable'!AH185</f>
        <v>0</v>
      </c>
      <c r="AG278" s="277">
        <f>+'Proyectos Base digitable'!AI185</f>
        <v>0</v>
      </c>
      <c r="AH278" s="282">
        <f>+'Proyectos Base digitable'!AJ185</f>
        <v>0</v>
      </c>
      <c r="AI278" s="282">
        <f>+'Proyectos Base digitable'!AK185</f>
        <v>0</v>
      </c>
      <c r="AJ278" s="285">
        <f>+'Proyectos Base digitable'!AL185</f>
        <v>0</v>
      </c>
      <c r="AK278" s="286">
        <f>+'Proyectos Base digitable'!AM185</f>
        <v>0</v>
      </c>
      <c r="AL278" s="286">
        <f>+'Proyectos Base digitable'!AN185</f>
        <v>0</v>
      </c>
      <c r="AM278" s="286">
        <f>+'Proyectos Base digitable'!AO185</f>
        <v>0</v>
      </c>
      <c r="AN278" s="286">
        <f>+'Proyectos Base digitable'!AP185</f>
        <v>0</v>
      </c>
      <c r="AO278" s="286">
        <f>+'Proyectos Base digitable'!AQ185</f>
        <v>0</v>
      </c>
      <c r="AP278" s="286">
        <f>+'Proyectos Base digitable'!AR185</f>
        <v>0</v>
      </c>
      <c r="AQ278" s="286">
        <f>+'Proyectos Base digitable'!AS185</f>
        <v>0</v>
      </c>
      <c r="AR278" s="286">
        <f>+'Proyectos Base digitable'!AT185</f>
        <v>0</v>
      </c>
      <c r="AS278" s="286">
        <f>+'Proyectos Base digitable'!AU185</f>
        <v>0</v>
      </c>
      <c r="AT278" s="286">
        <f>+'Proyectos Base digitable'!AV185</f>
        <v>0</v>
      </c>
      <c r="AU278" s="288">
        <f>+'Proyectos Base digitable'!AW185</f>
        <v>0</v>
      </c>
      <c r="AV278" s="288">
        <f>+'Proyectos Base digitable'!AX185</f>
        <v>0</v>
      </c>
      <c r="AW278" s="288">
        <f>+'Proyectos Base digitable'!AY185</f>
        <v>0</v>
      </c>
      <c r="AX278" s="288">
        <f>+'Proyectos Base digitable'!AZ185</f>
        <v>0</v>
      </c>
      <c r="AY278" s="277">
        <f>+'Proyectos Base digitable'!BA185</f>
        <v>0</v>
      </c>
      <c r="AZ278" s="289">
        <f>+'Proyectos Base digitable'!BB185</f>
        <v>0</v>
      </c>
      <c r="BA278" s="289">
        <f>+'Proyectos Base digitable'!BC185</f>
        <v>0</v>
      </c>
    </row>
    <row r="279" spans="1:53" ht="13.5" customHeight="1">
      <c r="A279" s="60">
        <f>+'Proyectos Base digitable'!A186</f>
        <v>185</v>
      </c>
      <c r="B279" s="277" t="str">
        <f>+'Proyectos Base digitable'!B186</f>
        <v>ADI</v>
      </c>
      <c r="C279" s="277" t="str">
        <f>+'Proyectos Base digitable'!C186</f>
        <v>N/A</v>
      </c>
      <c r="D279" s="277" t="str">
        <f>+'Proyectos Base digitable'!D186</f>
        <v>Línea Económica_Ciudad Dinámica</v>
      </c>
      <c r="E279" s="278" t="str">
        <f>+'Proyectos Base digitable'!E186</f>
        <v>Recreación_y_Deporte</v>
      </c>
      <c r="F279" s="56" t="str">
        <f>+'Proyectos Base digitable'!F186</f>
        <v>Parques</v>
      </c>
      <c r="G279" s="279" t="str">
        <f>+'Proyectos Base digitable'!G186</f>
        <v xml:space="preserve">Parque-VIII-Grupo 1 PARQUE LAS DUNAS </v>
      </c>
      <c r="H279" s="56" t="str">
        <f>+'Proyectos Base digitable'!H186</f>
        <v>SURORIENTE</v>
      </c>
      <c r="I279" s="56" t="str">
        <f>+'Proyectos Base digitable'!I186</f>
        <v xml:space="preserve">LAS DUNAS </v>
      </c>
      <c r="J279" s="56" t="str">
        <f>+'Proyectos Base digitable'!J186</f>
        <v>CL 36A Y 36B C K 3B</v>
      </c>
      <c r="K279" s="56" t="str">
        <f>+'Proyectos Base digitable'!K186</f>
        <v xml:space="preserve"> 10°56'15.83"N     74°47'28.17"O</v>
      </c>
      <c r="L279" s="56">
        <f>+'Proyectos Base digitable'!L186</f>
        <v>-74.791136300000005</v>
      </c>
      <c r="M279" s="280">
        <f>+'Proyectos Base digitable'!M186</f>
        <v>10.937730480000001</v>
      </c>
      <c r="N279" s="281" t="str">
        <f>+'Proyectos Base digitable'!N186</f>
        <v>Precontractual</v>
      </c>
      <c r="O279" s="281" t="str">
        <f>+'Proyectos Base digitable'!O186</f>
        <v>Perfeccionamiento_y_Legalización</v>
      </c>
      <c r="P279" s="187">
        <f>+'Proyectos Base digitable'!P186</f>
        <v>611022668</v>
      </c>
      <c r="Q279" s="282">
        <f>+'Proyectos Base digitable'!Q186</f>
        <v>0</v>
      </c>
      <c r="R279" s="282">
        <f>+'Proyectos Base digitable'!R186</f>
        <v>0</v>
      </c>
      <c r="S279" s="58">
        <f>+'Proyectos Base digitable'!S186</f>
        <v>0</v>
      </c>
      <c r="T279" s="52" t="str">
        <f>+'Proyectos Base digitable'!T186</f>
        <v>Verde</v>
      </c>
      <c r="U279" s="283">
        <f>'Proyectos Base digitable'!U186</f>
        <v>0</v>
      </c>
      <c r="V279" s="284">
        <f>'Proyectos Base digitable'!V186</f>
        <v>0</v>
      </c>
      <c r="W279" s="284">
        <f>'Proyectos Base digitable'!W186</f>
        <v>0</v>
      </c>
      <c r="X279" s="284">
        <f>'Proyectos Base digitable'!X186</f>
        <v>0</v>
      </c>
      <c r="Y279" s="284">
        <f>'Proyectos Base digitable'!Y186</f>
        <v>0</v>
      </c>
      <c r="Z279" s="58">
        <f>+'Proyectos Base digitable'!Z186</f>
        <v>0</v>
      </c>
      <c r="AA279" s="58">
        <f>+'Proyectos Base digitable'!AA186</f>
        <v>0</v>
      </c>
      <c r="AB279" s="283">
        <f>'Proyectos Base digitable'!AD186</f>
        <v>0</v>
      </c>
      <c r="AC279" s="56" t="str">
        <f>+'Proyectos Base digitable'!AE186</f>
        <v>SA-008-2025 LOTE 1</v>
      </c>
      <c r="AD279" s="282" t="str">
        <f>+'Proyectos Base digitable'!AF186</f>
        <v>CONSORCIO BARRANQUILLA PG</v>
      </c>
      <c r="AE279" s="282">
        <f>+'Proyectos Base digitable'!AG186</f>
        <v>0</v>
      </c>
      <c r="AF279" s="282">
        <f>+'Proyectos Base digitable'!AH186</f>
        <v>0</v>
      </c>
      <c r="AG279" s="277">
        <f>+'Proyectos Base digitable'!AI186</f>
        <v>0</v>
      </c>
      <c r="AH279" s="282">
        <f>+'Proyectos Base digitable'!AJ186</f>
        <v>0</v>
      </c>
      <c r="AI279" s="282">
        <f>+'Proyectos Base digitable'!AK186</f>
        <v>0</v>
      </c>
      <c r="AJ279" s="285">
        <f>+'Proyectos Base digitable'!AL186</f>
        <v>0</v>
      </c>
      <c r="AK279" s="286">
        <f>+'Proyectos Base digitable'!AM186</f>
        <v>0</v>
      </c>
      <c r="AL279" s="286">
        <f>+'Proyectos Base digitable'!AN186</f>
        <v>0</v>
      </c>
      <c r="AM279" s="286">
        <f>+'Proyectos Base digitable'!AO186</f>
        <v>0</v>
      </c>
      <c r="AN279" s="286">
        <f>+'Proyectos Base digitable'!AP186</f>
        <v>0</v>
      </c>
      <c r="AO279" s="286">
        <f>+'Proyectos Base digitable'!AQ186</f>
        <v>0</v>
      </c>
      <c r="AP279" s="286">
        <f>+'Proyectos Base digitable'!AR186</f>
        <v>0</v>
      </c>
      <c r="AQ279" s="286">
        <f>+'Proyectos Base digitable'!AS186</f>
        <v>0</v>
      </c>
      <c r="AR279" s="286">
        <f>+'Proyectos Base digitable'!AT186</f>
        <v>0</v>
      </c>
      <c r="AS279" s="286">
        <f>+'Proyectos Base digitable'!AU186</f>
        <v>0</v>
      </c>
      <c r="AT279" s="286">
        <f>+'Proyectos Base digitable'!AV186</f>
        <v>0</v>
      </c>
      <c r="AU279" s="288">
        <f>+'Proyectos Base digitable'!AW186</f>
        <v>0</v>
      </c>
      <c r="AV279" s="288">
        <f>+'Proyectos Base digitable'!AX186</f>
        <v>0</v>
      </c>
      <c r="AW279" s="288">
        <f>+'Proyectos Base digitable'!AY186</f>
        <v>0</v>
      </c>
      <c r="AX279" s="288">
        <f>+'Proyectos Base digitable'!AZ186</f>
        <v>0</v>
      </c>
      <c r="AY279" s="277">
        <f>+'Proyectos Base digitable'!BA186</f>
        <v>0</v>
      </c>
      <c r="AZ279" s="289">
        <f>+'Proyectos Base digitable'!BB186</f>
        <v>0</v>
      </c>
      <c r="BA279" s="289">
        <f>+'Proyectos Base digitable'!BC186</f>
        <v>0</v>
      </c>
    </row>
    <row r="280" spans="1:53" ht="13.5" customHeight="1">
      <c r="A280" s="60">
        <f>+'Proyectos Base digitable'!A187</f>
        <v>186</v>
      </c>
      <c r="B280" s="277" t="str">
        <f>+'Proyectos Base digitable'!B187</f>
        <v>ADI</v>
      </c>
      <c r="C280" s="277" t="str">
        <f>+'Proyectos Base digitable'!C187</f>
        <v>N/A</v>
      </c>
      <c r="D280" s="277" t="str">
        <f>+'Proyectos Base digitable'!D187</f>
        <v>Línea Económica_Ciudad Dinámica</v>
      </c>
      <c r="E280" s="278" t="str">
        <f>+'Proyectos Base digitable'!E187</f>
        <v>Recreación_y_Deporte</v>
      </c>
      <c r="F280" s="56" t="str">
        <f>+'Proyectos Base digitable'!F187</f>
        <v>Parques</v>
      </c>
      <c r="G280" s="279" t="str">
        <f>+'Proyectos Base digitable'!G187</f>
        <v>Parque-VIII-Grupo 1 CANCHA EL EDEN</v>
      </c>
      <c r="H280" s="56" t="str">
        <f>+'Proyectos Base digitable'!H187</f>
        <v>SUROCCIDENTE</v>
      </c>
      <c r="I280" s="56" t="str">
        <f>+'Proyectos Base digitable'!I187</f>
        <v>EL EDEN</v>
      </c>
      <c r="J280" s="56" t="str">
        <f>+'Proyectos Base digitable'!J187</f>
        <v xml:space="preserve">C 103 K 29 </v>
      </c>
      <c r="K280" s="56" t="str">
        <f>+'Proyectos Base digitable'!K187</f>
        <v xml:space="preserve"> 10°58'34.96"N     74°50'0.88"O</v>
      </c>
      <c r="L280" s="56">
        <f>+'Proyectos Base digitable'!L187</f>
        <v>-74.833600849999996</v>
      </c>
      <c r="M280" s="280">
        <f>+'Proyectos Base digitable'!M187</f>
        <v>10.976460550000001</v>
      </c>
      <c r="N280" s="281" t="str">
        <f>+'Proyectos Base digitable'!N187</f>
        <v>Precontractual</v>
      </c>
      <c r="O280" s="281" t="str">
        <f>+'Proyectos Base digitable'!O187</f>
        <v>Perfeccionamiento_y_Legalización</v>
      </c>
      <c r="P280" s="187">
        <f>+'Proyectos Base digitable'!P187</f>
        <v>1417318108</v>
      </c>
      <c r="Q280" s="282">
        <f>+'Proyectos Base digitable'!Q187</f>
        <v>0</v>
      </c>
      <c r="R280" s="282">
        <f>+'Proyectos Base digitable'!R187</f>
        <v>0</v>
      </c>
      <c r="S280" s="58">
        <f>+'Proyectos Base digitable'!S187</f>
        <v>0</v>
      </c>
      <c r="T280" s="52" t="str">
        <f>+'Proyectos Base digitable'!T187</f>
        <v>Verde</v>
      </c>
      <c r="U280" s="283">
        <f>'Proyectos Base digitable'!U187</f>
        <v>0</v>
      </c>
      <c r="V280" s="284">
        <f>'Proyectos Base digitable'!V187</f>
        <v>0</v>
      </c>
      <c r="W280" s="284">
        <f>'Proyectos Base digitable'!W187</f>
        <v>0</v>
      </c>
      <c r="X280" s="284">
        <f>'Proyectos Base digitable'!X187</f>
        <v>0</v>
      </c>
      <c r="Y280" s="284">
        <f>'Proyectos Base digitable'!Y187</f>
        <v>0</v>
      </c>
      <c r="Z280" s="58">
        <f>+'Proyectos Base digitable'!Z187</f>
        <v>0</v>
      </c>
      <c r="AA280" s="58">
        <f>+'Proyectos Base digitable'!AA187</f>
        <v>0</v>
      </c>
      <c r="AB280" s="283">
        <f>'Proyectos Base digitable'!AD187</f>
        <v>0</v>
      </c>
      <c r="AC280" s="56" t="str">
        <f>+'Proyectos Base digitable'!AE187</f>
        <v>SA-008-2025 LOTE 1</v>
      </c>
      <c r="AD280" s="282" t="str">
        <f>+'Proyectos Base digitable'!AF187</f>
        <v>CONSORCIO BARRANQUILLA PG</v>
      </c>
      <c r="AE280" s="282">
        <f>+'Proyectos Base digitable'!AG187</f>
        <v>0</v>
      </c>
      <c r="AF280" s="282">
        <f>+'Proyectos Base digitable'!AH187</f>
        <v>0</v>
      </c>
      <c r="AG280" s="277">
        <f>+'Proyectos Base digitable'!AI187</f>
        <v>0</v>
      </c>
      <c r="AH280" s="282">
        <f>+'Proyectos Base digitable'!AJ187</f>
        <v>0</v>
      </c>
      <c r="AI280" s="282">
        <f>+'Proyectos Base digitable'!AK187</f>
        <v>0</v>
      </c>
      <c r="AJ280" s="285">
        <f>+'Proyectos Base digitable'!AL187</f>
        <v>0</v>
      </c>
      <c r="AK280" s="286">
        <f>+'Proyectos Base digitable'!AM187</f>
        <v>0</v>
      </c>
      <c r="AL280" s="286">
        <f>+'Proyectos Base digitable'!AN187</f>
        <v>0</v>
      </c>
      <c r="AM280" s="286">
        <f>+'Proyectos Base digitable'!AO187</f>
        <v>0</v>
      </c>
      <c r="AN280" s="286">
        <f>+'Proyectos Base digitable'!AP187</f>
        <v>0</v>
      </c>
      <c r="AO280" s="286">
        <f>+'Proyectos Base digitable'!AQ187</f>
        <v>0</v>
      </c>
      <c r="AP280" s="286">
        <f>+'Proyectos Base digitable'!AR187</f>
        <v>0</v>
      </c>
      <c r="AQ280" s="286">
        <f>+'Proyectos Base digitable'!AS187</f>
        <v>0</v>
      </c>
      <c r="AR280" s="286">
        <f>+'Proyectos Base digitable'!AT187</f>
        <v>0</v>
      </c>
      <c r="AS280" s="286">
        <f>+'Proyectos Base digitable'!AU187</f>
        <v>0</v>
      </c>
      <c r="AT280" s="286">
        <f>+'Proyectos Base digitable'!AV187</f>
        <v>0</v>
      </c>
      <c r="AU280" s="288">
        <f>+'Proyectos Base digitable'!AW187</f>
        <v>0</v>
      </c>
      <c r="AV280" s="288">
        <f>+'Proyectos Base digitable'!AX187</f>
        <v>0</v>
      </c>
      <c r="AW280" s="288">
        <f>+'Proyectos Base digitable'!AY187</f>
        <v>0</v>
      </c>
      <c r="AX280" s="288">
        <f>+'Proyectos Base digitable'!AZ187</f>
        <v>0</v>
      </c>
      <c r="AY280" s="277">
        <f>+'Proyectos Base digitable'!BA187</f>
        <v>0</v>
      </c>
      <c r="AZ280" s="289">
        <f>+'Proyectos Base digitable'!BB187</f>
        <v>0</v>
      </c>
      <c r="BA280" s="289">
        <f>+'Proyectos Base digitable'!BC187</f>
        <v>0</v>
      </c>
    </row>
    <row r="281" spans="1:53" ht="13.5" customHeight="1">
      <c r="A281" s="60">
        <f>+'Proyectos Base digitable'!A188</f>
        <v>187</v>
      </c>
      <c r="B281" s="277" t="str">
        <f>+'Proyectos Base digitable'!B188</f>
        <v>ADI</v>
      </c>
      <c r="C281" s="277" t="str">
        <f>+'Proyectos Base digitable'!C188</f>
        <v>N/A</v>
      </c>
      <c r="D281" s="277" t="str">
        <f>+'Proyectos Base digitable'!D188</f>
        <v>Línea Económica_Ciudad Dinámica</v>
      </c>
      <c r="E281" s="278" t="str">
        <f>+'Proyectos Base digitable'!E188</f>
        <v>Recreación_y_Deporte</v>
      </c>
      <c r="F281" s="56" t="str">
        <f>+'Proyectos Base digitable'!F188</f>
        <v>Parques</v>
      </c>
      <c r="G281" s="279" t="str">
        <f>+'Proyectos Base digitable'!G188</f>
        <v xml:space="preserve">Parque-VIII-Grupo 1 CANCHA LA ESMERALDA METRO BARRO </v>
      </c>
      <c r="H281" s="56" t="str">
        <f>+'Proyectos Base digitable'!H188</f>
        <v>SUROCCIDENTE</v>
      </c>
      <c r="I281" s="56" t="str">
        <f>+'Proyectos Base digitable'!I188</f>
        <v xml:space="preserve">LA ESMERALDA </v>
      </c>
      <c r="J281" s="56" t="str">
        <f>+'Proyectos Base digitable'!J188</f>
        <v>K 16 DIAGONAL 74-74A</v>
      </c>
      <c r="K281" s="56" t="str">
        <f>+'Proyectos Base digitable'!K188</f>
        <v xml:space="preserve"> 10°58'5.16"N    74°49'7.62"O</v>
      </c>
      <c r="L281" s="56">
        <f>+'Proyectos Base digitable'!L188</f>
        <v>-74.818706340000006</v>
      </c>
      <c r="M281" s="280">
        <f>+'Proyectos Base digitable'!M188</f>
        <v>10.968109930000001</v>
      </c>
      <c r="N281" s="281" t="str">
        <f>+'Proyectos Base digitable'!N188</f>
        <v>Precontractual</v>
      </c>
      <c r="O281" s="281" t="str">
        <f>+'Proyectos Base digitable'!O188</f>
        <v>Perfeccionamiento_y_Legalización</v>
      </c>
      <c r="P281" s="187">
        <f>+'Proyectos Base digitable'!P188</f>
        <v>1488964357</v>
      </c>
      <c r="Q281" s="282">
        <f>+'Proyectos Base digitable'!Q188</f>
        <v>0</v>
      </c>
      <c r="R281" s="282">
        <f>+'Proyectos Base digitable'!R188</f>
        <v>0</v>
      </c>
      <c r="S281" s="58">
        <f>+'Proyectos Base digitable'!S188</f>
        <v>0</v>
      </c>
      <c r="T281" s="52" t="str">
        <f>+'Proyectos Base digitable'!T188</f>
        <v>Verde</v>
      </c>
      <c r="U281" s="283">
        <f>'Proyectos Base digitable'!U188</f>
        <v>0</v>
      </c>
      <c r="V281" s="284">
        <f>'Proyectos Base digitable'!V188</f>
        <v>0</v>
      </c>
      <c r="W281" s="284">
        <f>'Proyectos Base digitable'!W188</f>
        <v>0</v>
      </c>
      <c r="X281" s="284">
        <f>'Proyectos Base digitable'!X188</f>
        <v>0</v>
      </c>
      <c r="Y281" s="284">
        <f>'Proyectos Base digitable'!Y188</f>
        <v>0</v>
      </c>
      <c r="Z281" s="58">
        <f>+'Proyectos Base digitable'!Z188</f>
        <v>0</v>
      </c>
      <c r="AA281" s="58">
        <f>+'Proyectos Base digitable'!AA188</f>
        <v>0</v>
      </c>
      <c r="AB281" s="283">
        <f>'Proyectos Base digitable'!AD188</f>
        <v>0</v>
      </c>
      <c r="AC281" s="56" t="str">
        <f>+'Proyectos Base digitable'!AE188</f>
        <v>SA-008-2025 LOTE 1</v>
      </c>
      <c r="AD281" s="282" t="str">
        <f>+'Proyectos Base digitable'!AF188</f>
        <v>CONSORCIO BARRANQUILLA PG</v>
      </c>
      <c r="AE281" s="282">
        <f>+'Proyectos Base digitable'!AG188</f>
        <v>0</v>
      </c>
      <c r="AF281" s="282">
        <f>+'Proyectos Base digitable'!AH188</f>
        <v>0</v>
      </c>
      <c r="AG281" s="277">
        <f>+'Proyectos Base digitable'!AI188</f>
        <v>0</v>
      </c>
      <c r="AH281" s="282">
        <f>+'Proyectos Base digitable'!AJ188</f>
        <v>0</v>
      </c>
      <c r="AI281" s="282">
        <f>+'Proyectos Base digitable'!AK188</f>
        <v>0</v>
      </c>
      <c r="AJ281" s="285">
        <f>+'Proyectos Base digitable'!AL188</f>
        <v>0</v>
      </c>
      <c r="AK281" s="286">
        <f>+'Proyectos Base digitable'!AM188</f>
        <v>0</v>
      </c>
      <c r="AL281" s="286">
        <f>+'Proyectos Base digitable'!AN188</f>
        <v>0</v>
      </c>
      <c r="AM281" s="286">
        <f>+'Proyectos Base digitable'!AO188</f>
        <v>0</v>
      </c>
      <c r="AN281" s="286">
        <f>+'Proyectos Base digitable'!AP188</f>
        <v>0</v>
      </c>
      <c r="AO281" s="286">
        <f>+'Proyectos Base digitable'!AQ188</f>
        <v>0</v>
      </c>
      <c r="AP281" s="286">
        <f>+'Proyectos Base digitable'!AR188</f>
        <v>0</v>
      </c>
      <c r="AQ281" s="286">
        <f>+'Proyectos Base digitable'!AS188</f>
        <v>0</v>
      </c>
      <c r="AR281" s="286">
        <f>+'Proyectos Base digitable'!AT188</f>
        <v>0</v>
      </c>
      <c r="AS281" s="286">
        <f>+'Proyectos Base digitable'!AU188</f>
        <v>0</v>
      </c>
      <c r="AT281" s="286">
        <f>+'Proyectos Base digitable'!AV188</f>
        <v>0</v>
      </c>
      <c r="AU281" s="288">
        <f>+'Proyectos Base digitable'!AW188</f>
        <v>0</v>
      </c>
      <c r="AV281" s="288">
        <f>+'Proyectos Base digitable'!AX188</f>
        <v>0</v>
      </c>
      <c r="AW281" s="288">
        <f>+'Proyectos Base digitable'!AY188</f>
        <v>0</v>
      </c>
      <c r="AX281" s="288">
        <f>+'Proyectos Base digitable'!AZ188</f>
        <v>0</v>
      </c>
      <c r="AY281" s="277">
        <f>+'Proyectos Base digitable'!BA188</f>
        <v>0</v>
      </c>
      <c r="AZ281" s="289">
        <f>+'Proyectos Base digitable'!BB188</f>
        <v>0</v>
      </c>
      <c r="BA281" s="289">
        <f>+'Proyectos Base digitable'!BC188</f>
        <v>0</v>
      </c>
    </row>
    <row r="282" spans="1:53" ht="13.5" customHeight="1">
      <c r="A282" s="60">
        <f>+'Proyectos Base digitable'!A189</f>
        <v>188</v>
      </c>
      <c r="B282" s="277" t="str">
        <f>+'Proyectos Base digitable'!B189</f>
        <v>ADI</v>
      </c>
      <c r="C282" s="277" t="str">
        <f>+'Proyectos Base digitable'!C189</f>
        <v>N/A</v>
      </c>
      <c r="D282" s="277" t="str">
        <f>+'Proyectos Base digitable'!D189</f>
        <v>Línea Económica_Ciudad Dinámica</v>
      </c>
      <c r="E282" s="278" t="str">
        <f>+'Proyectos Base digitable'!E189</f>
        <v>Recreación_y_Deporte</v>
      </c>
      <c r="F282" s="56" t="str">
        <f>+'Proyectos Base digitable'!F189</f>
        <v>Parques</v>
      </c>
      <c r="G282" s="279" t="str">
        <f>+'Proyectos Base digitable'!G189</f>
        <v>Parque-VIII-Grupo 1 CANCHA SANTA MARTA</v>
      </c>
      <c r="H282" s="56" t="str">
        <f>+'Proyectos Base digitable'!H189</f>
        <v>SURORIENTE</v>
      </c>
      <c r="I282" s="56" t="str">
        <f>+'Proyectos Base digitable'!I189</f>
        <v>SIMON BOLIVAR</v>
      </c>
      <c r="J282" s="56" t="str">
        <f>+'Proyectos Base digitable'!J189</f>
        <v>K 5C C 19</v>
      </c>
      <c r="K282" s="56" t="str">
        <f>+'Proyectos Base digitable'!K189</f>
        <v xml:space="preserve"> 10°56'40.30"N    74°46'38.87"O</v>
      </c>
      <c r="L282" s="56">
        <f>+'Proyectos Base digitable'!L189</f>
        <v>-74.777483399999994</v>
      </c>
      <c r="M282" s="280">
        <f>+'Proyectos Base digitable'!M189</f>
        <v>10.944601479999999</v>
      </c>
      <c r="N282" s="281" t="str">
        <f>+'Proyectos Base digitable'!N189</f>
        <v>Precontractual</v>
      </c>
      <c r="O282" s="281" t="str">
        <f>+'Proyectos Base digitable'!O189</f>
        <v>Perfeccionamiento_y_Legalización</v>
      </c>
      <c r="P282" s="187">
        <f>+'Proyectos Base digitable'!P189</f>
        <v>1327804191</v>
      </c>
      <c r="Q282" s="282">
        <f>+'Proyectos Base digitable'!Q189</f>
        <v>0</v>
      </c>
      <c r="R282" s="282">
        <f>+'Proyectos Base digitable'!R189</f>
        <v>0</v>
      </c>
      <c r="S282" s="58">
        <f>+'Proyectos Base digitable'!S189</f>
        <v>0</v>
      </c>
      <c r="T282" s="52" t="str">
        <f>+'Proyectos Base digitable'!T189</f>
        <v>Verde</v>
      </c>
      <c r="U282" s="283">
        <f>'Proyectos Base digitable'!U189</f>
        <v>0</v>
      </c>
      <c r="V282" s="284">
        <f>'Proyectos Base digitable'!V189</f>
        <v>0</v>
      </c>
      <c r="W282" s="284">
        <f>'Proyectos Base digitable'!W189</f>
        <v>0</v>
      </c>
      <c r="X282" s="284">
        <f>'Proyectos Base digitable'!X189</f>
        <v>0</v>
      </c>
      <c r="Y282" s="284">
        <f>'Proyectos Base digitable'!Y189</f>
        <v>0</v>
      </c>
      <c r="Z282" s="58">
        <f>+'Proyectos Base digitable'!Z189</f>
        <v>0</v>
      </c>
      <c r="AA282" s="58">
        <f>+'Proyectos Base digitable'!AA189</f>
        <v>0</v>
      </c>
      <c r="AB282" s="283">
        <f>'Proyectos Base digitable'!AD189</f>
        <v>0</v>
      </c>
      <c r="AC282" s="56" t="str">
        <f>+'Proyectos Base digitable'!AE189</f>
        <v>SA-008-2025 LOTE 1</v>
      </c>
      <c r="AD282" s="282" t="str">
        <f>+'Proyectos Base digitable'!AF189</f>
        <v>CONSORCIO BARRANQUILLA PG</v>
      </c>
      <c r="AE282" s="282">
        <f>+'Proyectos Base digitable'!AG189</f>
        <v>0</v>
      </c>
      <c r="AF282" s="282">
        <f>+'Proyectos Base digitable'!AH189</f>
        <v>0</v>
      </c>
      <c r="AG282" s="277">
        <f>+'Proyectos Base digitable'!AI189</f>
        <v>0</v>
      </c>
      <c r="AH282" s="282">
        <f>+'Proyectos Base digitable'!AJ189</f>
        <v>0</v>
      </c>
      <c r="AI282" s="282">
        <f>+'Proyectos Base digitable'!AK189</f>
        <v>0</v>
      </c>
      <c r="AJ282" s="285">
        <f>+'Proyectos Base digitable'!AL189</f>
        <v>0</v>
      </c>
      <c r="AK282" s="286">
        <f>+'Proyectos Base digitable'!AM189</f>
        <v>0</v>
      </c>
      <c r="AL282" s="286">
        <f>+'Proyectos Base digitable'!AN189</f>
        <v>0</v>
      </c>
      <c r="AM282" s="286">
        <f>+'Proyectos Base digitable'!AO189</f>
        <v>0</v>
      </c>
      <c r="AN282" s="286">
        <f>+'Proyectos Base digitable'!AP189</f>
        <v>0</v>
      </c>
      <c r="AO282" s="286">
        <f>+'Proyectos Base digitable'!AQ189</f>
        <v>0</v>
      </c>
      <c r="AP282" s="286">
        <f>+'Proyectos Base digitable'!AR189</f>
        <v>0</v>
      </c>
      <c r="AQ282" s="286">
        <f>+'Proyectos Base digitable'!AS189</f>
        <v>0</v>
      </c>
      <c r="AR282" s="286">
        <f>+'Proyectos Base digitable'!AT189</f>
        <v>0</v>
      </c>
      <c r="AS282" s="286">
        <f>+'Proyectos Base digitable'!AU189</f>
        <v>0</v>
      </c>
      <c r="AT282" s="286">
        <f>+'Proyectos Base digitable'!AV189</f>
        <v>0</v>
      </c>
      <c r="AU282" s="288">
        <f>+'Proyectos Base digitable'!AW189</f>
        <v>0</v>
      </c>
      <c r="AV282" s="288">
        <f>+'Proyectos Base digitable'!AX189</f>
        <v>0</v>
      </c>
      <c r="AW282" s="288">
        <f>+'Proyectos Base digitable'!AY189</f>
        <v>0</v>
      </c>
      <c r="AX282" s="288">
        <f>+'Proyectos Base digitable'!AZ189</f>
        <v>0</v>
      </c>
      <c r="AY282" s="277">
        <f>+'Proyectos Base digitable'!BA189</f>
        <v>0</v>
      </c>
      <c r="AZ282" s="289">
        <f>+'Proyectos Base digitable'!BB189</f>
        <v>0</v>
      </c>
      <c r="BA282" s="289">
        <f>+'Proyectos Base digitable'!BC189</f>
        <v>0</v>
      </c>
    </row>
    <row r="283" spans="1:53" ht="13.5" customHeight="1">
      <c r="A283" s="60">
        <f>+'Proyectos Base digitable'!A190</f>
        <v>189</v>
      </c>
      <c r="B283" s="277" t="str">
        <f>+'Proyectos Base digitable'!B190</f>
        <v>ADI</v>
      </c>
      <c r="C283" s="277" t="str">
        <f>+'Proyectos Base digitable'!C190</f>
        <v>N/A</v>
      </c>
      <c r="D283" s="277" t="str">
        <f>+'Proyectos Base digitable'!D190</f>
        <v>Línea Económica_Ciudad Dinámica</v>
      </c>
      <c r="E283" s="278" t="str">
        <f>+'Proyectos Base digitable'!E190</f>
        <v>Recreación_y_Deporte</v>
      </c>
      <c r="F283" s="56" t="str">
        <f>+'Proyectos Base digitable'!F190</f>
        <v>Parques</v>
      </c>
      <c r="G283" s="279" t="str">
        <f>+'Proyectos Base digitable'!G190</f>
        <v>Parque-VIII-Grupo 1 CANCHA SIMON BOLIVAR</v>
      </c>
      <c r="H283" s="56" t="str">
        <f>+'Proyectos Base digitable'!H190</f>
        <v>SURORIENTE</v>
      </c>
      <c r="I283" s="56" t="str">
        <f>+'Proyectos Base digitable'!I190</f>
        <v>SIMON BOLIVAR</v>
      </c>
      <c r="J283" s="56" t="str">
        <f>+'Proyectos Base digitable'!J190</f>
        <v>K 4C Y 5 C 19 Y 23</v>
      </c>
      <c r="K283" s="56" t="str">
        <f>+'Proyectos Base digitable'!K190</f>
        <v xml:space="preserve"> 10°56'33.86"N     74°46'41.55"O</v>
      </c>
      <c r="L283" s="56">
        <f>+'Proyectos Base digitable'!L190</f>
        <v>-74.778232189999997</v>
      </c>
      <c r="M283" s="280">
        <f>+'Proyectos Base digitable'!M190</f>
        <v>10.942779740000001</v>
      </c>
      <c r="N283" s="281" t="str">
        <f>+'Proyectos Base digitable'!N190</f>
        <v>Precontractual</v>
      </c>
      <c r="O283" s="281" t="str">
        <f>+'Proyectos Base digitable'!O190</f>
        <v>Perfeccionamiento_y_Legalización</v>
      </c>
      <c r="P283" s="187">
        <f>+'Proyectos Base digitable'!P190</f>
        <v>3864276974</v>
      </c>
      <c r="Q283" s="282">
        <f>+'Proyectos Base digitable'!Q190</f>
        <v>0</v>
      </c>
      <c r="R283" s="282">
        <f>+'Proyectos Base digitable'!R190</f>
        <v>0</v>
      </c>
      <c r="S283" s="58">
        <f>+'Proyectos Base digitable'!S190</f>
        <v>0</v>
      </c>
      <c r="T283" s="52" t="str">
        <f>+'Proyectos Base digitable'!T190</f>
        <v>Verde</v>
      </c>
      <c r="U283" s="283">
        <f>'Proyectos Base digitable'!U190</f>
        <v>0</v>
      </c>
      <c r="V283" s="284">
        <f>'Proyectos Base digitable'!V190</f>
        <v>0</v>
      </c>
      <c r="W283" s="284">
        <f>'Proyectos Base digitable'!W190</f>
        <v>0</v>
      </c>
      <c r="X283" s="284">
        <f>'Proyectos Base digitable'!X190</f>
        <v>0</v>
      </c>
      <c r="Y283" s="284">
        <f>'Proyectos Base digitable'!Y190</f>
        <v>0</v>
      </c>
      <c r="Z283" s="58">
        <f>+'Proyectos Base digitable'!Z190</f>
        <v>0</v>
      </c>
      <c r="AA283" s="58">
        <f>+'Proyectos Base digitable'!AA190</f>
        <v>0</v>
      </c>
      <c r="AB283" s="283">
        <f>'Proyectos Base digitable'!AD190</f>
        <v>0</v>
      </c>
      <c r="AC283" s="56" t="str">
        <f>+'Proyectos Base digitable'!AE190</f>
        <v>SA-008-2025 LOTE 1</v>
      </c>
      <c r="AD283" s="282" t="str">
        <f>+'Proyectos Base digitable'!AF190</f>
        <v>CONSORCIO BARRANQUILLA PG</v>
      </c>
      <c r="AE283" s="282">
        <f>+'Proyectos Base digitable'!AG190</f>
        <v>0</v>
      </c>
      <c r="AF283" s="282">
        <f>+'Proyectos Base digitable'!AH190</f>
        <v>0</v>
      </c>
      <c r="AG283" s="277">
        <f>+'Proyectos Base digitable'!AI190</f>
        <v>0</v>
      </c>
      <c r="AH283" s="282">
        <f>+'Proyectos Base digitable'!AJ190</f>
        <v>0</v>
      </c>
      <c r="AI283" s="282">
        <f>+'Proyectos Base digitable'!AK190</f>
        <v>0</v>
      </c>
      <c r="AJ283" s="285">
        <f>+'Proyectos Base digitable'!AL190</f>
        <v>0</v>
      </c>
      <c r="AK283" s="286">
        <f>+'Proyectos Base digitable'!AM190</f>
        <v>0</v>
      </c>
      <c r="AL283" s="286">
        <f>+'Proyectos Base digitable'!AN190</f>
        <v>0</v>
      </c>
      <c r="AM283" s="286">
        <f>+'Proyectos Base digitable'!AO190</f>
        <v>0</v>
      </c>
      <c r="AN283" s="286">
        <f>+'Proyectos Base digitable'!AP190</f>
        <v>0</v>
      </c>
      <c r="AO283" s="286">
        <f>+'Proyectos Base digitable'!AQ190</f>
        <v>0</v>
      </c>
      <c r="AP283" s="286">
        <f>+'Proyectos Base digitable'!AR190</f>
        <v>0</v>
      </c>
      <c r="AQ283" s="286">
        <f>+'Proyectos Base digitable'!AS190</f>
        <v>0</v>
      </c>
      <c r="AR283" s="286">
        <f>+'Proyectos Base digitable'!AT190</f>
        <v>0</v>
      </c>
      <c r="AS283" s="286">
        <f>+'Proyectos Base digitable'!AU190</f>
        <v>0</v>
      </c>
      <c r="AT283" s="286">
        <f>+'Proyectos Base digitable'!AV190</f>
        <v>0</v>
      </c>
      <c r="AU283" s="288">
        <f>+'Proyectos Base digitable'!AW190</f>
        <v>0</v>
      </c>
      <c r="AV283" s="288">
        <f>+'Proyectos Base digitable'!AX190</f>
        <v>0</v>
      </c>
      <c r="AW283" s="288">
        <f>+'Proyectos Base digitable'!AY190</f>
        <v>0</v>
      </c>
      <c r="AX283" s="288">
        <f>+'Proyectos Base digitable'!AZ190</f>
        <v>0</v>
      </c>
      <c r="AY283" s="277">
        <f>+'Proyectos Base digitable'!BA190</f>
        <v>0</v>
      </c>
      <c r="AZ283" s="289">
        <f>+'Proyectos Base digitable'!BB190</f>
        <v>0</v>
      </c>
      <c r="BA283" s="289">
        <f>+'Proyectos Base digitable'!BC190</f>
        <v>0</v>
      </c>
    </row>
    <row r="284" spans="1:53" ht="13.5" customHeight="1">
      <c r="A284" s="60">
        <f>+'Proyectos Base digitable'!A191</f>
        <v>190</v>
      </c>
      <c r="B284" s="277" t="str">
        <f>+'Proyectos Base digitable'!B191</f>
        <v>ADI</v>
      </c>
      <c r="C284" s="277" t="str">
        <f>+'Proyectos Base digitable'!C191</f>
        <v>N/A</v>
      </c>
      <c r="D284" s="277" t="str">
        <f>+'Proyectos Base digitable'!D191</f>
        <v>Línea Económica_Ciudad Dinámica</v>
      </c>
      <c r="E284" s="278" t="str">
        <f>+'Proyectos Base digitable'!E191</f>
        <v>Recreación_y_Deporte</v>
      </c>
      <c r="F284" s="56" t="str">
        <f>+'Proyectos Base digitable'!F191</f>
        <v>Parques</v>
      </c>
      <c r="G284" s="279" t="str">
        <f>+'Proyectos Base digitable'!G191</f>
        <v>Parque-VIII-Grupo 2 BULEVAR LAS GARDENIAS</v>
      </c>
      <c r="H284" s="56" t="str">
        <f>+'Proyectos Base digitable'!H191</f>
        <v>METROPOLITANA</v>
      </c>
      <c r="I284" s="56" t="str">
        <f>+'Proyectos Base digitable'!I191</f>
        <v>GARDENIAS</v>
      </c>
      <c r="J284" s="56" t="str">
        <f>+'Proyectos Base digitable'!J191</f>
        <v>C 98C K1E 3C</v>
      </c>
      <c r="K284" s="56" t="str">
        <f>+'Proyectos Base digitable'!K191</f>
        <v xml:space="preserve"> 10°56'20.98"N    74°49'44.44"O</v>
      </c>
      <c r="L284" s="56">
        <f>+'Proyectos Base digitable'!L191</f>
        <v>-74.829016999999993</v>
      </c>
      <c r="M284" s="280">
        <f>+'Proyectos Base digitable'!M191</f>
        <v>10.939278</v>
      </c>
      <c r="N284" s="281" t="str">
        <f>+'Proyectos Base digitable'!N191</f>
        <v>Precontractual</v>
      </c>
      <c r="O284" s="281" t="str">
        <f>+'Proyectos Base digitable'!O191</f>
        <v>Perfeccionamiento_y_Legalización</v>
      </c>
      <c r="P284" s="187">
        <f>+'Proyectos Base digitable'!P191</f>
        <v>3722132625</v>
      </c>
      <c r="Q284" s="282">
        <f>+'Proyectos Base digitable'!Q191</f>
        <v>0</v>
      </c>
      <c r="R284" s="282">
        <f>+'Proyectos Base digitable'!R191</f>
        <v>0</v>
      </c>
      <c r="S284" s="58">
        <f>+'Proyectos Base digitable'!S191</f>
        <v>0</v>
      </c>
      <c r="T284" s="52" t="str">
        <f>+'Proyectos Base digitable'!T191</f>
        <v>Verde</v>
      </c>
      <c r="U284" s="283">
        <f>'Proyectos Base digitable'!U191</f>
        <v>0</v>
      </c>
      <c r="V284" s="284">
        <f>'Proyectos Base digitable'!V191</f>
        <v>0</v>
      </c>
      <c r="W284" s="284">
        <f>'Proyectos Base digitable'!W191</f>
        <v>0</v>
      </c>
      <c r="X284" s="284">
        <f>'Proyectos Base digitable'!X191</f>
        <v>0</v>
      </c>
      <c r="Y284" s="284">
        <f>'Proyectos Base digitable'!Y191</f>
        <v>0</v>
      </c>
      <c r="Z284" s="58">
        <f>+'Proyectos Base digitable'!Z191</f>
        <v>0</v>
      </c>
      <c r="AA284" s="58">
        <f>+'Proyectos Base digitable'!AA191</f>
        <v>0</v>
      </c>
      <c r="AB284" s="283">
        <f>'Proyectos Base digitable'!AD191</f>
        <v>0</v>
      </c>
      <c r="AC284" s="56" t="str">
        <f>+'Proyectos Base digitable'!AE191</f>
        <v>SA-008-2025 LOTE 2</v>
      </c>
      <c r="AD284" s="282" t="str">
        <f>+'Proyectos Base digitable'!AF191</f>
        <v>CONSORCIO BARRANQUILLA PG</v>
      </c>
      <c r="AE284" s="282">
        <f>+'Proyectos Base digitable'!AG191</f>
        <v>0</v>
      </c>
      <c r="AF284" s="282">
        <f>+'Proyectos Base digitable'!AH191</f>
        <v>0</v>
      </c>
      <c r="AG284" s="277">
        <f>+'Proyectos Base digitable'!AI191</f>
        <v>0</v>
      </c>
      <c r="AH284" s="282">
        <f>+'Proyectos Base digitable'!AJ191</f>
        <v>0</v>
      </c>
      <c r="AI284" s="282">
        <f>+'Proyectos Base digitable'!AK191</f>
        <v>0</v>
      </c>
      <c r="AJ284" s="285">
        <f>+'Proyectos Base digitable'!AL191</f>
        <v>0</v>
      </c>
      <c r="AK284" s="286">
        <f>+'Proyectos Base digitable'!AM191</f>
        <v>0</v>
      </c>
      <c r="AL284" s="286">
        <f>+'Proyectos Base digitable'!AN191</f>
        <v>0</v>
      </c>
      <c r="AM284" s="286">
        <f>+'Proyectos Base digitable'!AO191</f>
        <v>0</v>
      </c>
      <c r="AN284" s="286">
        <f>+'Proyectos Base digitable'!AP191</f>
        <v>0</v>
      </c>
      <c r="AO284" s="286">
        <f>+'Proyectos Base digitable'!AQ191</f>
        <v>0</v>
      </c>
      <c r="AP284" s="286">
        <f>+'Proyectos Base digitable'!AR191</f>
        <v>0</v>
      </c>
      <c r="AQ284" s="286">
        <f>+'Proyectos Base digitable'!AS191</f>
        <v>0</v>
      </c>
      <c r="AR284" s="286">
        <f>+'Proyectos Base digitable'!AT191</f>
        <v>0</v>
      </c>
      <c r="AS284" s="286">
        <f>+'Proyectos Base digitable'!AU191</f>
        <v>0</v>
      </c>
      <c r="AT284" s="286">
        <f>+'Proyectos Base digitable'!AV191</f>
        <v>0</v>
      </c>
      <c r="AU284" s="288">
        <f>+'Proyectos Base digitable'!AW191</f>
        <v>0</v>
      </c>
      <c r="AV284" s="288">
        <f>+'Proyectos Base digitable'!AX191</f>
        <v>0</v>
      </c>
      <c r="AW284" s="288">
        <f>+'Proyectos Base digitable'!AY191</f>
        <v>0</v>
      </c>
      <c r="AX284" s="288">
        <f>+'Proyectos Base digitable'!AZ191</f>
        <v>0</v>
      </c>
      <c r="AY284" s="277">
        <f>+'Proyectos Base digitable'!BA191</f>
        <v>0</v>
      </c>
      <c r="AZ284" s="289">
        <f>+'Proyectos Base digitable'!BB191</f>
        <v>0</v>
      </c>
      <c r="BA284" s="289">
        <f>+'Proyectos Base digitable'!BC191</f>
        <v>0</v>
      </c>
    </row>
    <row r="285" spans="1:53" ht="13.5" customHeight="1">
      <c r="A285" s="60">
        <f>+'Proyectos Base digitable'!A192</f>
        <v>191</v>
      </c>
      <c r="B285" s="277" t="str">
        <f>+'Proyectos Base digitable'!B192</f>
        <v>ADI</v>
      </c>
      <c r="C285" s="277" t="str">
        <f>+'Proyectos Base digitable'!C192</f>
        <v>N/A</v>
      </c>
      <c r="D285" s="277" t="str">
        <f>+'Proyectos Base digitable'!D192</f>
        <v>Línea Económica_Ciudad Dinámica</v>
      </c>
      <c r="E285" s="278" t="str">
        <f>+'Proyectos Base digitable'!E192</f>
        <v>Recreación_y_Deporte</v>
      </c>
      <c r="F285" s="56" t="str">
        <f>+'Proyectos Base digitable'!F192</f>
        <v>Parques</v>
      </c>
      <c r="G285" s="279" t="str">
        <f>+'Proyectos Base digitable'!G192</f>
        <v>Parque-VIII-Grupo 2 CANCHA SANTA CRUZ</v>
      </c>
      <c r="H285" s="56" t="str">
        <f>+'Proyectos Base digitable'!H192</f>
        <v>METROPOLITANA</v>
      </c>
      <c r="I285" s="56" t="str">
        <f>+'Proyectos Base digitable'!I192</f>
        <v>CIUDADELA 20 DE JULIO</v>
      </c>
      <c r="J285" s="56" t="str">
        <f>+'Proyectos Base digitable'!J192</f>
        <v xml:space="preserve">K 1B2 - CL 46J Y 46G </v>
      </c>
      <c r="K285" s="56" t="str">
        <f>+'Proyectos Base digitable'!K192</f>
        <v xml:space="preserve"> 10°55'54.58"N     74°48'14.64"O</v>
      </c>
      <c r="L285" s="56">
        <f>+'Proyectos Base digitable'!L192</f>
        <v>-74.804063200000002</v>
      </c>
      <c r="M285" s="280">
        <f>+'Proyectos Base digitable'!M192</f>
        <v>10.93186287</v>
      </c>
      <c r="N285" s="281" t="str">
        <f>+'Proyectos Base digitable'!N192</f>
        <v>Precontractual</v>
      </c>
      <c r="O285" s="281" t="str">
        <f>+'Proyectos Base digitable'!O192</f>
        <v>Perfeccionamiento_y_Legalización</v>
      </c>
      <c r="P285" s="187">
        <f>+'Proyectos Base digitable'!P192</f>
        <v>1544737522</v>
      </c>
      <c r="Q285" s="282">
        <f>+'Proyectos Base digitable'!Q192</f>
        <v>0</v>
      </c>
      <c r="R285" s="282">
        <f>+'Proyectos Base digitable'!R192</f>
        <v>0</v>
      </c>
      <c r="S285" s="58">
        <f>+'Proyectos Base digitable'!S192</f>
        <v>0</v>
      </c>
      <c r="T285" s="52" t="str">
        <f>+'Proyectos Base digitable'!T192</f>
        <v>Verde</v>
      </c>
      <c r="U285" s="283">
        <f>'Proyectos Base digitable'!U192</f>
        <v>0</v>
      </c>
      <c r="V285" s="284">
        <f>'Proyectos Base digitable'!V192</f>
        <v>0</v>
      </c>
      <c r="W285" s="284">
        <f>'Proyectos Base digitable'!W192</f>
        <v>0</v>
      </c>
      <c r="X285" s="284">
        <f>'Proyectos Base digitable'!X192</f>
        <v>0</v>
      </c>
      <c r="Y285" s="284">
        <f>'Proyectos Base digitable'!Y192</f>
        <v>0</v>
      </c>
      <c r="Z285" s="58">
        <f>+'Proyectos Base digitable'!Z192</f>
        <v>0</v>
      </c>
      <c r="AA285" s="58">
        <f>+'Proyectos Base digitable'!AA192</f>
        <v>0</v>
      </c>
      <c r="AB285" s="283">
        <f>'Proyectos Base digitable'!AD192</f>
        <v>0</v>
      </c>
      <c r="AC285" s="56" t="str">
        <f>+'Proyectos Base digitable'!AE192</f>
        <v>SA-008-2025 LOTE 2</v>
      </c>
      <c r="AD285" s="282" t="str">
        <f>+'Proyectos Base digitable'!AF192</f>
        <v>CONSORCIO BARRANQUILLA PG</v>
      </c>
      <c r="AE285" s="282">
        <f>+'Proyectos Base digitable'!AG192</f>
        <v>0</v>
      </c>
      <c r="AF285" s="282">
        <f>+'Proyectos Base digitable'!AH192</f>
        <v>0</v>
      </c>
      <c r="AG285" s="277">
        <f>+'Proyectos Base digitable'!AI192</f>
        <v>0</v>
      </c>
      <c r="AH285" s="282">
        <f>+'Proyectos Base digitable'!AJ192</f>
        <v>0</v>
      </c>
      <c r="AI285" s="282">
        <f>+'Proyectos Base digitable'!AK192</f>
        <v>0</v>
      </c>
      <c r="AJ285" s="285">
        <f>+'Proyectos Base digitable'!AL192</f>
        <v>0</v>
      </c>
      <c r="AK285" s="286">
        <f>+'Proyectos Base digitable'!AM192</f>
        <v>0</v>
      </c>
      <c r="AL285" s="286">
        <f>+'Proyectos Base digitable'!AN192</f>
        <v>0</v>
      </c>
      <c r="AM285" s="286">
        <f>+'Proyectos Base digitable'!AO192</f>
        <v>0</v>
      </c>
      <c r="AN285" s="286">
        <f>+'Proyectos Base digitable'!AP192</f>
        <v>0</v>
      </c>
      <c r="AO285" s="286">
        <f>+'Proyectos Base digitable'!AQ192</f>
        <v>0</v>
      </c>
      <c r="AP285" s="286">
        <f>+'Proyectos Base digitable'!AR192</f>
        <v>0</v>
      </c>
      <c r="AQ285" s="286">
        <f>+'Proyectos Base digitable'!AS192</f>
        <v>0</v>
      </c>
      <c r="AR285" s="286">
        <f>+'Proyectos Base digitable'!AT192</f>
        <v>0</v>
      </c>
      <c r="AS285" s="286">
        <f>+'Proyectos Base digitable'!AU192</f>
        <v>0</v>
      </c>
      <c r="AT285" s="286">
        <f>+'Proyectos Base digitable'!AV192</f>
        <v>0</v>
      </c>
      <c r="AU285" s="288">
        <f>+'Proyectos Base digitable'!AW192</f>
        <v>0</v>
      </c>
      <c r="AV285" s="288">
        <f>+'Proyectos Base digitable'!AX192</f>
        <v>0</v>
      </c>
      <c r="AW285" s="288">
        <f>+'Proyectos Base digitable'!AY192</f>
        <v>0</v>
      </c>
      <c r="AX285" s="288">
        <f>+'Proyectos Base digitable'!AZ192</f>
        <v>0</v>
      </c>
      <c r="AY285" s="277">
        <f>+'Proyectos Base digitable'!BA192</f>
        <v>0</v>
      </c>
      <c r="AZ285" s="289">
        <f>+'Proyectos Base digitable'!BB192</f>
        <v>0</v>
      </c>
      <c r="BA285" s="289">
        <f>+'Proyectos Base digitable'!BC192</f>
        <v>0</v>
      </c>
    </row>
    <row r="286" spans="1:53" ht="13.5" customHeight="1">
      <c r="A286" s="60">
        <f>+'Proyectos Base digitable'!A193</f>
        <v>192</v>
      </c>
      <c r="B286" s="277" t="str">
        <f>+'Proyectos Base digitable'!B193</f>
        <v>ADI</v>
      </c>
      <c r="C286" s="277" t="str">
        <f>+'Proyectos Base digitable'!C193</f>
        <v>N/A</v>
      </c>
      <c r="D286" s="277" t="str">
        <f>+'Proyectos Base digitable'!D193</f>
        <v>Línea Económica_Ciudad Dinámica</v>
      </c>
      <c r="E286" s="278" t="str">
        <f>+'Proyectos Base digitable'!E193</f>
        <v>Recreación_y_Deporte</v>
      </c>
      <c r="F286" s="56" t="str">
        <f>+'Proyectos Base digitable'!F193</f>
        <v>Parques</v>
      </c>
      <c r="G286" s="279" t="str">
        <f>+'Proyectos Base digitable'!G193</f>
        <v>Parque-VIII-Grupo 2 PARQUE LOS GIRASOLES</v>
      </c>
      <c r="H286" s="56" t="str">
        <f>+'Proyectos Base digitable'!H193</f>
        <v>METROPOLITANA</v>
      </c>
      <c r="I286" s="56" t="str">
        <f>+'Proyectos Base digitable'!I193</f>
        <v>LOS GIRASOLES</v>
      </c>
      <c r="J286" s="56" t="str">
        <f>+'Proyectos Base digitable'!J193</f>
        <v>K14 SUR CALLE 47A</v>
      </c>
      <c r="K286" s="56" t="str">
        <f>+'Proyectos Base digitable'!K193</f>
        <v xml:space="preserve"> 10°55'24.49"N    74°48'19.99"O</v>
      </c>
      <c r="L286" s="56">
        <f>+'Proyectos Base digitable'!L193</f>
        <v>-74.805533999999994</v>
      </c>
      <c r="M286" s="280">
        <f>+'Proyectos Base digitable'!M193</f>
        <v>10.923495000000001</v>
      </c>
      <c r="N286" s="281" t="str">
        <f>+'Proyectos Base digitable'!N193</f>
        <v>Precontractual</v>
      </c>
      <c r="O286" s="281" t="str">
        <f>+'Proyectos Base digitable'!O193</f>
        <v>Perfeccionamiento_y_Legalización</v>
      </c>
      <c r="P286" s="187">
        <f>+'Proyectos Base digitable'!P193</f>
        <v>1113802385</v>
      </c>
      <c r="Q286" s="282">
        <f>+'Proyectos Base digitable'!Q193</f>
        <v>0</v>
      </c>
      <c r="R286" s="282">
        <f>+'Proyectos Base digitable'!R193</f>
        <v>0</v>
      </c>
      <c r="S286" s="58">
        <f>+'Proyectos Base digitable'!S193</f>
        <v>0</v>
      </c>
      <c r="T286" s="52" t="str">
        <f>+'Proyectos Base digitable'!T193</f>
        <v>Verde</v>
      </c>
      <c r="U286" s="283">
        <f>'Proyectos Base digitable'!U193</f>
        <v>0</v>
      </c>
      <c r="V286" s="284">
        <f>'Proyectos Base digitable'!V193</f>
        <v>0</v>
      </c>
      <c r="W286" s="284">
        <f>'Proyectos Base digitable'!W193</f>
        <v>0</v>
      </c>
      <c r="X286" s="284">
        <f>'Proyectos Base digitable'!X193</f>
        <v>0</v>
      </c>
      <c r="Y286" s="284">
        <f>'Proyectos Base digitable'!Y193</f>
        <v>0</v>
      </c>
      <c r="Z286" s="58">
        <f>+'Proyectos Base digitable'!Z193</f>
        <v>0</v>
      </c>
      <c r="AA286" s="58">
        <f>+'Proyectos Base digitable'!AA193</f>
        <v>0</v>
      </c>
      <c r="AB286" s="283">
        <f>'Proyectos Base digitable'!AD193</f>
        <v>0</v>
      </c>
      <c r="AC286" s="56" t="str">
        <f>+'Proyectos Base digitable'!AE193</f>
        <v>SA-008-2025 LOTE 2</v>
      </c>
      <c r="AD286" s="282" t="str">
        <f>+'Proyectos Base digitable'!AF193</f>
        <v>CONSORCIO BARRANQUILLA PG</v>
      </c>
      <c r="AE286" s="282">
        <f>+'Proyectos Base digitable'!AG193</f>
        <v>0</v>
      </c>
      <c r="AF286" s="282">
        <f>+'Proyectos Base digitable'!AH193</f>
        <v>0</v>
      </c>
      <c r="AG286" s="277">
        <f>+'Proyectos Base digitable'!AI193</f>
        <v>0</v>
      </c>
      <c r="AH286" s="282">
        <f>+'Proyectos Base digitable'!AJ193</f>
        <v>0</v>
      </c>
      <c r="AI286" s="282">
        <f>+'Proyectos Base digitable'!AK193</f>
        <v>0</v>
      </c>
      <c r="AJ286" s="285">
        <f>+'Proyectos Base digitable'!AL193</f>
        <v>0</v>
      </c>
      <c r="AK286" s="286">
        <f>+'Proyectos Base digitable'!AM193</f>
        <v>0</v>
      </c>
      <c r="AL286" s="286">
        <f>+'Proyectos Base digitable'!AN193</f>
        <v>0</v>
      </c>
      <c r="AM286" s="286">
        <f>+'Proyectos Base digitable'!AO193</f>
        <v>0</v>
      </c>
      <c r="AN286" s="286">
        <f>+'Proyectos Base digitable'!AP193</f>
        <v>0</v>
      </c>
      <c r="AO286" s="286">
        <f>+'Proyectos Base digitable'!AQ193</f>
        <v>0</v>
      </c>
      <c r="AP286" s="286">
        <f>+'Proyectos Base digitable'!AR193</f>
        <v>0</v>
      </c>
      <c r="AQ286" s="286">
        <f>+'Proyectos Base digitable'!AS193</f>
        <v>0</v>
      </c>
      <c r="AR286" s="286">
        <f>+'Proyectos Base digitable'!AT193</f>
        <v>0</v>
      </c>
      <c r="AS286" s="286">
        <f>+'Proyectos Base digitable'!AU193</f>
        <v>0</v>
      </c>
      <c r="AT286" s="286">
        <f>+'Proyectos Base digitable'!AV193</f>
        <v>0</v>
      </c>
      <c r="AU286" s="288">
        <f>+'Proyectos Base digitable'!AW193</f>
        <v>0</v>
      </c>
      <c r="AV286" s="288">
        <f>+'Proyectos Base digitable'!AX193</f>
        <v>0</v>
      </c>
      <c r="AW286" s="288">
        <f>+'Proyectos Base digitable'!AY193</f>
        <v>0</v>
      </c>
      <c r="AX286" s="288">
        <f>+'Proyectos Base digitable'!AZ193</f>
        <v>0</v>
      </c>
      <c r="AY286" s="277">
        <f>+'Proyectos Base digitable'!BA193</f>
        <v>0</v>
      </c>
      <c r="AZ286" s="289">
        <f>+'Proyectos Base digitable'!BB193</f>
        <v>0</v>
      </c>
      <c r="BA286" s="289">
        <f>+'Proyectos Base digitable'!BC193</f>
        <v>0</v>
      </c>
    </row>
    <row r="287" spans="1:53" ht="13.5" customHeight="1">
      <c r="A287" s="60">
        <f>+'Proyectos Base digitable'!A194</f>
        <v>193</v>
      </c>
      <c r="B287" s="277" t="str">
        <f>+'Proyectos Base digitable'!B194</f>
        <v>ADI</v>
      </c>
      <c r="C287" s="277" t="str">
        <f>+'Proyectos Base digitable'!C194</f>
        <v>N/A</v>
      </c>
      <c r="D287" s="277" t="str">
        <f>+'Proyectos Base digitable'!D194</f>
        <v>Línea Económica_Ciudad Dinámica</v>
      </c>
      <c r="E287" s="278" t="str">
        <f>+'Proyectos Base digitable'!E194</f>
        <v>Recreación_y_Deporte</v>
      </c>
      <c r="F287" s="56" t="str">
        <f>+'Proyectos Base digitable'!F194</f>
        <v>Parques</v>
      </c>
      <c r="G287" s="279" t="str">
        <f>+'Proyectos Base digitable'!G194</f>
        <v>Parque-VIII-Grupo 2 PARQUE LA CEIBA</v>
      </c>
      <c r="H287" s="56" t="str">
        <f>+'Proyectos Base digitable'!H194</f>
        <v>SUROCCIDENTE</v>
      </c>
      <c r="I287" s="56" t="str">
        <f>+'Proyectos Base digitable'!I194</f>
        <v>LA CEIBA</v>
      </c>
      <c r="J287" s="56" t="str">
        <f>+'Proyectos Base digitable'!J194</f>
        <v>K 14 C 60</v>
      </c>
      <c r="K287" s="56" t="str">
        <f>+'Proyectos Base digitable'!K194</f>
        <v xml:space="preserve"> 10°57'37.13"N      74°48'25.71"O</v>
      </c>
      <c r="L287" s="56">
        <f>+'Proyectos Base digitable'!L194</f>
        <v>-74.807135000000002</v>
      </c>
      <c r="M287" s="280">
        <f>+'Proyectos Base digitable'!M194</f>
        <v>10.960248999999999</v>
      </c>
      <c r="N287" s="281" t="str">
        <f>+'Proyectos Base digitable'!N194</f>
        <v>Precontractual</v>
      </c>
      <c r="O287" s="281" t="str">
        <f>+'Proyectos Base digitable'!O194</f>
        <v>Perfeccionamiento_y_Legalización</v>
      </c>
      <c r="P287" s="187">
        <f>+'Proyectos Base digitable'!P194</f>
        <v>2547969983</v>
      </c>
      <c r="Q287" s="282">
        <f>+'Proyectos Base digitable'!Q194</f>
        <v>0</v>
      </c>
      <c r="R287" s="282">
        <f>+'Proyectos Base digitable'!R194</f>
        <v>0</v>
      </c>
      <c r="S287" s="58">
        <f>+'Proyectos Base digitable'!S194</f>
        <v>0</v>
      </c>
      <c r="T287" s="52" t="str">
        <f>+'Proyectos Base digitable'!T194</f>
        <v>Verde</v>
      </c>
      <c r="U287" s="283">
        <f>'Proyectos Base digitable'!U194</f>
        <v>0</v>
      </c>
      <c r="V287" s="284">
        <f>'Proyectos Base digitable'!V194</f>
        <v>0</v>
      </c>
      <c r="W287" s="284">
        <f>'Proyectos Base digitable'!W194</f>
        <v>0</v>
      </c>
      <c r="X287" s="284">
        <f>'Proyectos Base digitable'!X194</f>
        <v>0</v>
      </c>
      <c r="Y287" s="284">
        <f>'Proyectos Base digitable'!Y194</f>
        <v>0</v>
      </c>
      <c r="Z287" s="58">
        <f>+'Proyectos Base digitable'!Z194</f>
        <v>0</v>
      </c>
      <c r="AA287" s="58">
        <f>+'Proyectos Base digitable'!AA194</f>
        <v>0</v>
      </c>
      <c r="AB287" s="283">
        <f>'Proyectos Base digitable'!AD194</f>
        <v>0</v>
      </c>
      <c r="AC287" s="56" t="str">
        <f>+'Proyectos Base digitable'!AE194</f>
        <v>SA-008-2025 LOTE 2</v>
      </c>
      <c r="AD287" s="282" t="str">
        <f>+'Proyectos Base digitable'!AF194</f>
        <v>CONSORCIO BARRANQUILLA PG</v>
      </c>
      <c r="AE287" s="282">
        <f>+'Proyectos Base digitable'!AG194</f>
        <v>0</v>
      </c>
      <c r="AF287" s="282">
        <f>+'Proyectos Base digitable'!AH194</f>
        <v>0</v>
      </c>
      <c r="AG287" s="277">
        <f>+'Proyectos Base digitable'!AI194</f>
        <v>0</v>
      </c>
      <c r="AH287" s="282">
        <f>+'Proyectos Base digitable'!AJ194</f>
        <v>0</v>
      </c>
      <c r="AI287" s="282">
        <f>+'Proyectos Base digitable'!AK194</f>
        <v>0</v>
      </c>
      <c r="AJ287" s="285">
        <f>+'Proyectos Base digitable'!AL194</f>
        <v>0</v>
      </c>
      <c r="AK287" s="286">
        <f>+'Proyectos Base digitable'!AM194</f>
        <v>0</v>
      </c>
      <c r="AL287" s="286">
        <f>+'Proyectos Base digitable'!AN194</f>
        <v>0</v>
      </c>
      <c r="AM287" s="286">
        <f>+'Proyectos Base digitable'!AO194</f>
        <v>0</v>
      </c>
      <c r="AN287" s="286">
        <f>+'Proyectos Base digitable'!AP194</f>
        <v>0</v>
      </c>
      <c r="AO287" s="286">
        <f>+'Proyectos Base digitable'!AQ194</f>
        <v>0</v>
      </c>
      <c r="AP287" s="286">
        <f>+'Proyectos Base digitable'!AR194</f>
        <v>0</v>
      </c>
      <c r="AQ287" s="286">
        <f>+'Proyectos Base digitable'!AS194</f>
        <v>0</v>
      </c>
      <c r="AR287" s="286">
        <f>+'Proyectos Base digitable'!AT194</f>
        <v>0</v>
      </c>
      <c r="AS287" s="286">
        <f>+'Proyectos Base digitable'!AU194</f>
        <v>0</v>
      </c>
      <c r="AT287" s="286">
        <f>+'Proyectos Base digitable'!AV194</f>
        <v>0</v>
      </c>
      <c r="AU287" s="288">
        <f>+'Proyectos Base digitable'!AW194</f>
        <v>0</v>
      </c>
      <c r="AV287" s="288">
        <f>+'Proyectos Base digitable'!AX194</f>
        <v>0</v>
      </c>
      <c r="AW287" s="288">
        <f>+'Proyectos Base digitable'!AY194</f>
        <v>0</v>
      </c>
      <c r="AX287" s="288">
        <f>+'Proyectos Base digitable'!AZ194</f>
        <v>0</v>
      </c>
      <c r="AY287" s="277">
        <f>+'Proyectos Base digitable'!BA194</f>
        <v>0</v>
      </c>
      <c r="AZ287" s="289">
        <f>+'Proyectos Base digitable'!BB194</f>
        <v>0</v>
      </c>
      <c r="BA287" s="289">
        <f>+'Proyectos Base digitable'!BC194</f>
        <v>0</v>
      </c>
    </row>
    <row r="288" spans="1:53" ht="13.5" customHeight="1">
      <c r="A288" s="60">
        <f>+'Proyectos Base digitable'!A195</f>
        <v>194</v>
      </c>
      <c r="B288" s="277" t="str">
        <f>+'Proyectos Base digitable'!B195</f>
        <v>ADI</v>
      </c>
      <c r="C288" s="277" t="str">
        <f>+'Proyectos Base digitable'!C195</f>
        <v>N/A</v>
      </c>
      <c r="D288" s="277" t="str">
        <f>+'Proyectos Base digitable'!D195</f>
        <v>Línea Económica_Ciudad Dinámica</v>
      </c>
      <c r="E288" s="278" t="str">
        <f>+'Proyectos Base digitable'!E195</f>
        <v>Recreación_y_Deporte</v>
      </c>
      <c r="F288" s="56" t="str">
        <f>+'Proyectos Base digitable'!F195</f>
        <v>Parques</v>
      </c>
      <c r="G288" s="279" t="str">
        <f>+'Proyectos Base digitable'!G195</f>
        <v>Parque-VIII-Grupo 2 CANCHA LA MONA</v>
      </c>
      <c r="H288" s="56" t="str">
        <f>+'Proyectos Base digitable'!H195</f>
        <v>SURORIENTE</v>
      </c>
      <c r="I288" s="56" t="str">
        <f>+'Proyectos Base digitable'!I195</f>
        <v>LA LUZ</v>
      </c>
      <c r="J288" s="56">
        <f>+'Proyectos Base digitable'!J195</f>
        <v>0</v>
      </c>
      <c r="K288" s="56" t="str">
        <f>+'Proyectos Base digitable'!K195</f>
        <v>10°57'18.46"N    74°46'19.65"O</v>
      </c>
      <c r="L288" s="56">
        <f>+'Proyectos Base digitable'!L195</f>
        <v>-7477212500</v>
      </c>
      <c r="M288" s="280" t="str">
        <f>+'Proyectos Base digitable'!M195</f>
        <v>10.955128°</v>
      </c>
      <c r="N288" s="281" t="str">
        <f>+'Proyectos Base digitable'!N195</f>
        <v>Precontractual</v>
      </c>
      <c r="O288" s="281" t="str">
        <f>+'Proyectos Base digitable'!O195</f>
        <v>Perfeccionamiento_y_Legalización</v>
      </c>
      <c r="P288" s="187">
        <f>+'Proyectos Base digitable'!P195</f>
        <v>499850000</v>
      </c>
      <c r="Q288" s="282">
        <f>+'Proyectos Base digitable'!Q195</f>
        <v>0</v>
      </c>
      <c r="R288" s="282">
        <f>+'Proyectos Base digitable'!R195</f>
        <v>0</v>
      </c>
      <c r="S288" s="58">
        <f>+'Proyectos Base digitable'!S195</f>
        <v>0</v>
      </c>
      <c r="T288" s="52" t="str">
        <f>+'Proyectos Base digitable'!T195</f>
        <v>Verde</v>
      </c>
      <c r="U288" s="283">
        <f>'Proyectos Base digitable'!U195</f>
        <v>0</v>
      </c>
      <c r="V288" s="284">
        <f>'Proyectos Base digitable'!V195</f>
        <v>0</v>
      </c>
      <c r="W288" s="284">
        <f>'Proyectos Base digitable'!W195</f>
        <v>0</v>
      </c>
      <c r="X288" s="284">
        <f>'Proyectos Base digitable'!X195</f>
        <v>0</v>
      </c>
      <c r="Y288" s="284">
        <f>'Proyectos Base digitable'!Y195</f>
        <v>0</v>
      </c>
      <c r="Z288" s="58">
        <f>+'Proyectos Base digitable'!Z195</f>
        <v>0</v>
      </c>
      <c r="AA288" s="58">
        <f>+'Proyectos Base digitable'!AA195</f>
        <v>0</v>
      </c>
      <c r="AB288" s="283">
        <f>'Proyectos Base digitable'!AD195</f>
        <v>0</v>
      </c>
      <c r="AC288" s="56" t="str">
        <f>+'Proyectos Base digitable'!AE195</f>
        <v>SA-008-2025 LOTE 2</v>
      </c>
      <c r="AD288" s="282" t="str">
        <f>+'Proyectos Base digitable'!AF195</f>
        <v>CONSORCIO BARRANQUILLA PG</v>
      </c>
      <c r="AE288" s="282">
        <f>+'Proyectos Base digitable'!AG195</f>
        <v>0</v>
      </c>
      <c r="AF288" s="282">
        <f>+'Proyectos Base digitable'!AH195</f>
        <v>0</v>
      </c>
      <c r="AG288" s="277">
        <f>+'Proyectos Base digitable'!AI195</f>
        <v>0</v>
      </c>
      <c r="AH288" s="282">
        <f>+'Proyectos Base digitable'!AJ195</f>
        <v>0</v>
      </c>
      <c r="AI288" s="282">
        <f>+'Proyectos Base digitable'!AK195</f>
        <v>0</v>
      </c>
      <c r="AJ288" s="285">
        <f>+'Proyectos Base digitable'!AL195</f>
        <v>0</v>
      </c>
      <c r="AK288" s="286">
        <f>+'Proyectos Base digitable'!AM195</f>
        <v>0</v>
      </c>
      <c r="AL288" s="286">
        <f>+'Proyectos Base digitable'!AN195</f>
        <v>0</v>
      </c>
      <c r="AM288" s="286">
        <f>+'Proyectos Base digitable'!AO195</f>
        <v>0</v>
      </c>
      <c r="AN288" s="286">
        <f>+'Proyectos Base digitable'!AP195</f>
        <v>0</v>
      </c>
      <c r="AO288" s="286">
        <f>+'Proyectos Base digitable'!AQ195</f>
        <v>0</v>
      </c>
      <c r="AP288" s="286">
        <f>+'Proyectos Base digitable'!AR195</f>
        <v>0</v>
      </c>
      <c r="AQ288" s="286">
        <f>+'Proyectos Base digitable'!AS195</f>
        <v>0</v>
      </c>
      <c r="AR288" s="286">
        <f>+'Proyectos Base digitable'!AT195</f>
        <v>0</v>
      </c>
      <c r="AS288" s="286">
        <f>+'Proyectos Base digitable'!AU195</f>
        <v>0</v>
      </c>
      <c r="AT288" s="286">
        <f>+'Proyectos Base digitable'!AV195</f>
        <v>0</v>
      </c>
      <c r="AU288" s="288">
        <f>+'Proyectos Base digitable'!AW195</f>
        <v>0</v>
      </c>
      <c r="AV288" s="288">
        <f>+'Proyectos Base digitable'!AX195</f>
        <v>0</v>
      </c>
      <c r="AW288" s="288">
        <f>+'Proyectos Base digitable'!AY195</f>
        <v>0</v>
      </c>
      <c r="AX288" s="288">
        <f>+'Proyectos Base digitable'!AZ195</f>
        <v>0</v>
      </c>
      <c r="AY288" s="277">
        <f>+'Proyectos Base digitable'!BA195</f>
        <v>0</v>
      </c>
      <c r="AZ288" s="289">
        <f>+'Proyectos Base digitable'!BB195</f>
        <v>0</v>
      </c>
      <c r="BA288" s="289">
        <f>+'Proyectos Base digitable'!BC195</f>
        <v>0</v>
      </c>
    </row>
    <row r="289" spans="1:53" ht="13.5" customHeight="1">
      <c r="A289" s="60">
        <f>+'Proyectos Base digitable'!A196</f>
        <v>195</v>
      </c>
      <c r="B289" s="277" t="str">
        <f>+'Proyectos Base digitable'!B196</f>
        <v>ADI</v>
      </c>
      <c r="C289" s="277" t="str">
        <f>+'Proyectos Base digitable'!C196</f>
        <v>N/A</v>
      </c>
      <c r="D289" s="277" t="str">
        <f>+'Proyectos Base digitable'!D196</f>
        <v>Línea Económica_Ciudad Dinámica</v>
      </c>
      <c r="E289" s="278" t="str">
        <f>+'Proyectos Base digitable'!E196</f>
        <v>Recreación_y_Deporte</v>
      </c>
      <c r="F289" s="56" t="str">
        <f>+'Proyectos Base digitable'!F196</f>
        <v>Parques</v>
      </c>
      <c r="G289" s="279" t="str">
        <f>+'Proyectos Base digitable'!G196</f>
        <v xml:space="preserve">Parque-VIII-Grupo 2 CANCHA ROCA PIEDRA </v>
      </c>
      <c r="H289" s="56" t="str">
        <f>+'Proyectos Base digitable'!H196</f>
        <v>METROPOLITANA</v>
      </c>
      <c r="I289" s="56" t="str">
        <f>+'Proyectos Base digitable'!I196</f>
        <v>CIUDADELA 20 DE JULIO</v>
      </c>
      <c r="J289" s="56" t="str">
        <f>+'Proyectos Base digitable'!J196</f>
        <v>C45 E K1J</v>
      </c>
      <c r="K289" s="56" t="str">
        <f>+'Proyectos Base digitable'!K196</f>
        <v xml:space="preserve"> 10°55'57.72"N      74°48'7.01"O</v>
      </c>
      <c r="L289" s="56">
        <f>+'Proyectos Base digitable'!L196</f>
        <v>-74.801964999999996</v>
      </c>
      <c r="M289" s="280">
        <f>+'Proyectos Base digitable'!M196</f>
        <v>10.932651</v>
      </c>
      <c r="N289" s="281" t="str">
        <f>+'Proyectos Base digitable'!N196</f>
        <v>Precontractual</v>
      </c>
      <c r="O289" s="281" t="str">
        <f>+'Proyectos Base digitable'!O196</f>
        <v>Perfeccionamiento_y_Legalización</v>
      </c>
      <c r="P289" s="187">
        <f>+'Proyectos Base digitable'!P196</f>
        <v>1409337701</v>
      </c>
      <c r="Q289" s="282">
        <f>+'Proyectos Base digitable'!Q196</f>
        <v>0</v>
      </c>
      <c r="R289" s="282">
        <f>+'Proyectos Base digitable'!R196</f>
        <v>0</v>
      </c>
      <c r="S289" s="58">
        <f>+'Proyectos Base digitable'!S196</f>
        <v>0</v>
      </c>
      <c r="T289" s="52" t="str">
        <f>+'Proyectos Base digitable'!T196</f>
        <v>Verde</v>
      </c>
      <c r="U289" s="283">
        <f>'Proyectos Base digitable'!U196</f>
        <v>0</v>
      </c>
      <c r="V289" s="284">
        <f>'Proyectos Base digitable'!V196</f>
        <v>0</v>
      </c>
      <c r="W289" s="284">
        <f>'Proyectos Base digitable'!W196</f>
        <v>0</v>
      </c>
      <c r="X289" s="284">
        <f>'Proyectos Base digitable'!X196</f>
        <v>0</v>
      </c>
      <c r="Y289" s="284">
        <f>'Proyectos Base digitable'!Y196</f>
        <v>0</v>
      </c>
      <c r="Z289" s="58">
        <f>+'Proyectos Base digitable'!Z196</f>
        <v>0</v>
      </c>
      <c r="AA289" s="58">
        <f>+'Proyectos Base digitable'!AA196</f>
        <v>0</v>
      </c>
      <c r="AB289" s="283">
        <f>'Proyectos Base digitable'!AD196</f>
        <v>0</v>
      </c>
      <c r="AC289" s="56" t="str">
        <f>+'Proyectos Base digitable'!AE196</f>
        <v>SA-008-2025 LOTE 2</v>
      </c>
      <c r="AD289" s="282" t="str">
        <f>+'Proyectos Base digitable'!AF196</f>
        <v>CONSORCIO BARRANQUILLA PG</v>
      </c>
      <c r="AE289" s="282">
        <f>+'Proyectos Base digitable'!AG196</f>
        <v>0</v>
      </c>
      <c r="AF289" s="282">
        <f>+'Proyectos Base digitable'!AH196</f>
        <v>0</v>
      </c>
      <c r="AG289" s="277">
        <f>+'Proyectos Base digitable'!AI196</f>
        <v>0</v>
      </c>
      <c r="AH289" s="282">
        <f>+'Proyectos Base digitable'!AJ196</f>
        <v>0</v>
      </c>
      <c r="AI289" s="282">
        <f>+'Proyectos Base digitable'!AK196</f>
        <v>0</v>
      </c>
      <c r="AJ289" s="285">
        <f>+'Proyectos Base digitable'!AL196</f>
        <v>0</v>
      </c>
      <c r="AK289" s="286">
        <f>+'Proyectos Base digitable'!AM196</f>
        <v>0</v>
      </c>
      <c r="AL289" s="286">
        <f>+'Proyectos Base digitable'!AN196</f>
        <v>0</v>
      </c>
      <c r="AM289" s="286">
        <f>+'Proyectos Base digitable'!AO196</f>
        <v>0</v>
      </c>
      <c r="AN289" s="286">
        <f>+'Proyectos Base digitable'!AP196</f>
        <v>0</v>
      </c>
      <c r="AO289" s="286">
        <f>+'Proyectos Base digitable'!AQ196</f>
        <v>0</v>
      </c>
      <c r="AP289" s="286">
        <f>+'Proyectos Base digitable'!AR196</f>
        <v>0</v>
      </c>
      <c r="AQ289" s="286">
        <f>+'Proyectos Base digitable'!AS196</f>
        <v>0</v>
      </c>
      <c r="AR289" s="286">
        <f>+'Proyectos Base digitable'!AT196</f>
        <v>0</v>
      </c>
      <c r="AS289" s="286">
        <f>+'Proyectos Base digitable'!AU196</f>
        <v>0</v>
      </c>
      <c r="AT289" s="286">
        <f>+'Proyectos Base digitable'!AV196</f>
        <v>0</v>
      </c>
      <c r="AU289" s="288">
        <f>+'Proyectos Base digitable'!AW196</f>
        <v>0</v>
      </c>
      <c r="AV289" s="288">
        <f>+'Proyectos Base digitable'!AX196</f>
        <v>0</v>
      </c>
      <c r="AW289" s="288">
        <f>+'Proyectos Base digitable'!AY196</f>
        <v>0</v>
      </c>
      <c r="AX289" s="288">
        <f>+'Proyectos Base digitable'!AZ196</f>
        <v>0</v>
      </c>
      <c r="AY289" s="277">
        <f>+'Proyectos Base digitable'!BA196</f>
        <v>0</v>
      </c>
      <c r="AZ289" s="289">
        <f>+'Proyectos Base digitable'!BB196</f>
        <v>0</v>
      </c>
      <c r="BA289" s="289">
        <f>+'Proyectos Base digitable'!BC196</f>
        <v>0</v>
      </c>
    </row>
    <row r="290" spans="1:53" ht="13.5" customHeight="1">
      <c r="A290" s="60">
        <f>+'Proyectos Base digitable'!A197</f>
        <v>196</v>
      </c>
      <c r="B290" s="277" t="str">
        <f>+'Proyectos Base digitable'!B197</f>
        <v>ADI</v>
      </c>
      <c r="C290" s="277" t="str">
        <f>+'Proyectos Base digitable'!C197</f>
        <v>N/A</v>
      </c>
      <c r="D290" s="277" t="str">
        <f>+'Proyectos Base digitable'!D197</f>
        <v>Línea Económica_Ciudad Dinámica</v>
      </c>
      <c r="E290" s="278" t="str">
        <f>+'Proyectos Base digitable'!E197</f>
        <v>Recreación_y_Deporte</v>
      </c>
      <c r="F290" s="56" t="str">
        <f>+'Proyectos Base digitable'!F197</f>
        <v>Parques</v>
      </c>
      <c r="G290" s="279" t="str">
        <f>+'Proyectos Base digitable'!G197</f>
        <v>Parque-VIII-Grupo 2 CANCHA DE MICROFUTBOL "SOCIEDAD DE CRISTO"</v>
      </c>
      <c r="H290" s="56" t="str">
        <f>+'Proyectos Base digitable'!H197</f>
        <v>SUROCCIDENTE</v>
      </c>
      <c r="I290" s="56" t="str">
        <f>+'Proyectos Base digitable'!I197</f>
        <v>EL SILENCIO</v>
      </c>
      <c r="J290" s="56" t="str">
        <f>+'Proyectos Base digitable'!J197</f>
        <v>K 26C4 C 79</v>
      </c>
      <c r="K290" s="56" t="str">
        <f>+'Proyectos Base digitable'!K197</f>
        <v xml:space="preserve"> 10°58'45.70"N     74°49'5.23"O</v>
      </c>
      <c r="L290" s="56">
        <f>+'Proyectos Base digitable'!L197</f>
        <v>-74.818121000000005</v>
      </c>
      <c r="M290" s="280">
        <f>+'Proyectos Base digitable'!M197</f>
        <v>10.979362999999999</v>
      </c>
      <c r="N290" s="281" t="str">
        <f>+'Proyectos Base digitable'!N197</f>
        <v>Precontractual</v>
      </c>
      <c r="O290" s="281" t="str">
        <f>+'Proyectos Base digitable'!O197</f>
        <v>Perfeccionamiento_y_Legalización</v>
      </c>
      <c r="P290" s="187">
        <f>+'Proyectos Base digitable'!P197</f>
        <v>1712100000</v>
      </c>
      <c r="Q290" s="282">
        <f>+'Proyectos Base digitable'!Q197</f>
        <v>0</v>
      </c>
      <c r="R290" s="282">
        <f>+'Proyectos Base digitable'!R197</f>
        <v>0</v>
      </c>
      <c r="S290" s="58">
        <f>+'Proyectos Base digitable'!S197</f>
        <v>0</v>
      </c>
      <c r="T290" s="52" t="str">
        <f>+'Proyectos Base digitable'!T197</f>
        <v>Verde</v>
      </c>
      <c r="U290" s="283">
        <f>'Proyectos Base digitable'!U197</f>
        <v>0</v>
      </c>
      <c r="V290" s="284">
        <f>'Proyectos Base digitable'!V197</f>
        <v>0</v>
      </c>
      <c r="W290" s="284">
        <f>'Proyectos Base digitable'!W197</f>
        <v>0</v>
      </c>
      <c r="X290" s="284">
        <f>'Proyectos Base digitable'!X197</f>
        <v>0</v>
      </c>
      <c r="Y290" s="284">
        <f>'Proyectos Base digitable'!Y197</f>
        <v>0</v>
      </c>
      <c r="Z290" s="58">
        <f>+'Proyectos Base digitable'!Z197</f>
        <v>0</v>
      </c>
      <c r="AA290" s="58">
        <f>+'Proyectos Base digitable'!AA197</f>
        <v>0</v>
      </c>
      <c r="AB290" s="283">
        <f>'Proyectos Base digitable'!AD197</f>
        <v>0</v>
      </c>
      <c r="AC290" s="56" t="str">
        <f>+'Proyectos Base digitable'!AE197</f>
        <v>SA-008-2025 LOTE 2</v>
      </c>
      <c r="AD290" s="282" t="str">
        <f>+'Proyectos Base digitable'!AF197</f>
        <v>CONSORCIO BARRANQUILLA PG</v>
      </c>
      <c r="AE290" s="282">
        <f>+'Proyectos Base digitable'!AG197</f>
        <v>0</v>
      </c>
      <c r="AF290" s="282">
        <f>+'Proyectos Base digitable'!AH197</f>
        <v>0</v>
      </c>
      <c r="AG290" s="277">
        <f>+'Proyectos Base digitable'!AI197</f>
        <v>0</v>
      </c>
      <c r="AH290" s="282">
        <f>+'Proyectos Base digitable'!AJ197</f>
        <v>0</v>
      </c>
      <c r="AI290" s="282">
        <f>+'Proyectos Base digitable'!AK197</f>
        <v>0</v>
      </c>
      <c r="AJ290" s="285">
        <f>+'Proyectos Base digitable'!AL197</f>
        <v>0</v>
      </c>
      <c r="AK290" s="286">
        <f>+'Proyectos Base digitable'!AM197</f>
        <v>0</v>
      </c>
      <c r="AL290" s="286">
        <f>+'Proyectos Base digitable'!AN197</f>
        <v>0</v>
      </c>
      <c r="AM290" s="286">
        <f>+'Proyectos Base digitable'!AO197</f>
        <v>0</v>
      </c>
      <c r="AN290" s="286">
        <f>+'Proyectos Base digitable'!AP197</f>
        <v>0</v>
      </c>
      <c r="AO290" s="286">
        <f>+'Proyectos Base digitable'!AQ197</f>
        <v>0</v>
      </c>
      <c r="AP290" s="286">
        <f>+'Proyectos Base digitable'!AR197</f>
        <v>0</v>
      </c>
      <c r="AQ290" s="286">
        <f>+'Proyectos Base digitable'!AS197</f>
        <v>0</v>
      </c>
      <c r="AR290" s="286">
        <f>+'Proyectos Base digitable'!AT197</f>
        <v>0</v>
      </c>
      <c r="AS290" s="286">
        <f>+'Proyectos Base digitable'!AU197</f>
        <v>0</v>
      </c>
      <c r="AT290" s="286">
        <f>+'Proyectos Base digitable'!AV197</f>
        <v>0</v>
      </c>
      <c r="AU290" s="288">
        <f>+'Proyectos Base digitable'!AW197</f>
        <v>0</v>
      </c>
      <c r="AV290" s="288">
        <f>+'Proyectos Base digitable'!AX197</f>
        <v>0</v>
      </c>
      <c r="AW290" s="288">
        <f>+'Proyectos Base digitable'!AY197</f>
        <v>0</v>
      </c>
      <c r="AX290" s="288">
        <f>+'Proyectos Base digitable'!AZ197</f>
        <v>0</v>
      </c>
      <c r="AY290" s="277">
        <f>+'Proyectos Base digitable'!BA197</f>
        <v>0</v>
      </c>
      <c r="AZ290" s="289">
        <f>+'Proyectos Base digitable'!BB197</f>
        <v>0</v>
      </c>
      <c r="BA290" s="289">
        <f>+'Proyectos Base digitable'!BC197</f>
        <v>0</v>
      </c>
    </row>
    <row r="291" spans="1:53" ht="13.5" customHeight="1">
      <c r="A291" s="60">
        <f>+'Proyectos Base digitable'!A198</f>
        <v>197</v>
      </c>
      <c r="B291" s="277" t="str">
        <f>+'Proyectos Base digitable'!B198</f>
        <v>ADI</v>
      </c>
      <c r="C291" s="277" t="str">
        <f>+'Proyectos Base digitable'!C198</f>
        <v>N/A</v>
      </c>
      <c r="D291" s="277" t="str">
        <f>+'Proyectos Base digitable'!D198</f>
        <v>Línea Económica_Ciudad Dinámica</v>
      </c>
      <c r="E291" s="278" t="str">
        <f>+'Proyectos Base digitable'!E198</f>
        <v>Recreación_y_Deporte</v>
      </c>
      <c r="F291" s="56" t="str">
        <f>+'Proyectos Base digitable'!F198</f>
        <v>Parques</v>
      </c>
      <c r="G291" s="279" t="str">
        <f>+'Proyectos Base digitable'!G198</f>
        <v xml:space="preserve">Parque-VIII-Grupo 2 CANCHA SANTA MARIA </v>
      </c>
      <c r="H291" s="56" t="str">
        <f>+'Proyectos Base digitable'!H198</f>
        <v>METROPOLITANA</v>
      </c>
      <c r="I291" s="56" t="str">
        <f>+'Proyectos Base digitable'!I198</f>
        <v>SANTA MARIA</v>
      </c>
      <c r="J291" s="56" t="str">
        <f>+'Proyectos Base digitable'!J198</f>
        <v>KR 3B SUR C 77</v>
      </c>
      <c r="K291" s="56" t="str">
        <f>+'Proyectos Base digitable'!K198</f>
        <v xml:space="preserve"> 10°55'54.19"N     74°49'10.33"O</v>
      </c>
      <c r="L291" s="56">
        <f>+'Proyectos Base digitable'!L198</f>
        <v>-74.819485</v>
      </c>
      <c r="M291" s="280">
        <f>+'Proyectos Base digitable'!M198</f>
        <v>10.931673</v>
      </c>
      <c r="N291" s="281" t="str">
        <f>+'Proyectos Base digitable'!N198</f>
        <v>Precontractual</v>
      </c>
      <c r="O291" s="281" t="str">
        <f>+'Proyectos Base digitable'!O198</f>
        <v>Perfeccionamiento_y_Legalización</v>
      </c>
      <c r="P291" s="187">
        <f>+'Proyectos Base digitable'!P198</f>
        <v>6000000000</v>
      </c>
      <c r="Q291" s="282">
        <f>+'Proyectos Base digitable'!Q198</f>
        <v>0</v>
      </c>
      <c r="R291" s="282">
        <f>+'Proyectos Base digitable'!R198</f>
        <v>0</v>
      </c>
      <c r="S291" s="58">
        <f>+'Proyectos Base digitable'!S198</f>
        <v>0</v>
      </c>
      <c r="T291" s="52" t="str">
        <f>+'Proyectos Base digitable'!T198</f>
        <v>Verde</v>
      </c>
      <c r="U291" s="283">
        <f>'Proyectos Base digitable'!U198</f>
        <v>0</v>
      </c>
      <c r="V291" s="284">
        <f>'Proyectos Base digitable'!V198</f>
        <v>0</v>
      </c>
      <c r="W291" s="284">
        <f>'Proyectos Base digitable'!W198</f>
        <v>0</v>
      </c>
      <c r="X291" s="284">
        <f>'Proyectos Base digitable'!X198</f>
        <v>0</v>
      </c>
      <c r="Y291" s="284">
        <f>'Proyectos Base digitable'!Y198</f>
        <v>0</v>
      </c>
      <c r="Z291" s="58">
        <f>+'Proyectos Base digitable'!Z198</f>
        <v>0</v>
      </c>
      <c r="AA291" s="58">
        <f>+'Proyectos Base digitable'!AA198</f>
        <v>0</v>
      </c>
      <c r="AB291" s="283">
        <f>'Proyectos Base digitable'!AD198</f>
        <v>0</v>
      </c>
      <c r="AC291" s="56" t="str">
        <f>+'Proyectos Base digitable'!AE198</f>
        <v>SA-008-2025 LOTE 2</v>
      </c>
      <c r="AD291" s="282" t="str">
        <f>+'Proyectos Base digitable'!AF198</f>
        <v>CONSORCIO BARRANQUILLA PG</v>
      </c>
      <c r="AE291" s="282">
        <f>+'Proyectos Base digitable'!AG198</f>
        <v>0</v>
      </c>
      <c r="AF291" s="282">
        <f>+'Proyectos Base digitable'!AH198</f>
        <v>0</v>
      </c>
      <c r="AG291" s="277">
        <f>+'Proyectos Base digitable'!AI198</f>
        <v>0</v>
      </c>
      <c r="AH291" s="282">
        <f>+'Proyectos Base digitable'!AJ198</f>
        <v>0</v>
      </c>
      <c r="AI291" s="282">
        <f>+'Proyectos Base digitable'!AK198</f>
        <v>0</v>
      </c>
      <c r="AJ291" s="285">
        <f>+'Proyectos Base digitable'!AL198</f>
        <v>0</v>
      </c>
      <c r="AK291" s="286">
        <f>+'Proyectos Base digitable'!AM198</f>
        <v>0</v>
      </c>
      <c r="AL291" s="286">
        <f>+'Proyectos Base digitable'!AN198</f>
        <v>0</v>
      </c>
      <c r="AM291" s="286">
        <f>+'Proyectos Base digitable'!AO198</f>
        <v>0</v>
      </c>
      <c r="AN291" s="286">
        <f>+'Proyectos Base digitable'!AP198</f>
        <v>0</v>
      </c>
      <c r="AO291" s="286">
        <f>+'Proyectos Base digitable'!AQ198</f>
        <v>0</v>
      </c>
      <c r="AP291" s="286">
        <f>+'Proyectos Base digitable'!AR198</f>
        <v>0</v>
      </c>
      <c r="AQ291" s="286">
        <f>+'Proyectos Base digitable'!AS198</f>
        <v>0</v>
      </c>
      <c r="AR291" s="286">
        <f>+'Proyectos Base digitable'!AT198</f>
        <v>0</v>
      </c>
      <c r="AS291" s="286">
        <f>+'Proyectos Base digitable'!AU198</f>
        <v>0</v>
      </c>
      <c r="AT291" s="286">
        <f>+'Proyectos Base digitable'!AV198</f>
        <v>0</v>
      </c>
      <c r="AU291" s="288">
        <f>+'Proyectos Base digitable'!AW198</f>
        <v>0</v>
      </c>
      <c r="AV291" s="288">
        <f>+'Proyectos Base digitable'!AX198</f>
        <v>0</v>
      </c>
      <c r="AW291" s="288">
        <f>+'Proyectos Base digitable'!AY198</f>
        <v>0</v>
      </c>
      <c r="AX291" s="288">
        <f>+'Proyectos Base digitable'!AZ198</f>
        <v>0</v>
      </c>
      <c r="AY291" s="277">
        <f>+'Proyectos Base digitable'!BA198</f>
        <v>0</v>
      </c>
      <c r="AZ291" s="289">
        <f>+'Proyectos Base digitable'!BB198</f>
        <v>0</v>
      </c>
      <c r="BA291" s="289">
        <f>+'Proyectos Base digitable'!BC198</f>
        <v>0</v>
      </c>
    </row>
    <row r="292" spans="1:53" ht="13.5" customHeight="1">
      <c r="A292" s="60">
        <f>+'Proyectos Base digitable'!A199</f>
        <v>198</v>
      </c>
      <c r="B292" s="277" t="str">
        <f>+'Proyectos Base digitable'!B199</f>
        <v>ADI</v>
      </c>
      <c r="C292" s="277" t="str">
        <f>+'Proyectos Base digitable'!C199</f>
        <v>N/A</v>
      </c>
      <c r="D292" s="277" t="str">
        <f>+'Proyectos Base digitable'!D199</f>
        <v>Línea Económica_Ciudad Dinámica</v>
      </c>
      <c r="E292" s="278" t="str">
        <f>+'Proyectos Base digitable'!E199</f>
        <v>Recreación_y_Deporte</v>
      </c>
      <c r="F292" s="56" t="str">
        <f>+'Proyectos Base digitable'!F199</f>
        <v>Parques</v>
      </c>
      <c r="G292" s="279" t="str">
        <f>+'Proyectos Base digitable'!G199</f>
        <v>Parque-VIII-Grupo 2 PARQUE Y CANCHA EL PANA</v>
      </c>
      <c r="H292" s="56" t="str">
        <f>+'Proyectos Base digitable'!H199</f>
        <v>METROPOLITANA</v>
      </c>
      <c r="I292" s="56" t="str">
        <f>+'Proyectos Base digitable'!I199</f>
        <v>LAS AMERICAS</v>
      </c>
      <c r="J292" s="56" t="str">
        <f>+'Proyectos Base digitable'!J199</f>
        <v>K 2G 53B 15</v>
      </c>
      <c r="K292" s="56" t="str">
        <f>+'Proyectos Base digitable'!K199</f>
        <v xml:space="preserve"> 10°56'21.91"N      74°48'51.84"O</v>
      </c>
      <c r="L292" s="56">
        <f>+'Proyectos Base digitable'!L199</f>
        <v>-74.814399510000001</v>
      </c>
      <c r="M292" s="280">
        <f>+'Proyectos Base digitable'!M199</f>
        <v>10.93944905</v>
      </c>
      <c r="N292" s="281" t="str">
        <f>+'Proyectos Base digitable'!N199</f>
        <v>Precontractual</v>
      </c>
      <c r="O292" s="281" t="str">
        <f>+'Proyectos Base digitable'!O199</f>
        <v>Perfeccionamiento_y_Legalización</v>
      </c>
      <c r="P292" s="187">
        <f>+'Proyectos Base digitable'!P199</f>
        <v>750000000</v>
      </c>
      <c r="Q292" s="282">
        <f>+'Proyectos Base digitable'!Q199</f>
        <v>0</v>
      </c>
      <c r="R292" s="282">
        <f>+'Proyectos Base digitable'!R199</f>
        <v>0</v>
      </c>
      <c r="S292" s="58">
        <f>+'Proyectos Base digitable'!S199</f>
        <v>0</v>
      </c>
      <c r="T292" s="52" t="str">
        <f>+'Proyectos Base digitable'!T199</f>
        <v>Verde</v>
      </c>
      <c r="U292" s="283">
        <f>'Proyectos Base digitable'!U199</f>
        <v>0</v>
      </c>
      <c r="V292" s="284">
        <f>'Proyectos Base digitable'!V199</f>
        <v>0</v>
      </c>
      <c r="W292" s="284">
        <f>'Proyectos Base digitable'!W199</f>
        <v>0</v>
      </c>
      <c r="X292" s="284">
        <f>'Proyectos Base digitable'!X199</f>
        <v>0</v>
      </c>
      <c r="Y292" s="284">
        <f>'Proyectos Base digitable'!Y199</f>
        <v>0</v>
      </c>
      <c r="Z292" s="58">
        <f>+'Proyectos Base digitable'!Z199</f>
        <v>0</v>
      </c>
      <c r="AA292" s="58">
        <f>+'Proyectos Base digitable'!AA199</f>
        <v>0</v>
      </c>
      <c r="AB292" s="283">
        <f>'Proyectos Base digitable'!AD199</f>
        <v>0</v>
      </c>
      <c r="AC292" s="56" t="str">
        <f>+'Proyectos Base digitable'!AE199</f>
        <v>SA-008-2025 LOTE 2</v>
      </c>
      <c r="AD292" s="282" t="str">
        <f>+'Proyectos Base digitable'!AF199</f>
        <v>CONSORCIO BARRANQUILLA PG</v>
      </c>
      <c r="AE292" s="282">
        <f>+'Proyectos Base digitable'!AG199</f>
        <v>0</v>
      </c>
      <c r="AF292" s="282">
        <f>+'Proyectos Base digitable'!AH199</f>
        <v>0</v>
      </c>
      <c r="AG292" s="277">
        <f>+'Proyectos Base digitable'!AI199</f>
        <v>0</v>
      </c>
      <c r="AH292" s="282">
        <f>+'Proyectos Base digitable'!AJ199</f>
        <v>0</v>
      </c>
      <c r="AI292" s="282">
        <f>+'Proyectos Base digitable'!AK199</f>
        <v>0</v>
      </c>
      <c r="AJ292" s="285">
        <f>+'Proyectos Base digitable'!AL199</f>
        <v>0</v>
      </c>
      <c r="AK292" s="286">
        <f>+'Proyectos Base digitable'!AM199</f>
        <v>0</v>
      </c>
      <c r="AL292" s="286">
        <f>+'Proyectos Base digitable'!AN199</f>
        <v>0</v>
      </c>
      <c r="AM292" s="286">
        <f>+'Proyectos Base digitable'!AO199</f>
        <v>0</v>
      </c>
      <c r="AN292" s="286">
        <f>+'Proyectos Base digitable'!AP199</f>
        <v>0</v>
      </c>
      <c r="AO292" s="286">
        <f>+'Proyectos Base digitable'!AQ199</f>
        <v>0</v>
      </c>
      <c r="AP292" s="286">
        <f>+'Proyectos Base digitable'!AR199</f>
        <v>0</v>
      </c>
      <c r="AQ292" s="286">
        <f>+'Proyectos Base digitable'!AS199</f>
        <v>0</v>
      </c>
      <c r="AR292" s="286">
        <f>+'Proyectos Base digitable'!AT199</f>
        <v>0</v>
      </c>
      <c r="AS292" s="286">
        <f>+'Proyectos Base digitable'!AU199</f>
        <v>0</v>
      </c>
      <c r="AT292" s="286">
        <f>+'Proyectos Base digitable'!AV199</f>
        <v>0</v>
      </c>
      <c r="AU292" s="288">
        <f>+'Proyectos Base digitable'!AW199</f>
        <v>0</v>
      </c>
      <c r="AV292" s="288">
        <f>+'Proyectos Base digitable'!AX199</f>
        <v>0</v>
      </c>
      <c r="AW292" s="288">
        <f>+'Proyectos Base digitable'!AY199</f>
        <v>0</v>
      </c>
      <c r="AX292" s="288">
        <f>+'Proyectos Base digitable'!AZ199</f>
        <v>0</v>
      </c>
      <c r="AY292" s="277">
        <f>+'Proyectos Base digitable'!BA199</f>
        <v>0</v>
      </c>
      <c r="AZ292" s="289">
        <f>+'Proyectos Base digitable'!BB199</f>
        <v>0</v>
      </c>
      <c r="BA292" s="289">
        <f>+'Proyectos Base digitable'!BC199</f>
        <v>0</v>
      </c>
    </row>
    <row r="293" spans="1:53" ht="13.5" customHeight="1">
      <c r="A293" s="60">
        <f>+'Proyectos Base digitable'!A200</f>
        <v>199</v>
      </c>
      <c r="B293" s="277" t="str">
        <f>+'Proyectos Base digitable'!B200</f>
        <v>ADI</v>
      </c>
      <c r="C293" s="277" t="str">
        <f>+'Proyectos Base digitable'!C200</f>
        <v>N/A</v>
      </c>
      <c r="D293" s="277" t="str">
        <f>+'Proyectos Base digitable'!D200</f>
        <v>Línea Económica_Ciudad Dinámica</v>
      </c>
      <c r="E293" s="278" t="str">
        <f>+'Proyectos Base digitable'!E200</f>
        <v>Recreación_y_Deporte</v>
      </c>
      <c r="F293" s="56" t="str">
        <f>+'Proyectos Base digitable'!F200</f>
        <v>Parques</v>
      </c>
      <c r="G293" s="279" t="str">
        <f>+'Proyectos Base digitable'!G200</f>
        <v>Parque-VIII-Grupo 2 PARQUE LAS PALMAS 2</v>
      </c>
      <c r="H293" s="56" t="str">
        <f>+'Proyectos Base digitable'!H200</f>
        <v>SURORIENTE</v>
      </c>
      <c r="I293" s="56" t="str">
        <f>+'Proyectos Base digitable'!I200</f>
        <v>LAS PALMAS</v>
      </c>
      <c r="J293" s="56" t="str">
        <f>+'Proyectos Base digitable'!J200</f>
        <v>C 33 Y 33A K 8</v>
      </c>
      <c r="K293" s="56" t="str">
        <f>+'Proyectos Base digitable'!K200</f>
        <v xml:space="preserve"> 10°56'50.97"N      74°47'15.40"O</v>
      </c>
      <c r="L293" s="56">
        <f>+'Proyectos Base digitable'!L200</f>
        <v>-74.787644110000002</v>
      </c>
      <c r="M293" s="280">
        <f>+'Proyectos Base digitable'!M200</f>
        <v>10.94754859</v>
      </c>
      <c r="N293" s="281" t="str">
        <f>+'Proyectos Base digitable'!N200</f>
        <v>Precontractual</v>
      </c>
      <c r="O293" s="281" t="str">
        <f>+'Proyectos Base digitable'!O200</f>
        <v>Perfeccionamiento_y_Legalización</v>
      </c>
      <c r="P293" s="187">
        <f>+'Proyectos Base digitable'!P200</f>
        <v>1059500000</v>
      </c>
      <c r="Q293" s="282">
        <f>+'Proyectos Base digitable'!Q200</f>
        <v>0</v>
      </c>
      <c r="R293" s="282">
        <f>+'Proyectos Base digitable'!R200</f>
        <v>0</v>
      </c>
      <c r="S293" s="58">
        <f>+'Proyectos Base digitable'!S200</f>
        <v>0</v>
      </c>
      <c r="T293" s="52" t="str">
        <f>+'Proyectos Base digitable'!T200</f>
        <v>Verde</v>
      </c>
      <c r="U293" s="283">
        <f>'Proyectos Base digitable'!U200</f>
        <v>0</v>
      </c>
      <c r="V293" s="284">
        <f>'Proyectos Base digitable'!V200</f>
        <v>0</v>
      </c>
      <c r="W293" s="284">
        <f>'Proyectos Base digitable'!W200</f>
        <v>0</v>
      </c>
      <c r="X293" s="284">
        <f>'Proyectos Base digitable'!X200</f>
        <v>0</v>
      </c>
      <c r="Y293" s="284">
        <f>'Proyectos Base digitable'!Y200</f>
        <v>0</v>
      </c>
      <c r="Z293" s="58">
        <f>+'Proyectos Base digitable'!Z200</f>
        <v>0</v>
      </c>
      <c r="AA293" s="58">
        <f>+'Proyectos Base digitable'!AA200</f>
        <v>0</v>
      </c>
      <c r="AB293" s="283">
        <f>'Proyectos Base digitable'!AD200</f>
        <v>0</v>
      </c>
      <c r="AC293" s="56" t="str">
        <f>+'Proyectos Base digitable'!AE200</f>
        <v>SA-008-2025 LOTE 2</v>
      </c>
      <c r="AD293" s="282" t="str">
        <f>+'Proyectos Base digitable'!AF200</f>
        <v>CONSORCIO BARRANQUILLA PG</v>
      </c>
      <c r="AE293" s="282">
        <f>+'Proyectos Base digitable'!AG200</f>
        <v>0</v>
      </c>
      <c r="AF293" s="282">
        <f>+'Proyectos Base digitable'!AH200</f>
        <v>0</v>
      </c>
      <c r="AG293" s="277">
        <f>+'Proyectos Base digitable'!AI200</f>
        <v>0</v>
      </c>
      <c r="AH293" s="282">
        <f>+'Proyectos Base digitable'!AJ200</f>
        <v>0</v>
      </c>
      <c r="AI293" s="282">
        <f>+'Proyectos Base digitable'!AK200</f>
        <v>0</v>
      </c>
      <c r="AJ293" s="285">
        <f>+'Proyectos Base digitable'!AL200</f>
        <v>0</v>
      </c>
      <c r="AK293" s="286">
        <f>+'Proyectos Base digitable'!AM200</f>
        <v>0</v>
      </c>
      <c r="AL293" s="286">
        <f>+'Proyectos Base digitable'!AN200</f>
        <v>0</v>
      </c>
      <c r="AM293" s="286">
        <f>+'Proyectos Base digitable'!AO200</f>
        <v>0</v>
      </c>
      <c r="AN293" s="286">
        <f>+'Proyectos Base digitable'!AP200</f>
        <v>0</v>
      </c>
      <c r="AO293" s="286">
        <f>+'Proyectos Base digitable'!AQ200</f>
        <v>0</v>
      </c>
      <c r="AP293" s="286">
        <f>+'Proyectos Base digitable'!AR200</f>
        <v>0</v>
      </c>
      <c r="AQ293" s="286">
        <f>+'Proyectos Base digitable'!AS200</f>
        <v>0</v>
      </c>
      <c r="AR293" s="286">
        <f>+'Proyectos Base digitable'!AT200</f>
        <v>0</v>
      </c>
      <c r="AS293" s="286">
        <f>+'Proyectos Base digitable'!AU200</f>
        <v>0</v>
      </c>
      <c r="AT293" s="286">
        <f>+'Proyectos Base digitable'!AV200</f>
        <v>0</v>
      </c>
      <c r="AU293" s="288">
        <f>+'Proyectos Base digitable'!AW200</f>
        <v>0</v>
      </c>
      <c r="AV293" s="288">
        <f>+'Proyectos Base digitable'!AX200</f>
        <v>0</v>
      </c>
      <c r="AW293" s="288">
        <f>+'Proyectos Base digitable'!AY200</f>
        <v>0</v>
      </c>
      <c r="AX293" s="288">
        <f>+'Proyectos Base digitable'!AZ200</f>
        <v>0</v>
      </c>
      <c r="AY293" s="277">
        <f>+'Proyectos Base digitable'!BA200</f>
        <v>0</v>
      </c>
      <c r="AZ293" s="289">
        <f>+'Proyectos Base digitable'!BB200</f>
        <v>0</v>
      </c>
      <c r="BA293" s="289">
        <f>+'Proyectos Base digitable'!BC200</f>
        <v>0</v>
      </c>
    </row>
    <row r="294" spans="1:53" ht="13.5" customHeight="1">
      <c r="A294" s="60">
        <f>+'Proyectos Base digitable'!A201</f>
        <v>200</v>
      </c>
      <c r="B294" s="277" t="str">
        <f>+'Proyectos Base digitable'!B201</f>
        <v>ADI</v>
      </c>
      <c r="C294" s="277" t="str">
        <f>+'Proyectos Base digitable'!C201</f>
        <v>N/A</v>
      </c>
      <c r="D294" s="277" t="str">
        <f>+'Proyectos Base digitable'!D201</f>
        <v>Línea Económica_Ciudad Dinámica</v>
      </c>
      <c r="E294" s="278" t="str">
        <f>+'Proyectos Base digitable'!E201</f>
        <v>Recreación_y_Deporte</v>
      </c>
      <c r="F294" s="56" t="str">
        <f>+'Proyectos Base digitable'!F201</f>
        <v>Parques</v>
      </c>
      <c r="G294" s="279" t="str">
        <f>+'Proyectos Base digitable'!G201</f>
        <v>Parque-VIII-Grupo 3 MALECON DE REBOLO - CALLE 30</v>
      </c>
      <c r="H294" s="56" t="str">
        <f>+'Proyectos Base digitable'!H201</f>
        <v>SURORIENTE</v>
      </c>
      <c r="I294" s="56" t="str">
        <f>+'Proyectos Base digitable'!I201</f>
        <v>LOS TRUPILLOS</v>
      </c>
      <c r="J294" s="56" t="str">
        <f>+'Proyectos Base digitable'!J201</f>
        <v>C 29 Y 30 K  21B</v>
      </c>
      <c r="K294" s="56" t="str">
        <f>+'Proyectos Base digitable'!K201</f>
        <v xml:space="preserve"> 10°57'37.38"N    74°46'59.57"O</v>
      </c>
      <c r="L294" s="56">
        <f>+'Proyectos Base digitable'!L201</f>
        <v>-74.783479580000005</v>
      </c>
      <c r="M294" s="280">
        <f>+'Proyectos Base digitable'!M201</f>
        <v>10.96012034</v>
      </c>
      <c r="N294" s="281" t="str">
        <f>+'Proyectos Base digitable'!N201</f>
        <v>Contractual</v>
      </c>
      <c r="O294" s="281" t="str">
        <f>+'Proyectos Base digitable'!O201</f>
        <v>En_Ejecución</v>
      </c>
      <c r="P294" s="187">
        <f>+'Proyectos Base digitable'!P201</f>
        <v>4097439244</v>
      </c>
      <c r="Q294" s="282">
        <f>+'Proyectos Base digitable'!Q201</f>
        <v>0.32700000000000001</v>
      </c>
      <c r="R294" s="282">
        <f>+'Proyectos Base digitable'!R201</f>
        <v>0.2392</v>
      </c>
      <c r="S294" s="58">
        <f>+'Proyectos Base digitable'!S201</f>
        <v>-8.7800000000000017E-2</v>
      </c>
      <c r="T294" s="52" t="str">
        <f>+'Proyectos Base digitable'!T201</f>
        <v>Amarillo</v>
      </c>
      <c r="U294" s="283">
        <f>'Proyectos Base digitable'!U201</f>
        <v>0</v>
      </c>
      <c r="V294" s="284">
        <f>'Proyectos Base digitable'!V201</f>
        <v>0</v>
      </c>
      <c r="W294" s="284">
        <f>'Proyectos Base digitable'!W201</f>
        <v>45792</v>
      </c>
      <c r="X294" s="284">
        <f>'Proyectos Base digitable'!X201</f>
        <v>46341</v>
      </c>
      <c r="Y294" s="284">
        <f>'Proyectos Base digitable'!Y201</f>
        <v>0</v>
      </c>
      <c r="Z294" s="58">
        <f>+'Proyectos Base digitable'!Z201</f>
        <v>0</v>
      </c>
      <c r="AA294" s="58">
        <f>+'Proyectos Base digitable'!AA201</f>
        <v>0</v>
      </c>
      <c r="AB294" s="283">
        <f>'Proyectos Base digitable'!AD201</f>
        <v>0</v>
      </c>
      <c r="AC294" s="56" t="str">
        <f>+'Proyectos Base digitable'!AE201</f>
        <v>LP-031-2024 LOTE 3</v>
      </c>
      <c r="AD294" s="282" t="str">
        <f>+'Proyectos Base digitable'!AF201</f>
        <v>CONSORCIO ESCENARIOS EP</v>
      </c>
      <c r="AE294" s="282">
        <f>+'Proyectos Base digitable'!AG201</f>
        <v>0</v>
      </c>
      <c r="AF294" s="282">
        <f>+'Proyectos Base digitable'!AH201</f>
        <v>0</v>
      </c>
      <c r="AG294" s="277">
        <f>+'Proyectos Base digitable'!AI201</f>
        <v>0</v>
      </c>
      <c r="AH294" s="282">
        <f>+'Proyectos Base digitable'!AJ201</f>
        <v>0</v>
      </c>
      <c r="AI294" s="282">
        <f>+'Proyectos Base digitable'!AK201</f>
        <v>0</v>
      </c>
      <c r="AJ294" s="285">
        <f>+'Proyectos Base digitable'!AL201</f>
        <v>0</v>
      </c>
      <c r="AK294" s="286">
        <f>+'Proyectos Base digitable'!AM201</f>
        <v>0</v>
      </c>
      <c r="AL294" s="286">
        <f>+'Proyectos Base digitable'!AN201</f>
        <v>0</v>
      </c>
      <c r="AM294" s="286">
        <f>+'Proyectos Base digitable'!AO201</f>
        <v>0</v>
      </c>
      <c r="AN294" s="286">
        <f>+'Proyectos Base digitable'!AP201</f>
        <v>0</v>
      </c>
      <c r="AO294" s="286">
        <f>+'Proyectos Base digitable'!AQ201</f>
        <v>0</v>
      </c>
      <c r="AP294" s="286">
        <f>+'Proyectos Base digitable'!AR201</f>
        <v>0</v>
      </c>
      <c r="AQ294" s="286">
        <f>+'Proyectos Base digitable'!AS201</f>
        <v>0</v>
      </c>
      <c r="AR294" s="286">
        <f>+'Proyectos Base digitable'!AT201</f>
        <v>0</v>
      </c>
      <c r="AS294" s="286">
        <f>+'Proyectos Base digitable'!AU201</f>
        <v>0</v>
      </c>
      <c r="AT294" s="286">
        <f>+'Proyectos Base digitable'!AV201</f>
        <v>0</v>
      </c>
      <c r="AU294" s="288">
        <f>+'Proyectos Base digitable'!AW201</f>
        <v>0</v>
      </c>
      <c r="AV294" s="288">
        <f>+'Proyectos Base digitable'!AX201</f>
        <v>0</v>
      </c>
      <c r="AW294" s="288">
        <f>+'Proyectos Base digitable'!AY201</f>
        <v>0</v>
      </c>
      <c r="AX294" s="288">
        <f>+'Proyectos Base digitable'!AZ201</f>
        <v>0</v>
      </c>
      <c r="AY294" s="277">
        <f>+'Proyectos Base digitable'!BA201</f>
        <v>0</v>
      </c>
      <c r="AZ294" s="289" t="str">
        <f>+'Proyectos Base digitable'!BB201</f>
        <v>Malecon de Rebolo: Topografía</v>
      </c>
      <c r="BA294" s="289">
        <f>+'Proyectos Base digitable'!BC201</f>
        <v>0</v>
      </c>
    </row>
    <row r="295" spans="1:53" ht="13.5" customHeight="1">
      <c r="A295" s="290">
        <f>+'Proyectos Base digitable'!A202</f>
        <v>201</v>
      </c>
      <c r="B295" s="291" t="str">
        <f>+'Proyectos Base digitable'!B202</f>
        <v>ADI</v>
      </c>
      <c r="C295" s="291" t="str">
        <f>+'Proyectos Base digitable'!C202</f>
        <v>N/A</v>
      </c>
      <c r="D295" s="291" t="str">
        <f>+'Proyectos Base digitable'!D202</f>
        <v>Línea Económica_Ciudad Dinámica</v>
      </c>
      <c r="E295" s="292" t="str">
        <f>+'Proyectos Base digitable'!E202</f>
        <v>Recreación_y_Deporte</v>
      </c>
      <c r="F295" s="293" t="str">
        <f>+'Proyectos Base digitable'!F202</f>
        <v>Parques</v>
      </c>
      <c r="G295" s="294" t="str">
        <f>+'Proyectos Base digitable'!G202</f>
        <v>Parque-VIII-Grupo 3 ECOPARQUE METROPOLITANO</v>
      </c>
      <c r="H295" s="293" t="str">
        <f>+'Proyectos Base digitable'!H202</f>
        <v>METROPOLITANA</v>
      </c>
      <c r="I295" s="293" t="str">
        <f>+'Proyectos Base digitable'!I202</f>
        <v>CIUDADELA 20 DE JULIO</v>
      </c>
      <c r="J295" s="293" t="str">
        <f>+'Proyectos Base digitable'!J202</f>
        <v>C 46 Kk 12A SUR</v>
      </c>
      <c r="K295" s="293" t="str">
        <f>+'Proyectos Base digitable'!K202</f>
        <v xml:space="preserve"> 10°55'29.94"N    74°48'2.82"O</v>
      </c>
      <c r="L295" s="293">
        <f>+'Proyectos Base digitable'!L202</f>
        <v>-74.800831979999998</v>
      </c>
      <c r="M295" s="295">
        <f>+'Proyectos Base digitable'!M202</f>
        <v>10.924610810000001</v>
      </c>
      <c r="N295" s="296" t="str">
        <f>+'Proyectos Base digitable'!N202</f>
        <v>Contractual</v>
      </c>
      <c r="O295" s="296">
        <f>+'Proyectos Base digitable'!O202</f>
        <v>0</v>
      </c>
      <c r="P295" s="297">
        <f>+'Proyectos Base digitable'!P202</f>
        <v>4440000000</v>
      </c>
      <c r="Q295" s="298">
        <f>+'Proyectos Base digitable'!Q202</f>
        <v>0</v>
      </c>
      <c r="R295" s="298">
        <f>+'Proyectos Base digitable'!R202</f>
        <v>0</v>
      </c>
      <c r="S295" s="299">
        <f>+'Proyectos Base digitable'!S202</f>
        <v>0</v>
      </c>
      <c r="T295" s="300" t="str">
        <f>+'Proyectos Base digitable'!T202</f>
        <v>Verde</v>
      </c>
      <c r="U295" s="301">
        <f>'Proyectos Base digitable'!U202</f>
        <v>0</v>
      </c>
      <c r="V295" s="302">
        <f>'Proyectos Base digitable'!V202</f>
        <v>0</v>
      </c>
      <c r="W295" s="302">
        <f>'Proyectos Base digitable'!W202</f>
        <v>45792</v>
      </c>
      <c r="X295" s="302">
        <f>'Proyectos Base digitable'!X202</f>
        <v>46341</v>
      </c>
      <c r="Y295" s="302">
        <f>'Proyectos Base digitable'!Y202</f>
        <v>0</v>
      </c>
      <c r="Z295" s="299">
        <f>+'Proyectos Base digitable'!Z202</f>
        <v>0</v>
      </c>
      <c r="AA295" s="299">
        <f>+'Proyectos Base digitable'!AA202</f>
        <v>0</v>
      </c>
      <c r="AB295" s="301">
        <f>'Proyectos Base digitable'!AD202</f>
        <v>0</v>
      </c>
      <c r="AC295" s="293" t="str">
        <f>+'Proyectos Base digitable'!AE202</f>
        <v>LP-031-2024 LOTE 3</v>
      </c>
      <c r="AD295" s="298" t="str">
        <f>+'Proyectos Base digitable'!AF202</f>
        <v>CONSORCIO ESCENARIOS EP</v>
      </c>
      <c r="AE295" s="298">
        <f>+'Proyectos Base digitable'!AG202</f>
        <v>0</v>
      </c>
      <c r="AF295" s="298">
        <f>+'Proyectos Base digitable'!AH202</f>
        <v>0</v>
      </c>
      <c r="AG295" s="291">
        <f>+'Proyectos Base digitable'!AI202</f>
        <v>0</v>
      </c>
      <c r="AH295" s="298">
        <f>+'Proyectos Base digitable'!AJ202</f>
        <v>0</v>
      </c>
      <c r="AI295" s="298">
        <f>+'Proyectos Base digitable'!AK202</f>
        <v>0</v>
      </c>
      <c r="AJ295" s="303">
        <f>+'Proyectos Base digitable'!AL202</f>
        <v>0</v>
      </c>
      <c r="AK295" s="287">
        <f>+'Proyectos Base digitable'!AM202</f>
        <v>0</v>
      </c>
      <c r="AL295" s="287">
        <f>+'Proyectos Base digitable'!AN202</f>
        <v>0</v>
      </c>
      <c r="AM295" s="287">
        <f>+'Proyectos Base digitable'!AO202</f>
        <v>0</v>
      </c>
      <c r="AN295" s="287">
        <f>+'Proyectos Base digitable'!AP202</f>
        <v>0</v>
      </c>
      <c r="AO295" s="287">
        <f>+'Proyectos Base digitable'!AQ202</f>
        <v>0</v>
      </c>
      <c r="AP295" s="287">
        <f>+'Proyectos Base digitable'!AR202</f>
        <v>0</v>
      </c>
      <c r="AQ295" s="287">
        <f>+'Proyectos Base digitable'!AS202</f>
        <v>0</v>
      </c>
      <c r="AR295" s="287">
        <f>+'Proyectos Base digitable'!AT202</f>
        <v>0</v>
      </c>
      <c r="AS295" s="287">
        <f>+'Proyectos Base digitable'!AU202</f>
        <v>0</v>
      </c>
      <c r="AT295" s="287">
        <f>+'Proyectos Base digitable'!AV202</f>
        <v>0</v>
      </c>
      <c r="AU295" s="288">
        <f>+'Proyectos Base digitable'!AW202</f>
        <v>0</v>
      </c>
      <c r="AV295" s="288">
        <f>+'Proyectos Base digitable'!AX202</f>
        <v>0</v>
      </c>
      <c r="AW295" s="288">
        <f>+'Proyectos Base digitable'!AY202</f>
        <v>0</v>
      </c>
      <c r="AX295" s="288">
        <f>+'Proyectos Base digitable'!AZ202</f>
        <v>0</v>
      </c>
      <c r="AY295" s="291">
        <f>+'Proyectos Base digitable'!BA202</f>
        <v>0</v>
      </c>
      <c r="AZ295" s="304">
        <f>+'Proyectos Base digitable'!BB202</f>
        <v>0</v>
      </c>
      <c r="BA295" s="304">
        <f>+'Proyectos Base digitable'!BC202</f>
        <v>0</v>
      </c>
    </row>
    <row r="296" spans="1:53" ht="13.5" customHeight="1">
      <c r="AE296" s="282">
        <f>+'Proyectos Base digitable'!AG203</f>
        <v>0</v>
      </c>
      <c r="AF296" s="282">
        <f>+'Proyectos Base digitable'!AH203</f>
        <v>0</v>
      </c>
      <c r="AG296" s="277">
        <f>+'Proyectos Base digitable'!AI203</f>
        <v>0</v>
      </c>
      <c r="AH296" s="282">
        <f>+'Proyectos Base digitable'!AJ203</f>
        <v>0</v>
      </c>
      <c r="AI296" s="282">
        <f>+'Proyectos Base digitable'!AK203</f>
        <v>0</v>
      </c>
      <c r="AJ296" s="285">
        <f>+'Proyectos Base digitable'!AL203</f>
        <v>0</v>
      </c>
      <c r="AK296" s="286">
        <f>+'Proyectos Base digitable'!AM203</f>
        <v>0</v>
      </c>
      <c r="AL296" s="286">
        <f>+'Proyectos Base digitable'!AN203</f>
        <v>0</v>
      </c>
      <c r="AM296" s="286">
        <f>+'Proyectos Base digitable'!AO203</f>
        <v>0</v>
      </c>
      <c r="AN296" s="286">
        <f>+'Proyectos Base digitable'!AP203</f>
        <v>0</v>
      </c>
      <c r="AO296" s="286">
        <f>+'Proyectos Base digitable'!AQ203</f>
        <v>0</v>
      </c>
      <c r="AP296" s="286">
        <f>+'Proyectos Base digitable'!AR203</f>
        <v>0</v>
      </c>
      <c r="AQ296" s="286">
        <f>+'Proyectos Base digitable'!AS203</f>
        <v>0</v>
      </c>
      <c r="AR296" s="286">
        <f>+'Proyectos Base digitable'!AT203</f>
        <v>0</v>
      </c>
      <c r="AS296" s="286">
        <f>+'Proyectos Base digitable'!AU203</f>
        <v>0</v>
      </c>
      <c r="AT296" s="286">
        <f>+'Proyectos Base digitable'!AV203</f>
        <v>0</v>
      </c>
      <c r="AU296" s="287">
        <f>+'Proyectos Base digitable'!AW203</f>
        <v>0</v>
      </c>
      <c r="AV296" s="287">
        <f>+'Proyectos Base digitable'!AX203</f>
        <v>0</v>
      </c>
      <c r="AW296" s="287">
        <f>+'Proyectos Base digitable'!AY203</f>
        <v>0</v>
      </c>
      <c r="AX296" s="287">
        <f>+'Proyectos Base digitable'!AZ203</f>
        <v>0</v>
      </c>
      <c r="AY296" s="277">
        <f>+'Proyectos Base digitable'!BA203</f>
        <v>0</v>
      </c>
      <c r="AZ296" s="289" t="str">
        <f>+'Proyectos Base digitable'!BB203</f>
        <v>Parque La Playa: Topografía, demolición, nivelación de terreno, vigas de confinamiento</v>
      </c>
      <c r="BA296" s="289">
        <f>+'Proyectos Base digitable'!BC203</f>
        <v>0</v>
      </c>
    </row>
    <row r="297" spans="1:53" ht="13.5" customHeight="1">
      <c r="AE297" s="282">
        <f>+'Proyectos Base digitable'!AG204</f>
        <v>0</v>
      </c>
      <c r="AF297" s="282">
        <f>+'Proyectos Base digitable'!AH204</f>
        <v>0</v>
      </c>
      <c r="AG297" s="277">
        <f>+'Proyectos Base digitable'!AI204</f>
        <v>0</v>
      </c>
      <c r="AH297" s="282">
        <f>+'Proyectos Base digitable'!AJ204</f>
        <v>0</v>
      </c>
      <c r="AI297" s="282">
        <f>+'Proyectos Base digitable'!AK204</f>
        <v>0</v>
      </c>
      <c r="AJ297" s="285">
        <f>+'Proyectos Base digitable'!AL204</f>
        <v>0</v>
      </c>
      <c r="AK297" s="286">
        <f>+'Proyectos Base digitable'!AM204</f>
        <v>0</v>
      </c>
      <c r="AL297" s="286">
        <f>+'Proyectos Base digitable'!AN204</f>
        <v>0</v>
      </c>
      <c r="AM297" s="286">
        <f>+'Proyectos Base digitable'!AO204</f>
        <v>0</v>
      </c>
      <c r="AN297" s="286">
        <f>+'Proyectos Base digitable'!AP204</f>
        <v>0</v>
      </c>
      <c r="AO297" s="286">
        <f>+'Proyectos Base digitable'!AQ204</f>
        <v>0</v>
      </c>
      <c r="AP297" s="286">
        <f>+'Proyectos Base digitable'!AR204</f>
        <v>0</v>
      </c>
      <c r="AQ297" s="286">
        <f>+'Proyectos Base digitable'!AS204</f>
        <v>0</v>
      </c>
      <c r="AR297" s="286">
        <f>+'Proyectos Base digitable'!AT204</f>
        <v>0</v>
      </c>
      <c r="AS297" s="286">
        <f>+'Proyectos Base digitable'!AU204</f>
        <v>0</v>
      </c>
      <c r="AT297" s="286">
        <f>+'Proyectos Base digitable'!AV204</f>
        <v>0</v>
      </c>
      <c r="AU297" s="288">
        <f>+'Proyectos Base digitable'!AW204</f>
        <v>0</v>
      </c>
      <c r="AV297" s="288">
        <f>+'Proyectos Base digitable'!AX204</f>
        <v>0</v>
      </c>
      <c r="AW297" s="288">
        <f>+'Proyectos Base digitable'!AY204</f>
        <v>0</v>
      </c>
      <c r="AX297" s="288">
        <f>+'Proyectos Base digitable'!AZ204</f>
        <v>0</v>
      </c>
      <c r="AY297" s="277">
        <f>+'Proyectos Base digitable'!BA204</f>
        <v>0</v>
      </c>
      <c r="AZ297" s="289" t="str">
        <f>+'Proyectos Base digitable'!BB204</f>
        <v>Parque Los Muñecos : Topografía, demolición, nivelación de terreno, vigas de confinamiento</v>
      </c>
      <c r="BA297" s="289">
        <f>+'Proyectos Base digitable'!BC204</f>
        <v>0</v>
      </c>
    </row>
    <row r="298" spans="1:53" ht="13.5" customHeight="1">
      <c r="AE298" s="282">
        <f>+'Proyectos Base digitable'!AG205</f>
        <v>0</v>
      </c>
      <c r="AF298" s="282">
        <f>+'Proyectos Base digitable'!AH205</f>
        <v>0</v>
      </c>
      <c r="AG298" s="277">
        <f>+'Proyectos Base digitable'!AI205</f>
        <v>0</v>
      </c>
      <c r="AH298" s="282">
        <f>+'Proyectos Base digitable'!AJ205</f>
        <v>0</v>
      </c>
      <c r="AI298" s="282">
        <f>+'Proyectos Base digitable'!AK205</f>
        <v>0</v>
      </c>
      <c r="AJ298" s="285">
        <f>+'Proyectos Base digitable'!AL205</f>
        <v>0</v>
      </c>
      <c r="AK298" s="286">
        <f>+'Proyectos Base digitable'!AM205</f>
        <v>0</v>
      </c>
      <c r="AL298" s="286">
        <f>+'Proyectos Base digitable'!AN205</f>
        <v>0</v>
      </c>
      <c r="AM298" s="286">
        <f>+'Proyectos Base digitable'!AO205</f>
        <v>0</v>
      </c>
      <c r="AN298" s="286">
        <f>+'Proyectos Base digitable'!AP205</f>
        <v>0</v>
      </c>
      <c r="AO298" s="286">
        <f>+'Proyectos Base digitable'!AQ205</f>
        <v>0</v>
      </c>
      <c r="AP298" s="286">
        <f>+'Proyectos Base digitable'!AR205</f>
        <v>0</v>
      </c>
      <c r="AQ298" s="286">
        <f>+'Proyectos Base digitable'!AS205</f>
        <v>0</v>
      </c>
      <c r="AR298" s="286">
        <f>+'Proyectos Base digitable'!AT205</f>
        <v>0</v>
      </c>
      <c r="AS298" s="286">
        <f>+'Proyectos Base digitable'!AU205</f>
        <v>0</v>
      </c>
      <c r="AT298" s="286">
        <f>+'Proyectos Base digitable'!AV205</f>
        <v>0</v>
      </c>
      <c r="AU298" s="288">
        <f>+'Proyectos Base digitable'!AW205</f>
        <v>0</v>
      </c>
      <c r="AV298" s="288">
        <f>+'Proyectos Base digitable'!AX205</f>
        <v>0</v>
      </c>
      <c r="AW298" s="288">
        <f>+'Proyectos Base digitable'!AY205</f>
        <v>0</v>
      </c>
      <c r="AX298" s="288">
        <f>+'Proyectos Base digitable'!AZ205</f>
        <v>0</v>
      </c>
      <c r="AY298" s="277">
        <f>+'Proyectos Base digitable'!BA205</f>
        <v>0</v>
      </c>
      <c r="AZ298" s="289">
        <f>+'Proyectos Base digitable'!BB205</f>
        <v>0</v>
      </c>
      <c r="BA298" s="289">
        <f>+'Proyectos Base digitable'!BC205</f>
        <v>0</v>
      </c>
    </row>
    <row r="299" spans="1:53" ht="13.5" customHeight="1">
      <c r="AE299" s="282">
        <f>+'Proyectos Base digitable'!AG206</f>
        <v>0</v>
      </c>
      <c r="AF299" s="282">
        <f>+'Proyectos Base digitable'!AH206</f>
        <v>0</v>
      </c>
      <c r="AG299" s="277">
        <f>+'Proyectos Base digitable'!AI206</f>
        <v>0</v>
      </c>
      <c r="AH299" s="282">
        <f>+'Proyectos Base digitable'!AJ206</f>
        <v>0</v>
      </c>
      <c r="AI299" s="282">
        <f>+'Proyectos Base digitable'!AK206</f>
        <v>0</v>
      </c>
      <c r="AJ299" s="285">
        <f>+'Proyectos Base digitable'!AL206</f>
        <v>0</v>
      </c>
      <c r="AK299" s="286">
        <f>+'Proyectos Base digitable'!AM206</f>
        <v>0</v>
      </c>
      <c r="AL299" s="286">
        <f>+'Proyectos Base digitable'!AN206</f>
        <v>0</v>
      </c>
      <c r="AM299" s="286">
        <f>+'Proyectos Base digitable'!AO206</f>
        <v>0</v>
      </c>
      <c r="AN299" s="286">
        <f>+'Proyectos Base digitable'!AP206</f>
        <v>0</v>
      </c>
      <c r="AO299" s="286">
        <f>+'Proyectos Base digitable'!AQ206</f>
        <v>0</v>
      </c>
      <c r="AP299" s="286">
        <f>+'Proyectos Base digitable'!AR206</f>
        <v>0</v>
      </c>
      <c r="AQ299" s="286">
        <f>+'Proyectos Base digitable'!AS206</f>
        <v>0</v>
      </c>
      <c r="AR299" s="286">
        <f>+'Proyectos Base digitable'!AT206</f>
        <v>0</v>
      </c>
      <c r="AS299" s="286">
        <f>+'Proyectos Base digitable'!AU206</f>
        <v>0</v>
      </c>
      <c r="AT299" s="286">
        <f>+'Proyectos Base digitable'!AV206</f>
        <v>0</v>
      </c>
      <c r="AU299" s="288">
        <f>+'Proyectos Base digitable'!AW206</f>
        <v>0</v>
      </c>
      <c r="AV299" s="288">
        <f>+'Proyectos Base digitable'!AX206</f>
        <v>0</v>
      </c>
      <c r="AW299" s="288">
        <f>+'Proyectos Base digitable'!AY206</f>
        <v>0</v>
      </c>
      <c r="AX299" s="288">
        <f>+'Proyectos Base digitable'!AZ206</f>
        <v>0</v>
      </c>
      <c r="AY299" s="277">
        <f>+'Proyectos Base digitable'!BA206</f>
        <v>0</v>
      </c>
      <c r="AZ299" s="289" t="str">
        <f>+'Proyectos Base digitable'!BB206</f>
        <v>Cancha Juan Mina: Topografía, demolición, relleno</v>
      </c>
      <c r="BA299" s="289">
        <f>+'Proyectos Base digitable'!BC206</f>
        <v>0</v>
      </c>
    </row>
    <row r="300" spans="1:53" ht="13.5" customHeight="1">
      <c r="AE300" s="282">
        <f>+'Proyectos Base digitable'!AG207</f>
        <v>0</v>
      </c>
      <c r="AF300" s="282">
        <f>+'Proyectos Base digitable'!AH207</f>
        <v>0</v>
      </c>
      <c r="AG300" s="277">
        <f>+'Proyectos Base digitable'!AI207</f>
        <v>0</v>
      </c>
      <c r="AH300" s="282">
        <f>+'Proyectos Base digitable'!AJ207</f>
        <v>0</v>
      </c>
      <c r="AI300" s="282">
        <f>+'Proyectos Base digitable'!AK207</f>
        <v>0</v>
      </c>
      <c r="AJ300" s="285">
        <f>+'Proyectos Base digitable'!AL207</f>
        <v>0</v>
      </c>
      <c r="AK300" s="286">
        <f>+'Proyectos Base digitable'!AM207</f>
        <v>0</v>
      </c>
      <c r="AL300" s="286">
        <f>+'Proyectos Base digitable'!AN207</f>
        <v>0</v>
      </c>
      <c r="AM300" s="286">
        <f>+'Proyectos Base digitable'!AO207</f>
        <v>0</v>
      </c>
      <c r="AN300" s="286">
        <f>+'Proyectos Base digitable'!AP207</f>
        <v>0</v>
      </c>
      <c r="AO300" s="286">
        <f>+'Proyectos Base digitable'!AQ207</f>
        <v>0</v>
      </c>
      <c r="AP300" s="286">
        <f>+'Proyectos Base digitable'!AR207</f>
        <v>0</v>
      </c>
      <c r="AQ300" s="286">
        <f>+'Proyectos Base digitable'!AS207</f>
        <v>0</v>
      </c>
      <c r="AR300" s="286">
        <f>+'Proyectos Base digitable'!AT207</f>
        <v>0</v>
      </c>
      <c r="AS300" s="286">
        <f>+'Proyectos Base digitable'!AU207</f>
        <v>0</v>
      </c>
      <c r="AT300" s="286">
        <f>+'Proyectos Base digitable'!AV207</f>
        <v>0</v>
      </c>
      <c r="AU300" s="288">
        <f>+'Proyectos Base digitable'!AW207</f>
        <v>0</v>
      </c>
      <c r="AV300" s="288">
        <f>+'Proyectos Base digitable'!AX207</f>
        <v>0</v>
      </c>
      <c r="AW300" s="288">
        <f>+'Proyectos Base digitable'!AY207</f>
        <v>0</v>
      </c>
      <c r="AX300" s="288">
        <f>+'Proyectos Base digitable'!AZ207</f>
        <v>0</v>
      </c>
      <c r="AY300" s="277">
        <f>+'Proyectos Base digitable'!BA207</f>
        <v>0</v>
      </c>
      <c r="AZ300" s="289" t="str">
        <f>+'Proyectos Base digitable'!BB207</f>
        <v>Parque Pradito: Topografía</v>
      </c>
      <c r="BA300" s="289">
        <f>+'Proyectos Base digitable'!BC207</f>
        <v>0</v>
      </c>
    </row>
    <row r="301" spans="1:53" ht="13.5" customHeight="1">
      <c r="AE301" s="282">
        <f>+'Proyectos Base digitable'!AG208</f>
        <v>0</v>
      </c>
      <c r="AF301" s="282">
        <f>+'Proyectos Base digitable'!AH208</f>
        <v>0</v>
      </c>
      <c r="AG301" s="277">
        <f>+'Proyectos Base digitable'!AI208</f>
        <v>0</v>
      </c>
      <c r="AH301" s="282">
        <f>+'Proyectos Base digitable'!AJ208</f>
        <v>0</v>
      </c>
      <c r="AI301" s="282">
        <f>+'Proyectos Base digitable'!AK208</f>
        <v>0</v>
      </c>
      <c r="AJ301" s="285">
        <f>+'Proyectos Base digitable'!AL208</f>
        <v>0</v>
      </c>
      <c r="AK301" s="286">
        <f>+'Proyectos Base digitable'!AM208</f>
        <v>0</v>
      </c>
      <c r="AL301" s="286">
        <f>+'Proyectos Base digitable'!AN208</f>
        <v>0</v>
      </c>
      <c r="AM301" s="286">
        <f>+'Proyectos Base digitable'!AO208</f>
        <v>0</v>
      </c>
      <c r="AN301" s="286">
        <f>+'Proyectos Base digitable'!AP208</f>
        <v>0</v>
      </c>
      <c r="AO301" s="286">
        <f>+'Proyectos Base digitable'!AQ208</f>
        <v>0</v>
      </c>
      <c r="AP301" s="286">
        <f>+'Proyectos Base digitable'!AR208</f>
        <v>0</v>
      </c>
      <c r="AQ301" s="286">
        <f>+'Proyectos Base digitable'!AS208</f>
        <v>0</v>
      </c>
      <c r="AR301" s="286">
        <f>+'Proyectos Base digitable'!AT208</f>
        <v>0</v>
      </c>
      <c r="AS301" s="286">
        <f>+'Proyectos Base digitable'!AU208</f>
        <v>0</v>
      </c>
      <c r="AT301" s="286">
        <f>+'Proyectos Base digitable'!AV208</f>
        <v>0</v>
      </c>
      <c r="AU301" s="288">
        <f>+'Proyectos Base digitable'!AW208</f>
        <v>0</v>
      </c>
      <c r="AV301" s="288">
        <f>+'Proyectos Base digitable'!AX208</f>
        <v>0</v>
      </c>
      <c r="AW301" s="288">
        <f>+'Proyectos Base digitable'!AY208</f>
        <v>0</v>
      </c>
      <c r="AX301" s="288">
        <f>+'Proyectos Base digitable'!AZ208</f>
        <v>0</v>
      </c>
      <c r="AY301" s="277">
        <f>+'Proyectos Base digitable'!BA208</f>
        <v>0</v>
      </c>
      <c r="AZ301" s="289">
        <f>+'Proyectos Base digitable'!BB208</f>
        <v>0</v>
      </c>
      <c r="BA301" s="289">
        <f>+'Proyectos Base digitable'!BC208</f>
        <v>0</v>
      </c>
    </row>
    <row r="302" spans="1:53" ht="13.5" customHeight="1">
      <c r="AE302" s="282">
        <f>+'Proyectos Base digitable'!AG209</f>
        <v>0</v>
      </c>
      <c r="AF302" s="282">
        <f>+'Proyectos Base digitable'!AH209</f>
        <v>0</v>
      </c>
      <c r="AG302" s="277">
        <f>+'Proyectos Base digitable'!AI209</f>
        <v>0</v>
      </c>
      <c r="AH302" s="282">
        <f>+'Proyectos Base digitable'!AJ209</f>
        <v>0</v>
      </c>
      <c r="AI302" s="282">
        <f>+'Proyectos Base digitable'!AK209</f>
        <v>0</v>
      </c>
      <c r="AJ302" s="285">
        <f>+'Proyectos Base digitable'!AL209</f>
        <v>0</v>
      </c>
      <c r="AK302" s="286">
        <f>+'Proyectos Base digitable'!AM209</f>
        <v>0</v>
      </c>
      <c r="AL302" s="286">
        <f>+'Proyectos Base digitable'!AN209</f>
        <v>0</v>
      </c>
      <c r="AM302" s="286">
        <f>+'Proyectos Base digitable'!AO209</f>
        <v>0</v>
      </c>
      <c r="AN302" s="286">
        <f>+'Proyectos Base digitable'!AP209</f>
        <v>0</v>
      </c>
      <c r="AO302" s="286">
        <f>+'Proyectos Base digitable'!AQ209</f>
        <v>0</v>
      </c>
      <c r="AP302" s="286">
        <f>+'Proyectos Base digitable'!AR209</f>
        <v>0</v>
      </c>
      <c r="AQ302" s="286">
        <f>+'Proyectos Base digitable'!AS209</f>
        <v>0</v>
      </c>
      <c r="AR302" s="286">
        <f>+'Proyectos Base digitable'!AT209</f>
        <v>0</v>
      </c>
      <c r="AS302" s="286">
        <f>+'Proyectos Base digitable'!AU209</f>
        <v>0</v>
      </c>
      <c r="AT302" s="286">
        <f>+'Proyectos Base digitable'!AV209</f>
        <v>0</v>
      </c>
      <c r="AU302" s="288">
        <f>+'Proyectos Base digitable'!AW209</f>
        <v>0</v>
      </c>
      <c r="AV302" s="288">
        <f>+'Proyectos Base digitable'!AX209</f>
        <v>0</v>
      </c>
      <c r="AW302" s="288">
        <f>+'Proyectos Base digitable'!AY209</f>
        <v>0</v>
      </c>
      <c r="AX302" s="288">
        <f>+'Proyectos Base digitable'!AZ209</f>
        <v>0</v>
      </c>
      <c r="AY302" s="277">
        <f>+'Proyectos Base digitable'!BA209</f>
        <v>0</v>
      </c>
      <c r="AZ302" s="289">
        <f>+'Proyectos Base digitable'!BB209</f>
        <v>0</v>
      </c>
      <c r="BA302" s="289">
        <f>+'Proyectos Base digitable'!BC209</f>
        <v>0</v>
      </c>
    </row>
    <row r="303" spans="1:53" ht="13.5" customHeight="1">
      <c r="AE303" s="282">
        <f>+'Proyectos Base digitable'!AG210</f>
        <v>0</v>
      </c>
      <c r="AF303" s="282">
        <f>+'Proyectos Base digitable'!AH210</f>
        <v>0</v>
      </c>
      <c r="AG303" s="277">
        <f>+'Proyectos Base digitable'!AI210</f>
        <v>0</v>
      </c>
      <c r="AH303" s="282">
        <f>+'Proyectos Base digitable'!AJ210</f>
        <v>0</v>
      </c>
      <c r="AI303" s="282">
        <f>+'Proyectos Base digitable'!AK210</f>
        <v>0</v>
      </c>
      <c r="AJ303" s="285">
        <f>+'Proyectos Base digitable'!AL210</f>
        <v>0</v>
      </c>
      <c r="AK303" s="286">
        <f>+'Proyectos Base digitable'!AM210</f>
        <v>0</v>
      </c>
      <c r="AL303" s="286">
        <f>+'Proyectos Base digitable'!AN210</f>
        <v>0</v>
      </c>
      <c r="AM303" s="286">
        <f>+'Proyectos Base digitable'!AO210</f>
        <v>0</v>
      </c>
      <c r="AN303" s="286">
        <f>+'Proyectos Base digitable'!AP210</f>
        <v>0</v>
      </c>
      <c r="AO303" s="286">
        <f>+'Proyectos Base digitable'!AQ210</f>
        <v>0</v>
      </c>
      <c r="AP303" s="286">
        <f>+'Proyectos Base digitable'!AR210</f>
        <v>0</v>
      </c>
      <c r="AQ303" s="286">
        <f>+'Proyectos Base digitable'!AS210</f>
        <v>0</v>
      </c>
      <c r="AR303" s="286">
        <f>+'Proyectos Base digitable'!AT210</f>
        <v>0</v>
      </c>
      <c r="AS303" s="286">
        <f>+'Proyectos Base digitable'!AU210</f>
        <v>0</v>
      </c>
      <c r="AT303" s="286">
        <f>+'Proyectos Base digitable'!AV210</f>
        <v>0</v>
      </c>
      <c r="AU303" s="288">
        <f>+'Proyectos Base digitable'!AW210</f>
        <v>0</v>
      </c>
      <c r="AV303" s="288">
        <f>+'Proyectos Base digitable'!AX210</f>
        <v>0</v>
      </c>
      <c r="AW303" s="288">
        <f>+'Proyectos Base digitable'!AY210</f>
        <v>0</v>
      </c>
      <c r="AX303" s="288">
        <f>+'Proyectos Base digitable'!AZ210</f>
        <v>0</v>
      </c>
      <c r="AY303" s="277">
        <f>+'Proyectos Base digitable'!BA210</f>
        <v>0</v>
      </c>
      <c r="AZ303" s="289">
        <f>+'Proyectos Base digitable'!BB210</f>
        <v>0</v>
      </c>
      <c r="BA303" s="289">
        <f>+'Proyectos Base digitable'!BC210</f>
        <v>0</v>
      </c>
    </row>
    <row r="304" spans="1:53" ht="13.5" customHeight="1">
      <c r="AE304" s="282">
        <f>+'Proyectos Base digitable'!AG211</f>
        <v>0</v>
      </c>
      <c r="AF304" s="282">
        <f>+'Proyectos Base digitable'!AH211</f>
        <v>0</v>
      </c>
      <c r="AG304" s="277">
        <f>+'Proyectos Base digitable'!AI211</f>
        <v>0</v>
      </c>
      <c r="AH304" s="282">
        <f>+'Proyectos Base digitable'!AJ211</f>
        <v>0</v>
      </c>
      <c r="AI304" s="282">
        <f>+'Proyectos Base digitable'!AK211</f>
        <v>0</v>
      </c>
      <c r="AJ304" s="285">
        <f>+'Proyectos Base digitable'!AL211</f>
        <v>0</v>
      </c>
      <c r="AK304" s="286">
        <f>+'Proyectos Base digitable'!AM211</f>
        <v>0</v>
      </c>
      <c r="AL304" s="286">
        <f>+'Proyectos Base digitable'!AN211</f>
        <v>0</v>
      </c>
      <c r="AM304" s="286">
        <f>+'Proyectos Base digitable'!AO211</f>
        <v>0</v>
      </c>
      <c r="AN304" s="286">
        <f>+'Proyectos Base digitable'!AP211</f>
        <v>0</v>
      </c>
      <c r="AO304" s="286">
        <f>+'Proyectos Base digitable'!AQ211</f>
        <v>0</v>
      </c>
      <c r="AP304" s="286">
        <f>+'Proyectos Base digitable'!AR211</f>
        <v>0</v>
      </c>
      <c r="AQ304" s="286">
        <f>+'Proyectos Base digitable'!AS211</f>
        <v>0</v>
      </c>
      <c r="AR304" s="286">
        <f>+'Proyectos Base digitable'!AT211</f>
        <v>0</v>
      </c>
      <c r="AS304" s="286">
        <f>+'Proyectos Base digitable'!AU211</f>
        <v>0</v>
      </c>
      <c r="AT304" s="286">
        <f>+'Proyectos Base digitable'!AV211</f>
        <v>0</v>
      </c>
      <c r="AU304" s="288">
        <f>+'Proyectos Base digitable'!AW211</f>
        <v>0</v>
      </c>
      <c r="AV304" s="288">
        <f>+'Proyectos Base digitable'!AX211</f>
        <v>0</v>
      </c>
      <c r="AW304" s="288">
        <f>+'Proyectos Base digitable'!AY211</f>
        <v>0</v>
      </c>
      <c r="AX304" s="288">
        <f>+'Proyectos Base digitable'!AZ211</f>
        <v>0</v>
      </c>
      <c r="AY304" s="277">
        <f>+'Proyectos Base digitable'!BA211</f>
        <v>0</v>
      </c>
      <c r="AZ304" s="289" t="str">
        <f>+'Proyectos Base digitable'!BB211</f>
        <v>Parque la Esmeralda: Topografía</v>
      </c>
      <c r="BA304" s="289">
        <f>+'Proyectos Base digitable'!BC211</f>
        <v>0</v>
      </c>
    </row>
    <row r="305" spans="31:53" ht="13.5" customHeight="1">
      <c r="AE305" s="282">
        <f>+'Proyectos Base digitable'!AG212</f>
        <v>0</v>
      </c>
      <c r="AF305" s="282">
        <f>+'Proyectos Base digitable'!AH212</f>
        <v>0</v>
      </c>
      <c r="AG305" s="277">
        <f>+'Proyectos Base digitable'!AI212</f>
        <v>0</v>
      </c>
      <c r="AH305" s="282">
        <f>+'Proyectos Base digitable'!AJ212</f>
        <v>0</v>
      </c>
      <c r="AI305" s="282">
        <f>+'Proyectos Base digitable'!AK212</f>
        <v>0</v>
      </c>
      <c r="AJ305" s="285">
        <f>+'Proyectos Base digitable'!AL212</f>
        <v>0</v>
      </c>
      <c r="AK305" s="286">
        <f>+'Proyectos Base digitable'!AM212</f>
        <v>0</v>
      </c>
      <c r="AL305" s="286">
        <f>+'Proyectos Base digitable'!AN212</f>
        <v>0</v>
      </c>
      <c r="AM305" s="286">
        <f>+'Proyectos Base digitable'!AO212</f>
        <v>0</v>
      </c>
      <c r="AN305" s="286">
        <f>+'Proyectos Base digitable'!AP212</f>
        <v>0</v>
      </c>
      <c r="AO305" s="286">
        <f>+'Proyectos Base digitable'!AQ212</f>
        <v>0</v>
      </c>
      <c r="AP305" s="286">
        <f>+'Proyectos Base digitable'!AR212</f>
        <v>0</v>
      </c>
      <c r="AQ305" s="286">
        <f>+'Proyectos Base digitable'!AS212</f>
        <v>0</v>
      </c>
      <c r="AR305" s="286">
        <f>+'Proyectos Base digitable'!AT212</f>
        <v>0</v>
      </c>
      <c r="AS305" s="286">
        <f>+'Proyectos Base digitable'!AU212</f>
        <v>0</v>
      </c>
      <c r="AT305" s="286">
        <f>+'Proyectos Base digitable'!AV212</f>
        <v>0</v>
      </c>
      <c r="AU305" s="288">
        <f>+'Proyectos Base digitable'!AW212</f>
        <v>0</v>
      </c>
      <c r="AV305" s="288">
        <f>+'Proyectos Base digitable'!AX212</f>
        <v>0</v>
      </c>
      <c r="AW305" s="288">
        <f>+'Proyectos Base digitable'!AY212</f>
        <v>0</v>
      </c>
      <c r="AX305" s="288">
        <f>+'Proyectos Base digitable'!AZ212</f>
        <v>0</v>
      </c>
      <c r="AY305" s="277">
        <f>+'Proyectos Base digitable'!BA212</f>
        <v>0</v>
      </c>
      <c r="AZ305" s="289">
        <f>+'Proyectos Base digitable'!BB212</f>
        <v>0</v>
      </c>
      <c r="BA305" s="289">
        <f>+'Proyectos Base digitable'!BC212</f>
        <v>0</v>
      </c>
    </row>
    <row r="306" spans="31:53" ht="13.5" customHeight="1">
      <c r="AE306" s="282">
        <f>+'Proyectos Base digitable'!AG213</f>
        <v>0</v>
      </c>
      <c r="AF306" s="282">
        <f>+'Proyectos Base digitable'!AH213</f>
        <v>0</v>
      </c>
      <c r="AG306" s="277">
        <f>+'Proyectos Base digitable'!AI213</f>
        <v>0</v>
      </c>
      <c r="AH306" s="282">
        <f>+'Proyectos Base digitable'!AJ213</f>
        <v>0</v>
      </c>
      <c r="AI306" s="282">
        <f>+'Proyectos Base digitable'!AK213</f>
        <v>0</v>
      </c>
      <c r="AJ306" s="285">
        <f>+'Proyectos Base digitable'!AL213</f>
        <v>0</v>
      </c>
      <c r="AK306" s="286">
        <f>+'Proyectos Base digitable'!AM213</f>
        <v>0</v>
      </c>
      <c r="AL306" s="286">
        <f>+'Proyectos Base digitable'!AN213</f>
        <v>0</v>
      </c>
      <c r="AM306" s="286">
        <f>+'Proyectos Base digitable'!AO213</f>
        <v>0</v>
      </c>
      <c r="AN306" s="286">
        <f>+'Proyectos Base digitable'!AP213</f>
        <v>0</v>
      </c>
      <c r="AO306" s="286">
        <f>+'Proyectos Base digitable'!AQ213</f>
        <v>0</v>
      </c>
      <c r="AP306" s="286">
        <f>+'Proyectos Base digitable'!AR213</f>
        <v>0</v>
      </c>
      <c r="AQ306" s="286">
        <f>+'Proyectos Base digitable'!AS213</f>
        <v>0</v>
      </c>
      <c r="AR306" s="286">
        <f>+'Proyectos Base digitable'!AT213</f>
        <v>0</v>
      </c>
      <c r="AS306" s="286">
        <f>+'Proyectos Base digitable'!AU213</f>
        <v>0</v>
      </c>
      <c r="AT306" s="286">
        <f>+'Proyectos Base digitable'!AV213</f>
        <v>0</v>
      </c>
      <c r="AU306" s="288">
        <f>+'Proyectos Base digitable'!AW213</f>
        <v>0</v>
      </c>
      <c r="AV306" s="288">
        <f>+'Proyectos Base digitable'!AX213</f>
        <v>0</v>
      </c>
      <c r="AW306" s="288">
        <f>+'Proyectos Base digitable'!AY213</f>
        <v>0</v>
      </c>
      <c r="AX306" s="288">
        <f>+'Proyectos Base digitable'!AZ213</f>
        <v>0</v>
      </c>
      <c r="AY306" s="277">
        <f>+'Proyectos Base digitable'!BA213</f>
        <v>0</v>
      </c>
      <c r="AZ306" s="289">
        <f>+'Proyectos Base digitable'!BB213</f>
        <v>0</v>
      </c>
      <c r="BA306" s="289">
        <f>+'Proyectos Base digitable'!BC213</f>
        <v>0</v>
      </c>
    </row>
    <row r="307" spans="31:53" ht="13.5" customHeight="1">
      <c r="AE307" s="282">
        <f>+'Proyectos Base digitable'!AG214</f>
        <v>0</v>
      </c>
      <c r="AF307" s="282">
        <f>+'Proyectos Base digitable'!AH214</f>
        <v>0</v>
      </c>
      <c r="AG307" s="277">
        <f>+'Proyectos Base digitable'!AI214</f>
        <v>0</v>
      </c>
      <c r="AH307" s="282">
        <f>+'Proyectos Base digitable'!AJ214</f>
        <v>0</v>
      </c>
      <c r="AI307" s="282">
        <f>+'Proyectos Base digitable'!AK214</f>
        <v>0</v>
      </c>
      <c r="AJ307" s="285">
        <f>+'Proyectos Base digitable'!AL214</f>
        <v>0</v>
      </c>
      <c r="AK307" s="286">
        <f>+'Proyectos Base digitable'!AM214</f>
        <v>0</v>
      </c>
      <c r="AL307" s="286">
        <f>+'Proyectos Base digitable'!AN214</f>
        <v>0</v>
      </c>
      <c r="AM307" s="286">
        <f>+'Proyectos Base digitable'!AO214</f>
        <v>0</v>
      </c>
      <c r="AN307" s="286">
        <f>+'Proyectos Base digitable'!AP214</f>
        <v>0</v>
      </c>
      <c r="AO307" s="286">
        <f>+'Proyectos Base digitable'!AQ214</f>
        <v>0</v>
      </c>
      <c r="AP307" s="286">
        <f>+'Proyectos Base digitable'!AR214</f>
        <v>0</v>
      </c>
      <c r="AQ307" s="286">
        <f>+'Proyectos Base digitable'!AS214</f>
        <v>0</v>
      </c>
      <c r="AR307" s="286">
        <f>+'Proyectos Base digitable'!AT214</f>
        <v>0</v>
      </c>
      <c r="AS307" s="286">
        <f>+'Proyectos Base digitable'!AU214</f>
        <v>0</v>
      </c>
      <c r="AT307" s="286">
        <f>+'Proyectos Base digitable'!AV214</f>
        <v>0</v>
      </c>
      <c r="AU307" s="288">
        <f>+'Proyectos Base digitable'!AW214</f>
        <v>0</v>
      </c>
      <c r="AV307" s="288">
        <f>+'Proyectos Base digitable'!AX214</f>
        <v>0</v>
      </c>
      <c r="AW307" s="288">
        <f>+'Proyectos Base digitable'!AY214</f>
        <v>0</v>
      </c>
      <c r="AX307" s="288">
        <f>+'Proyectos Base digitable'!AZ214</f>
        <v>0</v>
      </c>
      <c r="AY307" s="277">
        <f>+'Proyectos Base digitable'!BA214</f>
        <v>0</v>
      </c>
      <c r="AZ307" s="289">
        <f>+'Proyectos Base digitable'!BB214</f>
        <v>0</v>
      </c>
      <c r="BA307" s="289">
        <f>+'Proyectos Base digitable'!BC214</f>
        <v>0</v>
      </c>
    </row>
    <row r="308" spans="31:53" ht="13.5" customHeight="1">
      <c r="AE308" s="282">
        <f>+'Proyectos Base digitable'!AG215</f>
        <v>0</v>
      </c>
      <c r="AF308" s="282">
        <f>+'Proyectos Base digitable'!AH215</f>
        <v>0</v>
      </c>
      <c r="AG308" s="277">
        <f>+'Proyectos Base digitable'!AI215</f>
        <v>0</v>
      </c>
      <c r="AH308" s="282">
        <f>+'Proyectos Base digitable'!AJ215</f>
        <v>0</v>
      </c>
      <c r="AI308" s="282">
        <f>+'Proyectos Base digitable'!AK215</f>
        <v>0</v>
      </c>
      <c r="AJ308" s="285">
        <f>+'Proyectos Base digitable'!AL215</f>
        <v>0</v>
      </c>
      <c r="AK308" s="286">
        <f>+'Proyectos Base digitable'!AM215</f>
        <v>0</v>
      </c>
      <c r="AL308" s="286">
        <f>+'Proyectos Base digitable'!AN215</f>
        <v>0</v>
      </c>
      <c r="AM308" s="286">
        <f>+'Proyectos Base digitable'!AO215</f>
        <v>0</v>
      </c>
      <c r="AN308" s="286">
        <f>+'Proyectos Base digitable'!AP215</f>
        <v>0</v>
      </c>
      <c r="AO308" s="286">
        <f>+'Proyectos Base digitable'!AQ215</f>
        <v>0</v>
      </c>
      <c r="AP308" s="286">
        <f>+'Proyectos Base digitable'!AR215</f>
        <v>0</v>
      </c>
      <c r="AQ308" s="286">
        <f>+'Proyectos Base digitable'!AS215</f>
        <v>0</v>
      </c>
      <c r="AR308" s="286">
        <f>+'Proyectos Base digitable'!AT215</f>
        <v>0</v>
      </c>
      <c r="AS308" s="286">
        <f>+'Proyectos Base digitable'!AU215</f>
        <v>0</v>
      </c>
      <c r="AT308" s="286">
        <f>+'Proyectos Base digitable'!AV215</f>
        <v>0</v>
      </c>
      <c r="AU308" s="288">
        <f>+'Proyectos Base digitable'!AW215</f>
        <v>0</v>
      </c>
      <c r="AV308" s="288">
        <f>+'Proyectos Base digitable'!AX215</f>
        <v>0</v>
      </c>
      <c r="AW308" s="288">
        <f>+'Proyectos Base digitable'!AY215</f>
        <v>0</v>
      </c>
      <c r="AX308" s="288">
        <f>+'Proyectos Base digitable'!AZ215</f>
        <v>0</v>
      </c>
      <c r="AY308" s="277">
        <f>+'Proyectos Base digitable'!BA215</f>
        <v>0</v>
      </c>
      <c r="AZ308" s="289">
        <f>+'Proyectos Base digitable'!BB215</f>
        <v>0</v>
      </c>
      <c r="BA308" s="289">
        <f>+'Proyectos Base digitable'!BC215</f>
        <v>0</v>
      </c>
    </row>
    <row r="309" spans="31:53" ht="13.5" customHeight="1">
      <c r="AE309" s="282">
        <f>+'Proyectos Base digitable'!AG216</f>
        <v>0</v>
      </c>
      <c r="AF309" s="282">
        <f>+'Proyectos Base digitable'!AH216</f>
        <v>0</v>
      </c>
      <c r="AG309" s="277">
        <f>+'Proyectos Base digitable'!AI216</f>
        <v>0</v>
      </c>
      <c r="AH309" s="282">
        <f>+'Proyectos Base digitable'!AJ216</f>
        <v>0</v>
      </c>
      <c r="AI309" s="282">
        <f>+'Proyectos Base digitable'!AK216</f>
        <v>0</v>
      </c>
      <c r="AJ309" s="285">
        <f>+'Proyectos Base digitable'!AL216</f>
        <v>0</v>
      </c>
      <c r="AK309" s="286">
        <f>+'Proyectos Base digitable'!AM216</f>
        <v>0</v>
      </c>
      <c r="AL309" s="286">
        <f>+'Proyectos Base digitable'!AN216</f>
        <v>0</v>
      </c>
      <c r="AM309" s="286">
        <f>+'Proyectos Base digitable'!AO216</f>
        <v>0</v>
      </c>
      <c r="AN309" s="286">
        <f>+'Proyectos Base digitable'!AP216</f>
        <v>0</v>
      </c>
      <c r="AO309" s="286">
        <f>+'Proyectos Base digitable'!AQ216</f>
        <v>0</v>
      </c>
      <c r="AP309" s="286">
        <f>+'Proyectos Base digitable'!AR216</f>
        <v>0</v>
      </c>
      <c r="AQ309" s="286">
        <f>+'Proyectos Base digitable'!AS216</f>
        <v>0</v>
      </c>
      <c r="AR309" s="286">
        <f>+'Proyectos Base digitable'!AT216</f>
        <v>0</v>
      </c>
      <c r="AS309" s="286">
        <f>+'Proyectos Base digitable'!AU216</f>
        <v>0</v>
      </c>
      <c r="AT309" s="286">
        <f>+'Proyectos Base digitable'!AV216</f>
        <v>0</v>
      </c>
      <c r="AU309" s="288">
        <f>+'Proyectos Base digitable'!AW216</f>
        <v>0</v>
      </c>
      <c r="AV309" s="288">
        <f>+'Proyectos Base digitable'!AX216</f>
        <v>0</v>
      </c>
      <c r="AW309" s="288">
        <f>+'Proyectos Base digitable'!AY216</f>
        <v>0</v>
      </c>
      <c r="AX309" s="288">
        <f>+'Proyectos Base digitable'!AZ216</f>
        <v>0</v>
      </c>
      <c r="AY309" s="277">
        <f>+'Proyectos Base digitable'!BA216</f>
        <v>0</v>
      </c>
      <c r="AZ309" s="289" t="str">
        <f>+'Proyectos Base digitable'!BB216</f>
        <v>Parque Miramar - Ciclomontañismo: Topografía, cerramiento</v>
      </c>
      <c r="BA309" s="289">
        <f>+'Proyectos Base digitable'!BC216</f>
        <v>0</v>
      </c>
    </row>
    <row r="310" spans="31:53" ht="13.5" customHeight="1">
      <c r="AE310" s="282">
        <f>+'Proyectos Base digitable'!AG217</f>
        <v>0</v>
      </c>
      <c r="AF310" s="282">
        <f>+'Proyectos Base digitable'!AH217</f>
        <v>0</v>
      </c>
      <c r="AG310" s="277">
        <f>+'Proyectos Base digitable'!AI217</f>
        <v>0</v>
      </c>
      <c r="AH310" s="282">
        <f>+'Proyectos Base digitable'!AJ217</f>
        <v>0</v>
      </c>
      <c r="AI310" s="282">
        <f>+'Proyectos Base digitable'!AK217</f>
        <v>0</v>
      </c>
      <c r="AJ310" s="285">
        <f>+'Proyectos Base digitable'!AL217</f>
        <v>0</v>
      </c>
      <c r="AK310" s="286">
        <f>+'Proyectos Base digitable'!AM217</f>
        <v>0</v>
      </c>
      <c r="AL310" s="286">
        <f>+'Proyectos Base digitable'!AN217</f>
        <v>0</v>
      </c>
      <c r="AM310" s="286">
        <f>+'Proyectos Base digitable'!AO217</f>
        <v>0</v>
      </c>
      <c r="AN310" s="286">
        <f>+'Proyectos Base digitable'!AP217</f>
        <v>0</v>
      </c>
      <c r="AO310" s="286">
        <f>+'Proyectos Base digitable'!AQ217</f>
        <v>0</v>
      </c>
      <c r="AP310" s="286">
        <f>+'Proyectos Base digitable'!AR217</f>
        <v>0</v>
      </c>
      <c r="AQ310" s="286">
        <f>+'Proyectos Base digitable'!AS217</f>
        <v>0</v>
      </c>
      <c r="AR310" s="286">
        <f>+'Proyectos Base digitable'!AT217</f>
        <v>0</v>
      </c>
      <c r="AS310" s="286">
        <f>+'Proyectos Base digitable'!AU217</f>
        <v>0</v>
      </c>
      <c r="AT310" s="286">
        <f>+'Proyectos Base digitable'!AV217</f>
        <v>0</v>
      </c>
      <c r="AU310" s="288">
        <f>+'Proyectos Base digitable'!AW217</f>
        <v>0</v>
      </c>
      <c r="AV310" s="288">
        <f>+'Proyectos Base digitable'!AX217</f>
        <v>0</v>
      </c>
      <c r="AW310" s="288">
        <f>+'Proyectos Base digitable'!AY217</f>
        <v>0</v>
      </c>
      <c r="AX310" s="288">
        <f>+'Proyectos Base digitable'!AZ217</f>
        <v>0</v>
      </c>
      <c r="AY310" s="277">
        <f>+'Proyectos Base digitable'!BA217</f>
        <v>0</v>
      </c>
      <c r="AZ310" s="289" t="str">
        <f>+'Proyectos Base digitable'!BB217</f>
        <v>Parque Barlovento: Topografía</v>
      </c>
      <c r="BA310" s="289">
        <f>+'Proyectos Base digitable'!BC217</f>
        <v>0</v>
      </c>
    </row>
    <row r="311" spans="31:53" ht="13.5" customHeight="1">
      <c r="AE311" s="282">
        <f>+'Proyectos Base digitable'!AG218</f>
        <v>0</v>
      </c>
      <c r="AF311" s="282">
        <f>+'Proyectos Base digitable'!AH218</f>
        <v>0</v>
      </c>
      <c r="AG311" s="277">
        <f>+'Proyectos Base digitable'!AI218</f>
        <v>0</v>
      </c>
      <c r="AH311" s="282">
        <f>+'Proyectos Base digitable'!AJ218</f>
        <v>0</v>
      </c>
      <c r="AI311" s="282">
        <f>+'Proyectos Base digitable'!AK218</f>
        <v>0</v>
      </c>
      <c r="AJ311" s="285">
        <f>+'Proyectos Base digitable'!AL218</f>
        <v>0</v>
      </c>
      <c r="AK311" s="286">
        <f>+'Proyectos Base digitable'!AM218</f>
        <v>0</v>
      </c>
      <c r="AL311" s="286">
        <f>+'Proyectos Base digitable'!AN218</f>
        <v>0</v>
      </c>
      <c r="AM311" s="286">
        <f>+'Proyectos Base digitable'!AO218</f>
        <v>0</v>
      </c>
      <c r="AN311" s="286">
        <f>+'Proyectos Base digitable'!AP218</f>
        <v>0</v>
      </c>
      <c r="AO311" s="286">
        <f>+'Proyectos Base digitable'!AQ218</f>
        <v>0</v>
      </c>
      <c r="AP311" s="286">
        <f>+'Proyectos Base digitable'!AR218</f>
        <v>0</v>
      </c>
      <c r="AQ311" s="286">
        <f>+'Proyectos Base digitable'!AS218</f>
        <v>0</v>
      </c>
      <c r="AR311" s="286">
        <f>+'Proyectos Base digitable'!AT218</f>
        <v>0</v>
      </c>
      <c r="AS311" s="286">
        <f>+'Proyectos Base digitable'!AU218</f>
        <v>0</v>
      </c>
      <c r="AT311" s="286">
        <f>+'Proyectos Base digitable'!AV218</f>
        <v>0</v>
      </c>
      <c r="AU311" s="288">
        <f>+'Proyectos Base digitable'!AW218</f>
        <v>0</v>
      </c>
      <c r="AV311" s="288">
        <f>+'Proyectos Base digitable'!AX218</f>
        <v>0</v>
      </c>
      <c r="AW311" s="288">
        <f>+'Proyectos Base digitable'!AY218</f>
        <v>0</v>
      </c>
      <c r="AX311" s="288">
        <f>+'Proyectos Base digitable'!AZ218</f>
        <v>0</v>
      </c>
      <c r="AY311" s="277">
        <f>+'Proyectos Base digitable'!BA218</f>
        <v>0</v>
      </c>
      <c r="AZ311" s="289" t="str">
        <f>+'Proyectos Base digitable'!BB218</f>
        <v>Parque Ciudad Modesto: Topografía, demolición, nivelación de terreno</v>
      </c>
      <c r="BA311" s="289">
        <f>+'Proyectos Base digitable'!BC218</f>
        <v>0</v>
      </c>
    </row>
    <row r="312" spans="31:53" ht="13.5" customHeight="1">
      <c r="AE312" s="282">
        <f>+'Proyectos Base digitable'!AG219</f>
        <v>0</v>
      </c>
      <c r="AF312" s="282">
        <f>+'Proyectos Base digitable'!AH219</f>
        <v>0</v>
      </c>
      <c r="AG312" s="277">
        <f>+'Proyectos Base digitable'!AI219</f>
        <v>0</v>
      </c>
      <c r="AH312" s="282">
        <f>+'Proyectos Base digitable'!AJ219</f>
        <v>0</v>
      </c>
      <c r="AI312" s="282">
        <f>+'Proyectos Base digitable'!AK219</f>
        <v>0</v>
      </c>
      <c r="AJ312" s="285">
        <f>+'Proyectos Base digitable'!AL219</f>
        <v>0</v>
      </c>
      <c r="AK312" s="286">
        <f>+'Proyectos Base digitable'!AM219</f>
        <v>0</v>
      </c>
      <c r="AL312" s="286">
        <f>+'Proyectos Base digitable'!AN219</f>
        <v>0</v>
      </c>
      <c r="AM312" s="286">
        <f>+'Proyectos Base digitable'!AO219</f>
        <v>0</v>
      </c>
      <c r="AN312" s="286">
        <f>+'Proyectos Base digitable'!AP219</f>
        <v>0</v>
      </c>
      <c r="AO312" s="286">
        <f>+'Proyectos Base digitable'!AQ219</f>
        <v>0</v>
      </c>
      <c r="AP312" s="286">
        <f>+'Proyectos Base digitable'!AR219</f>
        <v>0</v>
      </c>
      <c r="AQ312" s="286">
        <f>+'Proyectos Base digitable'!AS219</f>
        <v>0</v>
      </c>
      <c r="AR312" s="286">
        <f>+'Proyectos Base digitable'!AT219</f>
        <v>0</v>
      </c>
      <c r="AS312" s="286">
        <f>+'Proyectos Base digitable'!AU219</f>
        <v>0</v>
      </c>
      <c r="AT312" s="286">
        <f>+'Proyectos Base digitable'!AV219</f>
        <v>0</v>
      </c>
      <c r="AU312" s="288">
        <f>+'Proyectos Base digitable'!AW219</f>
        <v>0</v>
      </c>
      <c r="AV312" s="288">
        <f>+'Proyectos Base digitable'!AX219</f>
        <v>0</v>
      </c>
      <c r="AW312" s="288">
        <f>+'Proyectos Base digitable'!AY219</f>
        <v>0</v>
      </c>
      <c r="AX312" s="288">
        <f>+'Proyectos Base digitable'!AZ219</f>
        <v>0</v>
      </c>
      <c r="AY312" s="277">
        <f>+'Proyectos Base digitable'!BA219</f>
        <v>0</v>
      </c>
      <c r="AZ312" s="289" t="str">
        <f>+'Proyectos Base digitable'!BB219</f>
        <v>Parque Jhon Jairo Hurtado: Topografía, demolición, nivelación de terreno, vigas de confinamiento</v>
      </c>
      <c r="BA312" s="289">
        <f>+'Proyectos Base digitable'!BC219</f>
        <v>0</v>
      </c>
    </row>
    <row r="313" spans="31:53" ht="13.5" customHeight="1">
      <c r="AE313" s="282">
        <f>+'Proyectos Base digitable'!AG220</f>
        <v>0</v>
      </c>
      <c r="AF313" s="282">
        <f>+'Proyectos Base digitable'!AH220</f>
        <v>0</v>
      </c>
      <c r="AG313" s="277">
        <f>+'Proyectos Base digitable'!AI220</f>
        <v>0</v>
      </c>
      <c r="AH313" s="282">
        <f>+'Proyectos Base digitable'!AJ220</f>
        <v>0</v>
      </c>
      <c r="AI313" s="282">
        <f>+'Proyectos Base digitable'!AK220</f>
        <v>0</v>
      </c>
      <c r="AJ313" s="285">
        <f>+'Proyectos Base digitable'!AL220</f>
        <v>0</v>
      </c>
      <c r="AK313" s="286">
        <f>+'Proyectos Base digitable'!AM220</f>
        <v>0</v>
      </c>
      <c r="AL313" s="286">
        <f>+'Proyectos Base digitable'!AN220</f>
        <v>0</v>
      </c>
      <c r="AM313" s="286">
        <f>+'Proyectos Base digitable'!AO220</f>
        <v>0</v>
      </c>
      <c r="AN313" s="286">
        <f>+'Proyectos Base digitable'!AP220</f>
        <v>0</v>
      </c>
      <c r="AO313" s="286">
        <f>+'Proyectos Base digitable'!AQ220</f>
        <v>0</v>
      </c>
      <c r="AP313" s="286">
        <f>+'Proyectos Base digitable'!AR220</f>
        <v>0</v>
      </c>
      <c r="AQ313" s="286">
        <f>+'Proyectos Base digitable'!AS220</f>
        <v>0</v>
      </c>
      <c r="AR313" s="286">
        <f>+'Proyectos Base digitable'!AT220</f>
        <v>0</v>
      </c>
      <c r="AS313" s="286">
        <f>+'Proyectos Base digitable'!AU220</f>
        <v>0</v>
      </c>
      <c r="AT313" s="286">
        <f>+'Proyectos Base digitable'!AV220</f>
        <v>0</v>
      </c>
      <c r="AU313" s="288">
        <f>+'Proyectos Base digitable'!AW220</f>
        <v>0</v>
      </c>
      <c r="AV313" s="288">
        <f>+'Proyectos Base digitable'!AX220</f>
        <v>0</v>
      </c>
      <c r="AW313" s="288">
        <f>+'Proyectos Base digitable'!AY220</f>
        <v>0</v>
      </c>
      <c r="AX313" s="288">
        <f>+'Proyectos Base digitable'!AZ220</f>
        <v>0</v>
      </c>
      <c r="AY313" s="277">
        <f>+'Proyectos Base digitable'!BA220</f>
        <v>0</v>
      </c>
      <c r="AZ313" s="289" t="str">
        <f>+'Proyectos Base digitable'!BB220</f>
        <v>Plaza Jardín Aguila: Topografía, demolición</v>
      </c>
      <c r="BA313" s="289">
        <f>+'Proyectos Base digitable'!BC220</f>
        <v>0</v>
      </c>
    </row>
    <row r="314" spans="31:53" ht="13.5" customHeight="1">
      <c r="AE314" s="282">
        <f>+'Proyectos Base digitable'!AG221</f>
        <v>0</v>
      </c>
      <c r="AF314" s="282">
        <f>+'Proyectos Base digitable'!AH221</f>
        <v>0</v>
      </c>
      <c r="AG314" s="277">
        <f>+'Proyectos Base digitable'!AI221</f>
        <v>0</v>
      </c>
      <c r="AH314" s="282">
        <f>+'Proyectos Base digitable'!AJ221</f>
        <v>0</v>
      </c>
      <c r="AI314" s="282">
        <f>+'Proyectos Base digitable'!AK221</f>
        <v>0</v>
      </c>
      <c r="AJ314" s="285">
        <f>+'Proyectos Base digitable'!AL221</f>
        <v>0</v>
      </c>
      <c r="AK314" s="286">
        <f>+'Proyectos Base digitable'!AM221</f>
        <v>0</v>
      </c>
      <c r="AL314" s="286">
        <f>+'Proyectos Base digitable'!AN221</f>
        <v>0</v>
      </c>
      <c r="AM314" s="286">
        <f>+'Proyectos Base digitable'!AO221</f>
        <v>0</v>
      </c>
      <c r="AN314" s="286">
        <f>+'Proyectos Base digitable'!AP221</f>
        <v>0</v>
      </c>
      <c r="AO314" s="286">
        <f>+'Proyectos Base digitable'!AQ221</f>
        <v>0</v>
      </c>
      <c r="AP314" s="286">
        <f>+'Proyectos Base digitable'!AR221</f>
        <v>0</v>
      </c>
      <c r="AQ314" s="286">
        <f>+'Proyectos Base digitable'!AS221</f>
        <v>0</v>
      </c>
      <c r="AR314" s="286">
        <f>+'Proyectos Base digitable'!AT221</f>
        <v>0</v>
      </c>
      <c r="AS314" s="286">
        <f>+'Proyectos Base digitable'!AU221</f>
        <v>0</v>
      </c>
      <c r="AT314" s="286">
        <f>+'Proyectos Base digitable'!AV221</f>
        <v>0</v>
      </c>
      <c r="AU314" s="288">
        <f>+'Proyectos Base digitable'!AW221</f>
        <v>0</v>
      </c>
      <c r="AV314" s="288">
        <f>+'Proyectos Base digitable'!AX221</f>
        <v>0</v>
      </c>
      <c r="AW314" s="288">
        <f>+'Proyectos Base digitable'!AY221</f>
        <v>0</v>
      </c>
      <c r="AX314" s="288">
        <f>+'Proyectos Base digitable'!AZ221</f>
        <v>0</v>
      </c>
      <c r="AY314" s="277">
        <f>+'Proyectos Base digitable'!BA221</f>
        <v>0</v>
      </c>
      <c r="AZ314" s="289">
        <f>+'Proyectos Base digitable'!BB221</f>
        <v>0</v>
      </c>
      <c r="BA314" s="289">
        <f>+'Proyectos Base digitable'!BC221</f>
        <v>0</v>
      </c>
    </row>
    <row r="315" spans="31:53" ht="13.5" customHeight="1">
      <c r="AE315" s="282">
        <f>+'Proyectos Base digitable'!AG222</f>
        <v>0</v>
      </c>
      <c r="AF315" s="282">
        <f>+'Proyectos Base digitable'!AH222</f>
        <v>0</v>
      </c>
      <c r="AG315" s="277">
        <f>+'Proyectos Base digitable'!AI222</f>
        <v>0</v>
      </c>
      <c r="AH315" s="282">
        <f>+'Proyectos Base digitable'!AJ222</f>
        <v>0</v>
      </c>
      <c r="AI315" s="282">
        <f>+'Proyectos Base digitable'!AK222</f>
        <v>0</v>
      </c>
      <c r="AJ315" s="285">
        <f>+'Proyectos Base digitable'!AL222</f>
        <v>0</v>
      </c>
      <c r="AK315" s="286">
        <f>+'Proyectos Base digitable'!AM222</f>
        <v>0</v>
      </c>
      <c r="AL315" s="286">
        <f>+'Proyectos Base digitable'!AN222</f>
        <v>0</v>
      </c>
      <c r="AM315" s="286">
        <f>+'Proyectos Base digitable'!AO222</f>
        <v>0</v>
      </c>
      <c r="AN315" s="286">
        <f>+'Proyectos Base digitable'!AP222</f>
        <v>0</v>
      </c>
      <c r="AO315" s="286">
        <f>+'Proyectos Base digitable'!AQ222</f>
        <v>0</v>
      </c>
      <c r="AP315" s="286">
        <f>+'Proyectos Base digitable'!AR222</f>
        <v>0</v>
      </c>
      <c r="AQ315" s="286">
        <f>+'Proyectos Base digitable'!AS222</f>
        <v>0</v>
      </c>
      <c r="AR315" s="286">
        <f>+'Proyectos Base digitable'!AT222</f>
        <v>0</v>
      </c>
      <c r="AS315" s="286">
        <f>+'Proyectos Base digitable'!AU222</f>
        <v>0</v>
      </c>
      <c r="AT315" s="286">
        <f>+'Proyectos Base digitable'!AV222</f>
        <v>0</v>
      </c>
      <c r="AU315" s="288">
        <f>+'Proyectos Base digitable'!AW222</f>
        <v>0</v>
      </c>
      <c r="AV315" s="288">
        <f>+'Proyectos Base digitable'!AX222</f>
        <v>0</v>
      </c>
      <c r="AW315" s="288">
        <f>+'Proyectos Base digitable'!AY222</f>
        <v>0</v>
      </c>
      <c r="AX315" s="288">
        <f>+'Proyectos Base digitable'!AZ222</f>
        <v>0</v>
      </c>
      <c r="AY315" s="277">
        <f>+'Proyectos Base digitable'!BA222</f>
        <v>0</v>
      </c>
      <c r="AZ315" s="289">
        <f>+'Proyectos Base digitable'!BB222</f>
        <v>0</v>
      </c>
      <c r="BA315" s="289">
        <f>+'Proyectos Base digitable'!BC222</f>
        <v>0</v>
      </c>
    </row>
    <row r="316" spans="31:53" ht="13.5" customHeight="1">
      <c r="AE316" s="282">
        <f>+'Proyectos Base digitable'!AG223</f>
        <v>0</v>
      </c>
      <c r="AF316" s="282">
        <f>+'Proyectos Base digitable'!AH223</f>
        <v>0</v>
      </c>
      <c r="AG316" s="277">
        <f>+'Proyectos Base digitable'!AI223</f>
        <v>0</v>
      </c>
      <c r="AH316" s="282">
        <f>+'Proyectos Base digitable'!AJ223</f>
        <v>0</v>
      </c>
      <c r="AI316" s="282">
        <f>+'Proyectos Base digitable'!AK223</f>
        <v>0</v>
      </c>
      <c r="AJ316" s="285">
        <f>+'Proyectos Base digitable'!AL223</f>
        <v>0</v>
      </c>
      <c r="AK316" s="286">
        <f>+'Proyectos Base digitable'!AM223</f>
        <v>0</v>
      </c>
      <c r="AL316" s="286">
        <f>+'Proyectos Base digitable'!AN223</f>
        <v>0</v>
      </c>
      <c r="AM316" s="286">
        <f>+'Proyectos Base digitable'!AO223</f>
        <v>0</v>
      </c>
      <c r="AN316" s="286">
        <f>+'Proyectos Base digitable'!AP223</f>
        <v>0</v>
      </c>
      <c r="AO316" s="286">
        <f>+'Proyectos Base digitable'!AQ223</f>
        <v>0</v>
      </c>
      <c r="AP316" s="286">
        <f>+'Proyectos Base digitable'!AR223</f>
        <v>0</v>
      </c>
      <c r="AQ316" s="286">
        <f>+'Proyectos Base digitable'!AS223</f>
        <v>0</v>
      </c>
      <c r="AR316" s="286">
        <f>+'Proyectos Base digitable'!AT223</f>
        <v>0</v>
      </c>
      <c r="AS316" s="286">
        <f>+'Proyectos Base digitable'!AU223</f>
        <v>0</v>
      </c>
      <c r="AT316" s="286">
        <f>+'Proyectos Base digitable'!AV223</f>
        <v>0</v>
      </c>
      <c r="AU316" s="288">
        <f>+'Proyectos Base digitable'!AW223</f>
        <v>0</v>
      </c>
      <c r="AV316" s="288">
        <f>+'Proyectos Base digitable'!AX223</f>
        <v>0</v>
      </c>
      <c r="AW316" s="288">
        <f>+'Proyectos Base digitable'!AY223</f>
        <v>0</v>
      </c>
      <c r="AX316" s="288">
        <f>+'Proyectos Base digitable'!AZ223</f>
        <v>0</v>
      </c>
      <c r="AY316" s="277">
        <f>+'Proyectos Base digitable'!BA223</f>
        <v>0</v>
      </c>
      <c r="AZ316" s="289">
        <f>+'Proyectos Base digitable'!BB223</f>
        <v>0</v>
      </c>
      <c r="BA316" s="289">
        <f>+'Proyectos Base digitable'!BC223</f>
        <v>0</v>
      </c>
    </row>
    <row r="317" spans="31:53" ht="13.5" customHeight="1">
      <c r="AE317" s="282">
        <f>+'Proyectos Base digitable'!AG224</f>
        <v>0</v>
      </c>
      <c r="AF317" s="282">
        <f>+'Proyectos Base digitable'!AH224</f>
        <v>0</v>
      </c>
      <c r="AG317" s="277">
        <f>+'Proyectos Base digitable'!AI224</f>
        <v>0</v>
      </c>
      <c r="AH317" s="282">
        <f>+'Proyectos Base digitable'!AJ224</f>
        <v>0</v>
      </c>
      <c r="AI317" s="282">
        <f>+'Proyectos Base digitable'!AK224</f>
        <v>0</v>
      </c>
      <c r="AJ317" s="285">
        <f>+'Proyectos Base digitable'!AL224</f>
        <v>0</v>
      </c>
      <c r="AK317" s="286">
        <f>+'Proyectos Base digitable'!AM224</f>
        <v>0</v>
      </c>
      <c r="AL317" s="286">
        <f>+'Proyectos Base digitable'!AN224</f>
        <v>0</v>
      </c>
      <c r="AM317" s="286">
        <f>+'Proyectos Base digitable'!AO224</f>
        <v>0</v>
      </c>
      <c r="AN317" s="286">
        <f>+'Proyectos Base digitable'!AP224</f>
        <v>0</v>
      </c>
      <c r="AO317" s="286">
        <f>+'Proyectos Base digitable'!AQ224</f>
        <v>0</v>
      </c>
      <c r="AP317" s="286">
        <f>+'Proyectos Base digitable'!AR224</f>
        <v>0</v>
      </c>
      <c r="AQ317" s="286">
        <f>+'Proyectos Base digitable'!AS224</f>
        <v>0</v>
      </c>
      <c r="AR317" s="286">
        <f>+'Proyectos Base digitable'!AT224</f>
        <v>0</v>
      </c>
      <c r="AS317" s="286">
        <f>+'Proyectos Base digitable'!AU224</f>
        <v>0</v>
      </c>
      <c r="AT317" s="286">
        <f>+'Proyectos Base digitable'!AV224</f>
        <v>0</v>
      </c>
      <c r="AU317" s="288">
        <f>+'Proyectos Base digitable'!AW224</f>
        <v>0</v>
      </c>
      <c r="AV317" s="288">
        <f>+'Proyectos Base digitable'!AX224</f>
        <v>0</v>
      </c>
      <c r="AW317" s="288">
        <f>+'Proyectos Base digitable'!AY224</f>
        <v>0</v>
      </c>
      <c r="AX317" s="288">
        <f>+'Proyectos Base digitable'!AZ224</f>
        <v>0</v>
      </c>
      <c r="AY317" s="277">
        <f>+'Proyectos Base digitable'!BA224</f>
        <v>0</v>
      </c>
      <c r="AZ317" s="289">
        <f>+'Proyectos Base digitable'!BB224</f>
        <v>0</v>
      </c>
      <c r="BA317" s="289">
        <f>+'Proyectos Base digitable'!BC224</f>
        <v>0</v>
      </c>
    </row>
    <row r="318" spans="31:53" ht="13.5" customHeight="1">
      <c r="AE318" s="282">
        <f>+'Proyectos Base digitable'!AG225</f>
        <v>0</v>
      </c>
      <c r="AF318" s="282">
        <f>+'Proyectos Base digitable'!AH225</f>
        <v>0</v>
      </c>
      <c r="AG318" s="277">
        <f>+'Proyectos Base digitable'!AI225</f>
        <v>0</v>
      </c>
      <c r="AH318" s="282">
        <f>+'Proyectos Base digitable'!AJ225</f>
        <v>0</v>
      </c>
      <c r="AI318" s="282">
        <f>+'Proyectos Base digitable'!AK225</f>
        <v>0</v>
      </c>
      <c r="AJ318" s="285">
        <f>+'Proyectos Base digitable'!AL225</f>
        <v>0</v>
      </c>
      <c r="AK318" s="286">
        <f>+'Proyectos Base digitable'!AM225</f>
        <v>0</v>
      </c>
      <c r="AL318" s="286">
        <f>+'Proyectos Base digitable'!AN225</f>
        <v>0</v>
      </c>
      <c r="AM318" s="286">
        <f>+'Proyectos Base digitable'!AO225</f>
        <v>0</v>
      </c>
      <c r="AN318" s="286">
        <f>+'Proyectos Base digitable'!AP225</f>
        <v>0</v>
      </c>
      <c r="AO318" s="286">
        <f>+'Proyectos Base digitable'!AQ225</f>
        <v>0</v>
      </c>
      <c r="AP318" s="286">
        <f>+'Proyectos Base digitable'!AR225</f>
        <v>0</v>
      </c>
      <c r="AQ318" s="286">
        <f>+'Proyectos Base digitable'!AS225</f>
        <v>0</v>
      </c>
      <c r="AR318" s="286">
        <f>+'Proyectos Base digitable'!AT225</f>
        <v>0</v>
      </c>
      <c r="AS318" s="286">
        <f>+'Proyectos Base digitable'!AU225</f>
        <v>0</v>
      </c>
      <c r="AT318" s="286">
        <f>+'Proyectos Base digitable'!AV225</f>
        <v>0</v>
      </c>
      <c r="AU318" s="288">
        <f>+'Proyectos Base digitable'!AW225</f>
        <v>0</v>
      </c>
      <c r="AV318" s="288">
        <f>+'Proyectos Base digitable'!AX225</f>
        <v>0</v>
      </c>
      <c r="AW318" s="288">
        <f>+'Proyectos Base digitable'!AY225</f>
        <v>0</v>
      </c>
      <c r="AX318" s="288">
        <f>+'Proyectos Base digitable'!AZ225</f>
        <v>0</v>
      </c>
      <c r="AY318" s="277">
        <f>+'Proyectos Base digitable'!BA225</f>
        <v>0</v>
      </c>
      <c r="AZ318" s="289">
        <f>+'Proyectos Base digitable'!BB225</f>
        <v>0</v>
      </c>
      <c r="BA318" s="289">
        <f>+'Proyectos Base digitable'!BC225</f>
        <v>0</v>
      </c>
    </row>
    <row r="319" spans="31:53" ht="13.5" customHeight="1">
      <c r="AE319" s="282">
        <f>+'Proyectos Base digitable'!AG226</f>
        <v>0</v>
      </c>
      <c r="AF319" s="282">
        <f>+'Proyectos Base digitable'!AH226</f>
        <v>0</v>
      </c>
      <c r="AG319" s="277">
        <f>+'Proyectos Base digitable'!AI226</f>
        <v>0</v>
      </c>
      <c r="AH319" s="282">
        <f>+'Proyectos Base digitable'!AJ226</f>
        <v>0</v>
      </c>
      <c r="AI319" s="282">
        <f>+'Proyectos Base digitable'!AK226</f>
        <v>0</v>
      </c>
      <c r="AJ319" s="285">
        <f>+'Proyectos Base digitable'!AL226</f>
        <v>0</v>
      </c>
      <c r="AK319" s="286">
        <f>+'Proyectos Base digitable'!AM226</f>
        <v>0</v>
      </c>
      <c r="AL319" s="286">
        <f>+'Proyectos Base digitable'!AN226</f>
        <v>0</v>
      </c>
      <c r="AM319" s="286">
        <f>+'Proyectos Base digitable'!AO226</f>
        <v>0</v>
      </c>
      <c r="AN319" s="286">
        <f>+'Proyectos Base digitable'!AP226</f>
        <v>0</v>
      </c>
      <c r="AO319" s="286">
        <f>+'Proyectos Base digitable'!AQ226</f>
        <v>0</v>
      </c>
      <c r="AP319" s="286">
        <f>+'Proyectos Base digitable'!AR226</f>
        <v>0</v>
      </c>
      <c r="AQ319" s="286">
        <f>+'Proyectos Base digitable'!AS226</f>
        <v>0</v>
      </c>
      <c r="AR319" s="286">
        <f>+'Proyectos Base digitable'!AT226</f>
        <v>0</v>
      </c>
      <c r="AS319" s="286">
        <f>+'Proyectos Base digitable'!AU226</f>
        <v>0</v>
      </c>
      <c r="AT319" s="286">
        <f>+'Proyectos Base digitable'!AV226</f>
        <v>0</v>
      </c>
      <c r="AU319" s="288">
        <f>+'Proyectos Base digitable'!AW226</f>
        <v>0</v>
      </c>
      <c r="AV319" s="288">
        <f>+'Proyectos Base digitable'!AX226</f>
        <v>0</v>
      </c>
      <c r="AW319" s="288">
        <f>+'Proyectos Base digitable'!AY226</f>
        <v>0</v>
      </c>
      <c r="AX319" s="288">
        <f>+'Proyectos Base digitable'!AZ226</f>
        <v>0</v>
      </c>
      <c r="AY319" s="277">
        <f>+'Proyectos Base digitable'!BA226</f>
        <v>0</v>
      </c>
      <c r="AZ319" s="289">
        <f>+'Proyectos Base digitable'!BB226</f>
        <v>0</v>
      </c>
      <c r="BA319" s="289">
        <f>+'Proyectos Base digitable'!BC226</f>
        <v>0</v>
      </c>
    </row>
    <row r="320" spans="31:53" ht="13.5" customHeight="1">
      <c r="AE320" s="282">
        <f>+'Proyectos Base digitable'!AG227</f>
        <v>0</v>
      </c>
      <c r="AF320" s="282">
        <f>+'Proyectos Base digitable'!AH227</f>
        <v>0</v>
      </c>
      <c r="AG320" s="277">
        <f>+'Proyectos Base digitable'!AI227</f>
        <v>0</v>
      </c>
      <c r="AH320" s="282">
        <f>+'Proyectos Base digitable'!AJ227</f>
        <v>0</v>
      </c>
      <c r="AI320" s="282">
        <f>+'Proyectos Base digitable'!AK227</f>
        <v>0</v>
      </c>
      <c r="AJ320" s="285">
        <f>+'Proyectos Base digitable'!AL227</f>
        <v>0</v>
      </c>
      <c r="AK320" s="286">
        <f>+'Proyectos Base digitable'!AM227</f>
        <v>0</v>
      </c>
      <c r="AL320" s="286">
        <f>+'Proyectos Base digitable'!AN227</f>
        <v>0</v>
      </c>
      <c r="AM320" s="286">
        <f>+'Proyectos Base digitable'!AO227</f>
        <v>0</v>
      </c>
      <c r="AN320" s="286">
        <f>+'Proyectos Base digitable'!AP227</f>
        <v>0</v>
      </c>
      <c r="AO320" s="286">
        <f>+'Proyectos Base digitable'!AQ227</f>
        <v>0</v>
      </c>
      <c r="AP320" s="286">
        <f>+'Proyectos Base digitable'!AR227</f>
        <v>0</v>
      </c>
      <c r="AQ320" s="286">
        <f>+'Proyectos Base digitable'!AS227</f>
        <v>0</v>
      </c>
      <c r="AR320" s="286">
        <f>+'Proyectos Base digitable'!AT227</f>
        <v>0</v>
      </c>
      <c r="AS320" s="286">
        <f>+'Proyectos Base digitable'!AU227</f>
        <v>0</v>
      </c>
      <c r="AT320" s="286">
        <f>+'Proyectos Base digitable'!AV227</f>
        <v>0</v>
      </c>
      <c r="AU320" s="288">
        <f>+'Proyectos Base digitable'!AW227</f>
        <v>0</v>
      </c>
      <c r="AV320" s="288">
        <f>+'Proyectos Base digitable'!AX227</f>
        <v>0</v>
      </c>
      <c r="AW320" s="288">
        <f>+'Proyectos Base digitable'!AY227</f>
        <v>0</v>
      </c>
      <c r="AX320" s="288">
        <f>+'Proyectos Base digitable'!AZ227</f>
        <v>0</v>
      </c>
      <c r="AY320" s="277">
        <f>+'Proyectos Base digitable'!BA227</f>
        <v>0</v>
      </c>
      <c r="AZ320" s="289">
        <f>+'Proyectos Base digitable'!BB227</f>
        <v>0</v>
      </c>
      <c r="BA320" s="289">
        <f>+'Proyectos Base digitable'!BC227</f>
        <v>0</v>
      </c>
    </row>
    <row r="321" spans="31:53" ht="13.5" customHeight="1">
      <c r="AE321" s="282">
        <f>+'Proyectos Base digitable'!AG228</f>
        <v>0</v>
      </c>
      <c r="AF321" s="282">
        <f>+'Proyectos Base digitable'!AH228</f>
        <v>0</v>
      </c>
      <c r="AG321" s="277">
        <f>+'Proyectos Base digitable'!AI228</f>
        <v>0</v>
      </c>
      <c r="AH321" s="282">
        <f>+'Proyectos Base digitable'!AJ228</f>
        <v>0</v>
      </c>
      <c r="AI321" s="282">
        <f>+'Proyectos Base digitable'!AK228</f>
        <v>0</v>
      </c>
      <c r="AJ321" s="285">
        <f>+'Proyectos Base digitable'!AL228</f>
        <v>0</v>
      </c>
      <c r="AK321" s="286">
        <f>+'Proyectos Base digitable'!AM228</f>
        <v>0</v>
      </c>
      <c r="AL321" s="286">
        <f>+'Proyectos Base digitable'!AN228</f>
        <v>0</v>
      </c>
      <c r="AM321" s="286">
        <f>+'Proyectos Base digitable'!AO228</f>
        <v>0</v>
      </c>
      <c r="AN321" s="286">
        <f>+'Proyectos Base digitable'!AP228</f>
        <v>0</v>
      </c>
      <c r="AO321" s="286">
        <f>+'Proyectos Base digitable'!AQ228</f>
        <v>0</v>
      </c>
      <c r="AP321" s="286">
        <f>+'Proyectos Base digitable'!AR228</f>
        <v>0</v>
      </c>
      <c r="AQ321" s="286">
        <f>+'Proyectos Base digitable'!AS228</f>
        <v>0</v>
      </c>
      <c r="AR321" s="286">
        <f>+'Proyectos Base digitable'!AT228</f>
        <v>0</v>
      </c>
      <c r="AS321" s="286">
        <f>+'Proyectos Base digitable'!AU228</f>
        <v>0</v>
      </c>
      <c r="AT321" s="286">
        <f>+'Proyectos Base digitable'!AV228</f>
        <v>0</v>
      </c>
      <c r="AU321" s="288">
        <f>+'Proyectos Base digitable'!AW228</f>
        <v>0</v>
      </c>
      <c r="AV321" s="288">
        <f>+'Proyectos Base digitable'!AX228</f>
        <v>0</v>
      </c>
      <c r="AW321" s="288">
        <f>+'Proyectos Base digitable'!AY228</f>
        <v>0</v>
      </c>
      <c r="AX321" s="288">
        <f>+'Proyectos Base digitable'!AZ228</f>
        <v>0</v>
      </c>
      <c r="AY321" s="277">
        <f>+'Proyectos Base digitable'!BA228</f>
        <v>0</v>
      </c>
      <c r="AZ321" s="289">
        <f>+'Proyectos Base digitable'!BB228</f>
        <v>0</v>
      </c>
      <c r="BA321" s="289">
        <f>+'Proyectos Base digitable'!BC228</f>
        <v>0</v>
      </c>
    </row>
    <row r="322" spans="31:53" ht="13.5" customHeight="1">
      <c r="AE322" s="282">
        <f>+'Proyectos Base digitable'!AG229</f>
        <v>0</v>
      </c>
      <c r="AF322" s="282">
        <f>+'Proyectos Base digitable'!AH229</f>
        <v>0</v>
      </c>
      <c r="AG322" s="277">
        <f>+'Proyectos Base digitable'!AI229</f>
        <v>0</v>
      </c>
      <c r="AH322" s="282">
        <f>+'Proyectos Base digitable'!AJ229</f>
        <v>0</v>
      </c>
      <c r="AI322" s="282">
        <f>+'Proyectos Base digitable'!AK229</f>
        <v>0</v>
      </c>
      <c r="AJ322" s="285">
        <f>+'Proyectos Base digitable'!AL229</f>
        <v>0</v>
      </c>
      <c r="AK322" s="286">
        <f>+'Proyectos Base digitable'!AM229</f>
        <v>0</v>
      </c>
      <c r="AL322" s="286">
        <f>+'Proyectos Base digitable'!AN229</f>
        <v>0</v>
      </c>
      <c r="AM322" s="286">
        <f>+'Proyectos Base digitable'!AO229</f>
        <v>0</v>
      </c>
      <c r="AN322" s="286">
        <f>+'Proyectos Base digitable'!AP229</f>
        <v>0</v>
      </c>
      <c r="AO322" s="286">
        <f>+'Proyectos Base digitable'!AQ229</f>
        <v>0</v>
      </c>
      <c r="AP322" s="286">
        <f>+'Proyectos Base digitable'!AR229</f>
        <v>0</v>
      </c>
      <c r="AQ322" s="286">
        <f>+'Proyectos Base digitable'!AS229</f>
        <v>0</v>
      </c>
      <c r="AR322" s="286">
        <f>+'Proyectos Base digitable'!AT229</f>
        <v>0</v>
      </c>
      <c r="AS322" s="286">
        <f>+'Proyectos Base digitable'!AU229</f>
        <v>0</v>
      </c>
      <c r="AT322" s="286">
        <f>+'Proyectos Base digitable'!AV229</f>
        <v>0</v>
      </c>
      <c r="AU322" s="288">
        <f>+'Proyectos Base digitable'!AW229</f>
        <v>0</v>
      </c>
      <c r="AV322" s="288">
        <f>+'Proyectos Base digitable'!AX229</f>
        <v>0</v>
      </c>
      <c r="AW322" s="288">
        <f>+'Proyectos Base digitable'!AY229</f>
        <v>0</v>
      </c>
      <c r="AX322" s="288">
        <f>+'Proyectos Base digitable'!AZ229</f>
        <v>0</v>
      </c>
      <c r="AY322" s="277">
        <f>+'Proyectos Base digitable'!BA229</f>
        <v>0</v>
      </c>
      <c r="AZ322" s="289" t="str">
        <f>+'Proyectos Base digitable'!BB229</f>
        <v>Noria: Topografía, demolición, nivelación de terreno</v>
      </c>
      <c r="BA322" s="289">
        <f>+'Proyectos Base digitable'!BC229</f>
        <v>0</v>
      </c>
    </row>
    <row r="323" spans="31:53" ht="13.5" customHeight="1">
      <c r="AE323" s="282">
        <f>+'Proyectos Base digitable'!AG230</f>
        <v>0</v>
      </c>
      <c r="AF323" s="282">
        <f>+'Proyectos Base digitable'!AH230</f>
        <v>0</v>
      </c>
      <c r="AG323" s="277">
        <f>+'Proyectos Base digitable'!AI230</f>
        <v>0</v>
      </c>
      <c r="AH323" s="282">
        <f>+'Proyectos Base digitable'!AJ230</f>
        <v>0</v>
      </c>
      <c r="AI323" s="282">
        <f>+'Proyectos Base digitable'!AK230</f>
        <v>0</v>
      </c>
      <c r="AJ323" s="285">
        <f>+'Proyectos Base digitable'!AL230</f>
        <v>0</v>
      </c>
      <c r="AK323" s="286">
        <f>+'Proyectos Base digitable'!AM230</f>
        <v>0</v>
      </c>
      <c r="AL323" s="286">
        <f>+'Proyectos Base digitable'!AN230</f>
        <v>0</v>
      </c>
      <c r="AM323" s="286">
        <f>+'Proyectos Base digitable'!AO230</f>
        <v>0</v>
      </c>
      <c r="AN323" s="286">
        <f>+'Proyectos Base digitable'!AP230</f>
        <v>0</v>
      </c>
      <c r="AO323" s="286">
        <f>+'Proyectos Base digitable'!AQ230</f>
        <v>0</v>
      </c>
      <c r="AP323" s="286">
        <f>+'Proyectos Base digitable'!AR230</f>
        <v>0</v>
      </c>
      <c r="AQ323" s="286">
        <f>+'Proyectos Base digitable'!AS230</f>
        <v>0</v>
      </c>
      <c r="AR323" s="286">
        <f>+'Proyectos Base digitable'!AT230</f>
        <v>0</v>
      </c>
      <c r="AS323" s="286">
        <f>+'Proyectos Base digitable'!AU230</f>
        <v>0</v>
      </c>
      <c r="AT323" s="286">
        <f>+'Proyectos Base digitable'!AV230</f>
        <v>0</v>
      </c>
      <c r="AU323" s="288">
        <f>+'Proyectos Base digitable'!AW230</f>
        <v>0</v>
      </c>
      <c r="AV323" s="288">
        <f>+'Proyectos Base digitable'!AX230</f>
        <v>0</v>
      </c>
      <c r="AW323" s="288">
        <f>+'Proyectos Base digitable'!AY230</f>
        <v>0</v>
      </c>
      <c r="AX323" s="288">
        <f>+'Proyectos Base digitable'!AZ230</f>
        <v>0</v>
      </c>
      <c r="AY323" s="277">
        <f>+'Proyectos Base digitable'!BA230</f>
        <v>0</v>
      </c>
      <c r="AZ323" s="289">
        <f>+'Proyectos Base digitable'!BB230</f>
        <v>0</v>
      </c>
      <c r="BA323" s="289">
        <f>+'Proyectos Base digitable'!BC230</f>
        <v>0</v>
      </c>
    </row>
    <row r="324" spans="31:53" ht="13.5" customHeight="1">
      <c r="AE324" s="282">
        <f>+'Proyectos Base digitable'!AG231</f>
        <v>0</v>
      </c>
      <c r="AF324" s="282">
        <f>+'Proyectos Base digitable'!AH231</f>
        <v>0</v>
      </c>
      <c r="AG324" s="277">
        <f>+'Proyectos Base digitable'!AI231</f>
        <v>0</v>
      </c>
      <c r="AH324" s="282">
        <f>+'Proyectos Base digitable'!AJ231</f>
        <v>0</v>
      </c>
      <c r="AI324" s="282">
        <f>+'Proyectos Base digitable'!AK231</f>
        <v>0</v>
      </c>
      <c r="AJ324" s="285">
        <f>+'Proyectos Base digitable'!AL231</f>
        <v>0</v>
      </c>
      <c r="AK324" s="286">
        <f>+'Proyectos Base digitable'!AM231</f>
        <v>0</v>
      </c>
      <c r="AL324" s="286">
        <f>+'Proyectos Base digitable'!AN231</f>
        <v>0</v>
      </c>
      <c r="AM324" s="286">
        <f>+'Proyectos Base digitable'!AO231</f>
        <v>0</v>
      </c>
      <c r="AN324" s="286">
        <f>+'Proyectos Base digitable'!AP231</f>
        <v>0</v>
      </c>
      <c r="AO324" s="286">
        <f>+'Proyectos Base digitable'!AQ231</f>
        <v>0</v>
      </c>
      <c r="AP324" s="286">
        <f>+'Proyectos Base digitable'!AR231</f>
        <v>0</v>
      </c>
      <c r="AQ324" s="286">
        <f>+'Proyectos Base digitable'!AS231</f>
        <v>0</v>
      </c>
      <c r="AR324" s="286">
        <f>+'Proyectos Base digitable'!AT231</f>
        <v>0</v>
      </c>
      <c r="AS324" s="286">
        <f>+'Proyectos Base digitable'!AU231</f>
        <v>0</v>
      </c>
      <c r="AT324" s="286">
        <f>+'Proyectos Base digitable'!AV231</f>
        <v>0</v>
      </c>
      <c r="AU324" s="288">
        <f>+'Proyectos Base digitable'!AW231</f>
        <v>0</v>
      </c>
      <c r="AV324" s="288">
        <f>+'Proyectos Base digitable'!AX231</f>
        <v>0</v>
      </c>
      <c r="AW324" s="288">
        <f>+'Proyectos Base digitable'!AY231</f>
        <v>0</v>
      </c>
      <c r="AX324" s="288">
        <f>+'Proyectos Base digitable'!AZ231</f>
        <v>0</v>
      </c>
      <c r="AY324" s="277">
        <f>+'Proyectos Base digitable'!BA231</f>
        <v>0</v>
      </c>
      <c r="AZ324" s="289">
        <f>+'Proyectos Base digitable'!BB231</f>
        <v>0</v>
      </c>
      <c r="BA324" s="289">
        <f>+'Proyectos Base digitable'!BC231</f>
        <v>0</v>
      </c>
    </row>
    <row r="325" spans="31:53" ht="13.5" customHeight="1">
      <c r="AE325" s="282" t="str">
        <f>+'Proyectos Base digitable'!AG232</f>
        <v>N/A</v>
      </c>
      <c r="AF325" s="282" t="str">
        <f>+'Proyectos Base digitable'!AH232</f>
        <v>Ivan Alberto Jimenez Aguirre</v>
      </c>
      <c r="AG325" s="277" t="str">
        <f>+'Proyectos Base digitable'!AI232</f>
        <v>IMC-032-2023</v>
      </c>
      <c r="AH325" s="282" t="str">
        <f>+'Proyectos Base digitable'!AJ232</f>
        <v>CONSORCIO INTERHUERTAS</v>
      </c>
      <c r="AI325" s="282" t="str">
        <f>+'Proyectos Base digitable'!AK232</f>
        <v xml:space="preserve">BMP CONSULTORES SAS 40%
INGENIERIA DE PROYECTOS SAS 60%    </v>
      </c>
      <c r="AJ325" s="285" t="str">
        <f>+'Proyectos Base digitable'!AL232</f>
        <v>Carlos Martinez Gutierrez</v>
      </c>
      <c r="AK325" s="286">
        <f>+'Proyectos Base digitable'!AM232</f>
        <v>1000000000</v>
      </c>
      <c r="AL325" s="286">
        <f>+'Proyectos Base digitable'!AN232</f>
        <v>0</v>
      </c>
      <c r="AM325" s="286">
        <f>+'Proyectos Base digitable'!AO232</f>
        <v>1000000000</v>
      </c>
      <c r="AN325" s="286">
        <f>+'Proyectos Base digitable'!AP232</f>
        <v>0</v>
      </c>
      <c r="AO325" s="286">
        <f>+'Proyectos Base digitable'!AQ232</f>
        <v>0</v>
      </c>
      <c r="AP325" s="286">
        <f>+'Proyectos Base digitable'!AR232</f>
        <v>190916375</v>
      </c>
      <c r="AQ325" s="286">
        <f>+'Proyectos Base digitable'!AS232</f>
        <v>0</v>
      </c>
      <c r="AR325" s="286">
        <f>+'Proyectos Base digitable'!AT232</f>
        <v>190916375</v>
      </c>
      <c r="AS325" s="286">
        <f>+'Proyectos Base digitable'!AU232</f>
        <v>0</v>
      </c>
      <c r="AT325" s="286">
        <f>+'Proyectos Base digitable'!AV232</f>
        <v>0</v>
      </c>
      <c r="AU325" s="288" t="str">
        <f>+'Proyectos Base digitable'!AW232</f>
        <v>30.000 personas (6.250 migrantes, 1.300 niños. 16.000 mujeres, 2.600 jóvenes)</v>
      </c>
      <c r="AV325" s="288" t="str">
        <f>+'Proyectos Base digitable'!AX232</f>
        <v xml:space="preserve">Número de metros cuadrados destinados a agricultura urbana y huertos comunitarios (desagregado por espacios rehabilitados y áreas de protección ambiental),
Línea de base: 7.400 m2 (2021), Objetivo: 27.400 m2 </v>
      </c>
      <c r="AW325" s="288">
        <f>+'Proyectos Base digitable'!AY232</f>
        <v>0</v>
      </c>
      <c r="AX325" s="288">
        <f>+'Proyectos Base digitable'!AZ232</f>
        <v>0</v>
      </c>
      <c r="AY325" s="277">
        <f>+'Proyectos Base digitable'!BA232</f>
        <v>0</v>
      </c>
      <c r="AZ325" s="289" t="str">
        <f>+'Proyectos Base digitable'!BB232</f>
        <v>Reuniones preconstractuales</v>
      </c>
      <c r="BA325" s="289" t="str">
        <f>+'Proyectos Base digitable'!BC232</f>
        <v>Si</v>
      </c>
    </row>
    <row r="326" spans="31:53" ht="13.5" customHeight="1">
      <c r="AE326" s="282" t="str">
        <f>+'Proyectos Base digitable'!AG233</f>
        <v>N/A</v>
      </c>
      <c r="AF326" s="282" t="str">
        <f>+'Proyectos Base digitable'!AH233</f>
        <v>Ivan Alberto Jimenez Aguirre</v>
      </c>
      <c r="AG326" s="277" t="str">
        <f>+'Proyectos Base digitable'!AI233</f>
        <v>IMC-032-2023</v>
      </c>
      <c r="AH326" s="282" t="str">
        <f>+'Proyectos Base digitable'!AJ233</f>
        <v>CONSORCIO INTERHUERTAS</v>
      </c>
      <c r="AI326" s="282" t="str">
        <f>+'Proyectos Base digitable'!AK233</f>
        <v xml:space="preserve">BMP CONSULTORES SAS 40%
INGENIERIA DE PROYECTOS SAS 60%    </v>
      </c>
      <c r="AJ326" s="285" t="str">
        <f>+'Proyectos Base digitable'!AL233</f>
        <v>Carlos Martinez Gutierrez</v>
      </c>
      <c r="AK326" s="286">
        <f>+'Proyectos Base digitable'!AM233</f>
        <v>1200000000</v>
      </c>
      <c r="AL326" s="286">
        <f>+'Proyectos Base digitable'!AN233</f>
        <v>0</v>
      </c>
      <c r="AM326" s="286">
        <f>+'Proyectos Base digitable'!AO233</f>
        <v>1200000000</v>
      </c>
      <c r="AN326" s="286">
        <f>+'Proyectos Base digitable'!AP233</f>
        <v>0</v>
      </c>
      <c r="AO326" s="286">
        <f>+'Proyectos Base digitable'!AQ233</f>
        <v>0</v>
      </c>
      <c r="AP326" s="286">
        <f>+'Proyectos Base digitable'!AR233</f>
        <v>190916375</v>
      </c>
      <c r="AQ326" s="286">
        <f>+'Proyectos Base digitable'!AS233</f>
        <v>0</v>
      </c>
      <c r="AR326" s="286">
        <f>+'Proyectos Base digitable'!AT233</f>
        <v>190916375</v>
      </c>
      <c r="AS326" s="286">
        <f>+'Proyectos Base digitable'!AU233</f>
        <v>0</v>
      </c>
      <c r="AT326" s="286">
        <f>+'Proyectos Base digitable'!AV233</f>
        <v>0</v>
      </c>
      <c r="AU326" s="288" t="str">
        <f>+'Proyectos Base digitable'!AW233</f>
        <v>30.000 personas (6.250 migrantes, 1.300 niños. 16.000 mujeres, 2.600 jóvenes)</v>
      </c>
      <c r="AV326" s="288" t="str">
        <f>+'Proyectos Base digitable'!AX233</f>
        <v xml:space="preserve">Kilos de alimentos producidos por huertos urbanos en Barranquilla
Línea de base: 39 kg por semestre (2021), Meta: 2430 kg por semestre/año </v>
      </c>
      <c r="AW326" s="288">
        <f>+'Proyectos Base digitable'!AY233</f>
        <v>0</v>
      </c>
      <c r="AX326" s="288">
        <f>+'Proyectos Base digitable'!AZ233</f>
        <v>0</v>
      </c>
      <c r="AY326" s="277">
        <f>+'Proyectos Base digitable'!BA233</f>
        <v>0</v>
      </c>
      <c r="AZ326" s="289" t="str">
        <f>+'Proyectos Base digitable'!BB233</f>
        <v xml:space="preserve">Reuniones preconstractuales  </v>
      </c>
      <c r="BA326" s="289" t="str">
        <f>+'Proyectos Base digitable'!BC233</f>
        <v>Si</v>
      </c>
    </row>
    <row r="327" spans="31:53" ht="13.5" customHeight="1">
      <c r="AE327" s="282" t="str">
        <f>+'Proyectos Base digitable'!AG234</f>
        <v>N/A</v>
      </c>
      <c r="AF327" s="282" t="str">
        <f>+'Proyectos Base digitable'!AH234</f>
        <v>Ivan Alberto Jimenez Aguirre</v>
      </c>
      <c r="AG327" s="277" t="str">
        <f>+'Proyectos Base digitable'!AI234</f>
        <v>IMC-032-2023</v>
      </c>
      <c r="AH327" s="282" t="str">
        <f>+'Proyectos Base digitable'!AJ234</f>
        <v>CONSORCIO INTERHUERTAS</v>
      </c>
      <c r="AI327" s="282" t="str">
        <f>+'Proyectos Base digitable'!AK234</f>
        <v xml:space="preserve">BMP CONSULTORES SAS 40%
INGENIERIA DE PROYECTOS SAS 60%    </v>
      </c>
      <c r="AJ327" s="285" t="str">
        <f>+'Proyectos Base digitable'!AL234</f>
        <v>Carlos Martinez Gutierrez</v>
      </c>
      <c r="AK327" s="286">
        <f>+'Proyectos Base digitable'!AM234</f>
        <v>1331000000</v>
      </c>
      <c r="AL327" s="286">
        <f>+'Proyectos Base digitable'!AN234</f>
        <v>0</v>
      </c>
      <c r="AM327" s="286">
        <f>+'Proyectos Base digitable'!AO234</f>
        <v>1331000000</v>
      </c>
      <c r="AN327" s="286">
        <f>+'Proyectos Base digitable'!AP234</f>
        <v>0</v>
      </c>
      <c r="AO327" s="286">
        <f>+'Proyectos Base digitable'!AQ234</f>
        <v>0</v>
      </c>
      <c r="AP327" s="286">
        <f>+'Proyectos Base digitable'!AR234</f>
        <v>190916375</v>
      </c>
      <c r="AQ327" s="286">
        <f>+'Proyectos Base digitable'!AS234</f>
        <v>0</v>
      </c>
      <c r="AR327" s="286">
        <f>+'Proyectos Base digitable'!AT234</f>
        <v>190916375</v>
      </c>
      <c r="AS327" s="286">
        <f>+'Proyectos Base digitable'!AU234</f>
        <v>0</v>
      </c>
      <c r="AT327" s="286">
        <f>+'Proyectos Base digitable'!AV234</f>
        <v>0</v>
      </c>
      <c r="AU327" s="288" t="str">
        <f>+'Proyectos Base digitable'!AW234</f>
        <v>30.000 personas (6.250 migrantes, 1.300 niños. 16.000 mujeres, 2.600 jóvenes)</v>
      </c>
      <c r="AV327" s="288" t="str">
        <f>+'Proyectos Base digitable'!AX234</f>
        <v>Número de personas, participantes de las iniciativas de agricultura urbana, que han mejorado su economía familiar (a través del ahorro) Meta: 500</v>
      </c>
      <c r="AW327" s="288">
        <f>+'Proyectos Base digitable'!AY234</f>
        <v>0</v>
      </c>
      <c r="AX327" s="288">
        <f>+'Proyectos Base digitable'!AZ234</f>
        <v>0</v>
      </c>
      <c r="AY327" s="277">
        <f>+'Proyectos Base digitable'!BA234</f>
        <v>0</v>
      </c>
      <c r="AZ327" s="289" t="str">
        <f>+'Proyectos Base digitable'!BB234</f>
        <v>Reuniones preconstractuales</v>
      </c>
      <c r="BA327" s="289" t="str">
        <f>+'Proyectos Base digitable'!BC234</f>
        <v>Si</v>
      </c>
    </row>
    <row r="328" spans="31:53" ht="13.5" customHeight="1">
      <c r="AE328" s="282" t="str">
        <f>+'Proyectos Base digitable'!AG235</f>
        <v>N/A</v>
      </c>
      <c r="AF328" s="282" t="str">
        <f>+'Proyectos Base digitable'!AH235</f>
        <v>Ivan Alberto Jimenez Aguirre</v>
      </c>
      <c r="AG328" s="277" t="str">
        <f>+'Proyectos Base digitable'!AI235</f>
        <v>IMC-032-2023</v>
      </c>
      <c r="AH328" s="282" t="str">
        <f>+'Proyectos Base digitable'!AJ235</f>
        <v>CONSORCIO INTERHUERTAS</v>
      </c>
      <c r="AI328" s="282" t="str">
        <f>+'Proyectos Base digitable'!AK235</f>
        <v xml:space="preserve">BMP CONSULTORES SAS 40%
INGENIERIA DE PROYECTOS SAS 60%    </v>
      </c>
      <c r="AJ328" s="285" t="str">
        <f>+'Proyectos Base digitable'!AL235</f>
        <v>Carlos Martinez Gutierrez</v>
      </c>
      <c r="AK328" s="286">
        <f>+'Proyectos Base digitable'!AM235</f>
        <v>769000000</v>
      </c>
      <c r="AL328" s="286">
        <f>+'Proyectos Base digitable'!AN235</f>
        <v>0</v>
      </c>
      <c r="AM328" s="286">
        <f>+'Proyectos Base digitable'!AO235</f>
        <v>769000000</v>
      </c>
      <c r="AN328" s="286">
        <f>+'Proyectos Base digitable'!AP235</f>
        <v>0</v>
      </c>
      <c r="AO328" s="286">
        <f>+'Proyectos Base digitable'!AQ235</f>
        <v>0</v>
      </c>
      <c r="AP328" s="286">
        <f>+'Proyectos Base digitable'!AR235</f>
        <v>190916375</v>
      </c>
      <c r="AQ328" s="286">
        <f>+'Proyectos Base digitable'!AS235</f>
        <v>0</v>
      </c>
      <c r="AR328" s="286">
        <f>+'Proyectos Base digitable'!AT235</f>
        <v>190916375</v>
      </c>
      <c r="AS328" s="286">
        <f>+'Proyectos Base digitable'!AU235</f>
        <v>0</v>
      </c>
      <c r="AT328" s="286">
        <f>+'Proyectos Base digitable'!AV235</f>
        <v>0</v>
      </c>
      <c r="AU328" s="288" t="str">
        <f>+'Proyectos Base digitable'!AW235</f>
        <v>30.000 personas (6.250 migrantes, 1.300 niños. 16.000 mujeres, 2.600 jóvenes)</v>
      </c>
      <c r="AV328" s="288" t="str">
        <f>+'Proyectos Base digitable'!AX235</f>
        <v xml:space="preserve"> % de espacios verdes (metros cuadrados) en Barranquilla que son co-gestionados por comunidades vulnerables y/o organizaciones locales para la producción de alimentos, Meta 3% </v>
      </c>
      <c r="AW328" s="288">
        <f>+'Proyectos Base digitable'!AY235</f>
        <v>0</v>
      </c>
      <c r="AX328" s="288">
        <f>+'Proyectos Base digitable'!AZ235</f>
        <v>0</v>
      </c>
      <c r="AY328" s="277">
        <f>+'Proyectos Base digitable'!BA235</f>
        <v>0</v>
      </c>
      <c r="AZ328" s="289" t="str">
        <f>+'Proyectos Base digitable'!BB235</f>
        <v>Reuniones preconstractuales</v>
      </c>
      <c r="BA328" s="289" t="str">
        <f>+'Proyectos Base digitable'!BC235</f>
        <v>Si</v>
      </c>
    </row>
    <row r="329" spans="31:53" ht="13.5" customHeight="1">
      <c r="AE329" s="282" t="str">
        <f>+'Proyectos Base digitable'!AG236</f>
        <v>NA</v>
      </c>
      <c r="AF329" s="282" t="str">
        <f>+'Proyectos Base digitable'!AH236</f>
        <v>NA</v>
      </c>
      <c r="AG329" s="277" t="str">
        <f>+'Proyectos Base digitable'!AI236</f>
        <v>NA</v>
      </c>
      <c r="AH329" s="282" t="str">
        <f>+'Proyectos Base digitable'!AJ236</f>
        <v>NA</v>
      </c>
      <c r="AI329" s="282" t="str">
        <f>+'Proyectos Base digitable'!AK236</f>
        <v>NA</v>
      </c>
      <c r="AJ329" s="285" t="str">
        <f>+'Proyectos Base digitable'!AL236</f>
        <v>NA</v>
      </c>
      <c r="AK329" s="286">
        <f>+'Proyectos Base digitable'!AM236</f>
        <v>0</v>
      </c>
      <c r="AL329" s="286">
        <f>+'Proyectos Base digitable'!AN236</f>
        <v>0</v>
      </c>
      <c r="AM329" s="286">
        <f>+'Proyectos Base digitable'!AO236</f>
        <v>0</v>
      </c>
      <c r="AN329" s="286">
        <f>+'Proyectos Base digitable'!AP236</f>
        <v>0</v>
      </c>
      <c r="AO329" s="286">
        <f>+'Proyectos Base digitable'!AQ236</f>
        <v>0</v>
      </c>
      <c r="AP329" s="286">
        <f>+'Proyectos Base digitable'!AR236</f>
        <v>0</v>
      </c>
      <c r="AQ329" s="286">
        <f>+'Proyectos Base digitable'!AS236</f>
        <v>0</v>
      </c>
      <c r="AR329" s="286">
        <f>+'Proyectos Base digitable'!AT236</f>
        <v>0</v>
      </c>
      <c r="AS329" s="286">
        <f>+'Proyectos Base digitable'!AU236</f>
        <v>0</v>
      </c>
      <c r="AT329" s="286">
        <f>+'Proyectos Base digitable'!AV236</f>
        <v>0</v>
      </c>
      <c r="AU329" s="288">
        <f>+'Proyectos Base digitable'!AW236</f>
        <v>0</v>
      </c>
      <c r="AV329" s="288">
        <f>+'Proyectos Base digitable'!AX236</f>
        <v>0</v>
      </c>
      <c r="AW329" s="288">
        <f>+'Proyectos Base digitable'!AY236</f>
        <v>0</v>
      </c>
      <c r="AX329" s="288">
        <f>+'Proyectos Base digitable'!AZ236</f>
        <v>0</v>
      </c>
      <c r="AY329" s="277" t="str">
        <f>+'Proyectos Base digitable'!BA236</f>
        <v>Articulando diseños con ampliación</v>
      </c>
      <c r="AZ329" s="289" t="str">
        <f>+'Proyectos Base digitable'!BB236</f>
        <v>Finalización de la articulación</v>
      </c>
      <c r="BA329" s="289" t="str">
        <f>+'Proyectos Base digitable'!BC236</f>
        <v>No</v>
      </c>
    </row>
    <row r="330" spans="31:53" ht="13.5" customHeight="1">
      <c r="AE330" s="282" t="str">
        <f>+'Proyectos Base digitable'!AG237</f>
        <v>NA</v>
      </c>
      <c r="AF330" s="282" t="str">
        <f>+'Proyectos Base digitable'!AH237</f>
        <v>NA</v>
      </c>
      <c r="AG330" s="277" t="str">
        <f>+'Proyectos Base digitable'!AI237</f>
        <v>NA</v>
      </c>
      <c r="AH330" s="282" t="str">
        <f>+'Proyectos Base digitable'!AJ237</f>
        <v>NA</v>
      </c>
      <c r="AI330" s="282" t="str">
        <f>+'Proyectos Base digitable'!AK237</f>
        <v>NA</v>
      </c>
      <c r="AJ330" s="285" t="str">
        <f>+'Proyectos Base digitable'!AL237</f>
        <v>NA</v>
      </c>
      <c r="AK330" s="286">
        <f>+'Proyectos Base digitable'!AM237</f>
        <v>0</v>
      </c>
      <c r="AL330" s="286">
        <f>+'Proyectos Base digitable'!AN237</f>
        <v>0</v>
      </c>
      <c r="AM330" s="286">
        <f>+'Proyectos Base digitable'!AO237</f>
        <v>0</v>
      </c>
      <c r="AN330" s="286">
        <f>+'Proyectos Base digitable'!AP237</f>
        <v>0</v>
      </c>
      <c r="AO330" s="286">
        <f>+'Proyectos Base digitable'!AQ237</f>
        <v>0</v>
      </c>
      <c r="AP330" s="286">
        <f>+'Proyectos Base digitable'!AR237</f>
        <v>0</v>
      </c>
      <c r="AQ330" s="286">
        <f>+'Proyectos Base digitable'!AS237</f>
        <v>0</v>
      </c>
      <c r="AR330" s="286">
        <f>+'Proyectos Base digitable'!AT237</f>
        <v>0</v>
      </c>
      <c r="AS330" s="286">
        <f>+'Proyectos Base digitable'!AU237</f>
        <v>0</v>
      </c>
      <c r="AT330" s="286">
        <f>+'Proyectos Base digitable'!AV237</f>
        <v>0</v>
      </c>
      <c r="AU330" s="288">
        <f>+'Proyectos Base digitable'!AW237</f>
        <v>0</v>
      </c>
      <c r="AV330" s="288">
        <f>+'Proyectos Base digitable'!AX237</f>
        <v>0</v>
      </c>
      <c r="AW330" s="288">
        <f>+'Proyectos Base digitable'!AY237</f>
        <v>0</v>
      </c>
      <c r="AX330" s="288">
        <f>+'Proyectos Base digitable'!AZ237</f>
        <v>0</v>
      </c>
      <c r="AY330" s="277" t="str">
        <f>+'Proyectos Base digitable'!BA237</f>
        <v>Visita de campo con el diseñador</v>
      </c>
      <c r="AZ330" s="289" t="str">
        <f>+'Proyectos Base digitable'!BB237</f>
        <v>Propuestas de esquemas basicos o de implantación</v>
      </c>
      <c r="BA330" s="289" t="str">
        <f>+'Proyectos Base digitable'!BC237</f>
        <v>No</v>
      </c>
    </row>
    <row r="331" spans="31:53" ht="13.5" customHeight="1">
      <c r="AE331" s="282" t="str">
        <f>+'Proyectos Base digitable'!AG238</f>
        <v>NA</v>
      </c>
      <c r="AF331" s="282" t="str">
        <f>+'Proyectos Base digitable'!AH238</f>
        <v>NA</v>
      </c>
      <c r="AG331" s="277" t="str">
        <f>+'Proyectos Base digitable'!AI238</f>
        <v>NA</v>
      </c>
      <c r="AH331" s="282" t="str">
        <f>+'Proyectos Base digitable'!AJ238</f>
        <v>NA</v>
      </c>
      <c r="AI331" s="282" t="str">
        <f>+'Proyectos Base digitable'!AK238</f>
        <v>NA</v>
      </c>
      <c r="AJ331" s="285" t="str">
        <f>+'Proyectos Base digitable'!AL238</f>
        <v>NA</v>
      </c>
      <c r="AK331" s="286">
        <f>+'Proyectos Base digitable'!AM238</f>
        <v>5978266601</v>
      </c>
      <c r="AL331" s="286">
        <f>+'Proyectos Base digitable'!AN238</f>
        <v>2882496748</v>
      </c>
      <c r="AM331" s="286">
        <f>+'Proyectos Base digitable'!AO238</f>
        <v>8860763349</v>
      </c>
      <c r="AN331" s="286">
        <f>+'Proyectos Base digitable'!AP238</f>
        <v>5571067976.2259998</v>
      </c>
      <c r="AO331" s="286">
        <f>+'Proyectos Base digitable'!AQ238</f>
        <v>3665527512.2259998</v>
      </c>
      <c r="AP331" s="286">
        <f>+'Proyectos Base digitable'!AR238</f>
        <v>476677526</v>
      </c>
      <c r="AQ331" s="286">
        <f>+'Proyectos Base digitable'!AS238</f>
        <v>286006516</v>
      </c>
      <c r="AR331" s="286">
        <f>+'Proyectos Base digitable'!AT238</f>
        <v>762684042</v>
      </c>
      <c r="AS331" s="286">
        <f>+'Proyectos Base digitable'!AU238</f>
        <v>131959472</v>
      </c>
      <c r="AT331" s="286">
        <f>+'Proyectos Base digitable'!AV238</f>
        <v>131959472</v>
      </c>
      <c r="AU331" s="288">
        <f>+'Proyectos Base digitable'!AW238</f>
        <v>0</v>
      </c>
      <c r="AV331" s="288">
        <f>+'Proyectos Base digitable'!AX238</f>
        <v>0</v>
      </c>
      <c r="AW331" s="288">
        <f>+'Proyectos Base digitable'!AY238</f>
        <v>0</v>
      </c>
      <c r="AX331" s="288">
        <f>+'Proyectos Base digitable'!AZ238</f>
        <v>0</v>
      </c>
      <c r="AY331" s="277" t="str">
        <f>+'Proyectos Base digitable'!BA238</f>
        <v>Instalacion de cercha en anillo 1er tramo, construccion de registros</v>
      </c>
      <c r="AZ331" s="289" t="str">
        <f>+'Proyectos Base digitable'!BB238</f>
        <v>Instalacion de Noria</v>
      </c>
      <c r="BA331" s="289" t="str">
        <f>+'Proyectos Base digitable'!BC238</f>
        <v>No</v>
      </c>
    </row>
    <row r="332" spans="31:53" ht="13.5" customHeight="1">
      <c r="AE332" s="282" t="str">
        <f>+'Proyectos Base digitable'!AG239</f>
        <v>NA</v>
      </c>
      <c r="AF332" s="282" t="str">
        <f>+'Proyectos Base digitable'!AH239</f>
        <v>NA</v>
      </c>
      <c r="AG332" s="277" t="str">
        <f>+'Proyectos Base digitable'!AI239</f>
        <v>NA</v>
      </c>
      <c r="AH332" s="282" t="str">
        <f>+'Proyectos Base digitable'!AJ239</f>
        <v>NA</v>
      </c>
      <c r="AI332" s="282" t="str">
        <f>+'Proyectos Base digitable'!AK239</f>
        <v>NA</v>
      </c>
      <c r="AJ332" s="285" t="str">
        <f>+'Proyectos Base digitable'!AL239</f>
        <v>NA</v>
      </c>
      <c r="AK332" s="286">
        <f>+'Proyectos Base digitable'!AM239</f>
        <v>0</v>
      </c>
      <c r="AL332" s="286">
        <f>+'Proyectos Base digitable'!AN239</f>
        <v>0</v>
      </c>
      <c r="AM332" s="286">
        <f>+'Proyectos Base digitable'!AO239</f>
        <v>0</v>
      </c>
      <c r="AN332" s="286">
        <f>+'Proyectos Base digitable'!AP239</f>
        <v>0</v>
      </c>
      <c r="AO332" s="286">
        <f>+'Proyectos Base digitable'!AQ239</f>
        <v>0</v>
      </c>
      <c r="AP332" s="286">
        <f>+'Proyectos Base digitable'!AR239</f>
        <v>0</v>
      </c>
      <c r="AQ332" s="286">
        <f>+'Proyectos Base digitable'!AS239</f>
        <v>0</v>
      </c>
      <c r="AR332" s="286">
        <f>+'Proyectos Base digitable'!AT239</f>
        <v>0</v>
      </c>
      <c r="AS332" s="286">
        <f>+'Proyectos Base digitable'!AU239</f>
        <v>0</v>
      </c>
      <c r="AT332" s="286">
        <f>+'Proyectos Base digitable'!AV239</f>
        <v>0</v>
      </c>
      <c r="AU332" s="288">
        <f>+'Proyectos Base digitable'!AW239</f>
        <v>0</v>
      </c>
      <c r="AV332" s="288">
        <f>+'Proyectos Base digitable'!AX239</f>
        <v>0</v>
      </c>
      <c r="AW332" s="288">
        <f>+'Proyectos Base digitable'!AY239</f>
        <v>0</v>
      </c>
      <c r="AX332" s="288">
        <f>+'Proyectos Base digitable'!AZ239</f>
        <v>0</v>
      </c>
      <c r="AY332" s="277" t="str">
        <f>+'Proyectos Base digitable'!BA239</f>
        <v>Estudio de demanda finalizado, en evaluación del modelo financiero</v>
      </c>
      <c r="AZ332" s="289" t="str">
        <f>+'Proyectos Base digitable'!BB239</f>
        <v>Definición fecha de solicitud de concesión</v>
      </c>
      <c r="BA332" s="289" t="str">
        <f>+'Proyectos Base digitable'!BC239</f>
        <v>No</v>
      </c>
    </row>
    <row r="333" spans="31:53" ht="13.5" customHeight="1">
      <c r="AE333" s="282" t="str">
        <f>+'Proyectos Base digitable'!AG240</f>
        <v>NA</v>
      </c>
      <c r="AF333" s="282" t="str">
        <f>+'Proyectos Base digitable'!AH240</f>
        <v>NA</v>
      </c>
      <c r="AG333" s="277" t="str">
        <f>+'Proyectos Base digitable'!AI240</f>
        <v>NA</v>
      </c>
      <c r="AH333" s="282" t="str">
        <f>+'Proyectos Base digitable'!AJ240</f>
        <v>NA</v>
      </c>
      <c r="AI333" s="282" t="str">
        <f>+'Proyectos Base digitable'!AK240</f>
        <v>NA</v>
      </c>
      <c r="AJ333" s="285" t="str">
        <f>+'Proyectos Base digitable'!AL240</f>
        <v>NA</v>
      </c>
      <c r="AK333" s="286">
        <f>+'Proyectos Base digitable'!AM240</f>
        <v>3207050000</v>
      </c>
      <c r="AL333" s="286">
        <f>+'Proyectos Base digitable'!AN240</f>
        <v>348076190</v>
      </c>
      <c r="AM333" s="286">
        <f>+'Proyectos Base digitable'!AO240</f>
        <v>3555126190</v>
      </c>
      <c r="AN333" s="286">
        <f>+'Proyectos Base digitable'!AP240</f>
        <v>1122467500</v>
      </c>
      <c r="AO333" s="286">
        <f>+'Proyectos Base digitable'!AQ240</f>
        <v>1122467500</v>
      </c>
      <c r="AP333" s="286">
        <f>+'Proyectos Base digitable'!AR240</f>
        <v>0</v>
      </c>
      <c r="AQ333" s="286">
        <f>+'Proyectos Base digitable'!AS240</f>
        <v>0</v>
      </c>
      <c r="AR333" s="286">
        <f>+'Proyectos Base digitable'!AT240</f>
        <v>0</v>
      </c>
      <c r="AS333" s="286">
        <f>+'Proyectos Base digitable'!AU240</f>
        <v>0</v>
      </c>
      <c r="AT333" s="286">
        <f>+'Proyectos Base digitable'!AV240</f>
        <v>0</v>
      </c>
      <c r="AU333" s="288">
        <f>+'Proyectos Base digitable'!AW240</f>
        <v>0</v>
      </c>
      <c r="AV333" s="288">
        <f>+'Proyectos Base digitable'!AX240</f>
        <v>0</v>
      </c>
      <c r="AW333" s="288">
        <f>+'Proyectos Base digitable'!AY240</f>
        <v>0</v>
      </c>
      <c r="AX333" s="288">
        <f>+'Proyectos Base digitable'!AZ240</f>
        <v>0</v>
      </c>
      <c r="AY333" s="277" t="str">
        <f>+'Proyectos Base digitable'!BA240</f>
        <v>Se finalizó en 30 de abril de 2024</v>
      </c>
      <c r="AZ333" s="289">
        <f>+'Proyectos Base digitable'!BB240</f>
        <v>0</v>
      </c>
      <c r="BA333" s="289" t="str">
        <f>+'Proyectos Base digitable'!BC240</f>
        <v>No</v>
      </c>
    </row>
    <row r="334" spans="31:53" ht="13.5" customHeight="1">
      <c r="AE334" s="282" t="str">
        <f>+'Proyectos Base digitable'!AG241</f>
        <v>NA</v>
      </c>
      <c r="AF334" s="282" t="str">
        <f>+'Proyectos Base digitable'!AH241</f>
        <v>NA</v>
      </c>
      <c r="AG334" s="277" t="str">
        <f>+'Proyectos Base digitable'!AI241</f>
        <v>NA</v>
      </c>
      <c r="AH334" s="282" t="str">
        <f>+'Proyectos Base digitable'!AJ241</f>
        <v>NA</v>
      </c>
      <c r="AI334" s="282" t="str">
        <f>+'Proyectos Base digitable'!AK241</f>
        <v>NA</v>
      </c>
      <c r="AJ334" s="285" t="str">
        <f>+'Proyectos Base digitable'!AL241</f>
        <v>NA</v>
      </c>
      <c r="AK334" s="286">
        <f>+'Proyectos Base digitable'!AM241</f>
        <v>1381702000</v>
      </c>
      <c r="AL334" s="286">
        <f>+'Proyectos Base digitable'!AN241</f>
        <v>0</v>
      </c>
      <c r="AM334" s="286">
        <f>+'Proyectos Base digitable'!AO241</f>
        <v>1381702000</v>
      </c>
      <c r="AN334" s="286">
        <f>+'Proyectos Base digitable'!AP241</f>
        <v>348328235</v>
      </c>
      <c r="AO334" s="286">
        <f>+'Proyectos Base digitable'!AQ241</f>
        <v>348328235</v>
      </c>
      <c r="AP334" s="286">
        <f>+'Proyectos Base digitable'!AR241</f>
        <v>0</v>
      </c>
      <c r="AQ334" s="286">
        <f>+'Proyectos Base digitable'!AS241</f>
        <v>0</v>
      </c>
      <c r="AR334" s="286">
        <f>+'Proyectos Base digitable'!AT241</f>
        <v>0</v>
      </c>
      <c r="AS334" s="286">
        <f>+'Proyectos Base digitable'!AU241</f>
        <v>0</v>
      </c>
      <c r="AT334" s="286">
        <f>+'Proyectos Base digitable'!AV241</f>
        <v>0</v>
      </c>
      <c r="AU334" s="288">
        <f>+'Proyectos Base digitable'!AW241</f>
        <v>0</v>
      </c>
      <c r="AV334" s="288">
        <f>+'Proyectos Base digitable'!AX241</f>
        <v>0</v>
      </c>
      <c r="AW334" s="288">
        <f>+'Proyectos Base digitable'!AY241</f>
        <v>0</v>
      </c>
      <c r="AX334" s="288">
        <f>+'Proyectos Base digitable'!AZ241</f>
        <v>0</v>
      </c>
      <c r="AY334" s="277" t="str">
        <f>+'Proyectos Base digitable'!BA241</f>
        <v>Diseños finalizados</v>
      </c>
      <c r="AZ334" s="289">
        <f>+'Proyectos Base digitable'!BB241</f>
        <v>0</v>
      </c>
      <c r="BA334" s="289" t="str">
        <f>+'Proyectos Base digitable'!BC241</f>
        <v>No</v>
      </c>
    </row>
    <row r="335" spans="31:53" ht="13.5" customHeight="1">
      <c r="AE335" s="282" t="str">
        <f>+'Proyectos Base digitable'!AG242</f>
        <v>NA</v>
      </c>
      <c r="AF335" s="282" t="str">
        <f>+'Proyectos Base digitable'!AH242</f>
        <v>NA</v>
      </c>
      <c r="AG335" s="277" t="str">
        <f>+'Proyectos Base digitable'!AI242</f>
        <v>NA</v>
      </c>
      <c r="AH335" s="282" t="str">
        <f>+'Proyectos Base digitable'!AJ242</f>
        <v>NA</v>
      </c>
      <c r="AI335" s="282" t="str">
        <f>+'Proyectos Base digitable'!AK242</f>
        <v>NA</v>
      </c>
      <c r="AJ335" s="285" t="str">
        <f>+'Proyectos Base digitable'!AL242</f>
        <v>NA</v>
      </c>
      <c r="AK335" s="286">
        <f>+'Proyectos Base digitable'!AM242</f>
        <v>1568337767</v>
      </c>
      <c r="AL335" s="286">
        <f>+'Proyectos Base digitable'!AN242</f>
        <v>0</v>
      </c>
      <c r="AM335" s="286">
        <f>+'Proyectos Base digitable'!AO242</f>
        <v>1568337767</v>
      </c>
      <c r="AN335" s="286">
        <f>+'Proyectos Base digitable'!AP242</f>
        <v>395379269</v>
      </c>
      <c r="AO335" s="286">
        <f>+'Proyectos Base digitable'!AQ242</f>
        <v>395379269</v>
      </c>
      <c r="AP335" s="286">
        <f>+'Proyectos Base digitable'!AR242</f>
        <v>0</v>
      </c>
      <c r="AQ335" s="286">
        <f>+'Proyectos Base digitable'!AS242</f>
        <v>0</v>
      </c>
      <c r="AR335" s="286">
        <f>+'Proyectos Base digitable'!AT242</f>
        <v>0</v>
      </c>
      <c r="AS335" s="286">
        <f>+'Proyectos Base digitable'!AU242</f>
        <v>0</v>
      </c>
      <c r="AT335" s="286">
        <f>+'Proyectos Base digitable'!AV242</f>
        <v>0</v>
      </c>
      <c r="AU335" s="288">
        <f>+'Proyectos Base digitable'!AW242</f>
        <v>0</v>
      </c>
      <c r="AV335" s="288">
        <f>+'Proyectos Base digitable'!AX242</f>
        <v>0</v>
      </c>
      <c r="AW335" s="288">
        <f>+'Proyectos Base digitable'!AY242</f>
        <v>0</v>
      </c>
      <c r="AX335" s="288">
        <f>+'Proyectos Base digitable'!AZ242</f>
        <v>0</v>
      </c>
      <c r="AY335" s="277" t="str">
        <f>+'Proyectos Base digitable'!BA242</f>
        <v>Diseños finalizados</v>
      </c>
      <c r="AZ335" s="289">
        <f>+'Proyectos Base digitable'!BB242</f>
        <v>0</v>
      </c>
      <c r="BA335" s="289" t="str">
        <f>+'Proyectos Base digitable'!BC242</f>
        <v>No</v>
      </c>
    </row>
    <row r="336" spans="31:53" ht="13.5" customHeight="1">
      <c r="AE336" s="282" t="str">
        <f>+'Proyectos Base digitable'!AG243</f>
        <v>NA</v>
      </c>
      <c r="AF336" s="282" t="str">
        <f>+'Proyectos Base digitable'!AH243</f>
        <v>NA</v>
      </c>
      <c r="AG336" s="277" t="str">
        <f>+'Proyectos Base digitable'!AI243</f>
        <v>NA</v>
      </c>
      <c r="AH336" s="282" t="str">
        <f>+'Proyectos Base digitable'!AJ243</f>
        <v>NA</v>
      </c>
      <c r="AI336" s="282" t="str">
        <f>+'Proyectos Base digitable'!AK243</f>
        <v>NA</v>
      </c>
      <c r="AJ336" s="285" t="str">
        <f>+'Proyectos Base digitable'!AL243</f>
        <v>NA</v>
      </c>
      <c r="AK336" s="286">
        <f>+'Proyectos Base digitable'!AM243</f>
        <v>5793000000</v>
      </c>
      <c r="AL336" s="286">
        <f>+'Proyectos Base digitable'!AN243</f>
        <v>0</v>
      </c>
      <c r="AM336" s="286">
        <f>+'Proyectos Base digitable'!AO243</f>
        <v>5793000000</v>
      </c>
      <c r="AN336" s="286">
        <f>+'Proyectos Base digitable'!AP243</f>
        <v>2151134000</v>
      </c>
      <c r="AO336" s="286">
        <f>+'Proyectos Base digitable'!AQ243</f>
        <v>2151134000</v>
      </c>
      <c r="AP336" s="286">
        <f>+'Proyectos Base digitable'!AR243</f>
        <v>0</v>
      </c>
      <c r="AQ336" s="286">
        <f>+'Proyectos Base digitable'!AS243</f>
        <v>0</v>
      </c>
      <c r="AR336" s="286">
        <f>+'Proyectos Base digitable'!AT243</f>
        <v>0</v>
      </c>
      <c r="AS336" s="286">
        <f>+'Proyectos Base digitable'!AU243</f>
        <v>0</v>
      </c>
      <c r="AT336" s="286">
        <f>+'Proyectos Base digitable'!AV243</f>
        <v>0</v>
      </c>
      <c r="AU336" s="288">
        <f>+'Proyectos Base digitable'!AW243</f>
        <v>0</v>
      </c>
      <c r="AV336" s="288">
        <f>+'Proyectos Base digitable'!AX243</f>
        <v>0</v>
      </c>
      <c r="AW336" s="288">
        <f>+'Proyectos Base digitable'!AY243</f>
        <v>0</v>
      </c>
      <c r="AX336" s="288">
        <f>+'Proyectos Base digitable'!AZ243</f>
        <v>0</v>
      </c>
      <c r="AY336" s="277" t="str">
        <f>+'Proyectos Base digitable'!BA243</f>
        <v>Capacitación a la comunidad en economía circular y transformación de residuos, proyecto piloto basura marina. Realización de jornada de recolección de basura en Puerto Mocho con la comunidad. Entrega de alternativa de aprovechamiento de mejillón Mytilus sp. Solicitud de No objeción proceso de auditoría financiera.</v>
      </c>
      <c r="AZ336" s="289" t="str">
        <f>+'Proyectos Base digitable'!BB243</f>
        <v>Revisión de avances de estrategia de captura de residuos en la CM, proyecto de basura marina. Revisión de avances de plan de implementación de proyecto productivo y plan de socialización de avances con actores varios, proyecto mejillones. Articulación de los proyectos con oficina de emprendemiento de la Alcaldía. Evaluación de hv para proceso de evaluación final del componente 1. Revisión de avance cronograma de eventos y beneficiarios del proyecto con equipo de comunicaciones.</v>
      </c>
      <c r="BA336" s="289" t="str">
        <f>+'Proyectos Base digitable'!BC243</f>
        <v>No</v>
      </c>
    </row>
    <row r="337" spans="30:53" ht="13.5" customHeight="1">
      <c r="AE337" s="282" t="str">
        <f>+'Proyectos Base digitable'!AG244</f>
        <v>NA</v>
      </c>
      <c r="AF337" s="282" t="str">
        <f>+'Proyectos Base digitable'!AH244</f>
        <v>NA</v>
      </c>
      <c r="AG337" s="277" t="str">
        <f>+'Proyectos Base digitable'!AI244</f>
        <v>NA</v>
      </c>
      <c r="AH337" s="282" t="str">
        <f>+'Proyectos Base digitable'!AJ244</f>
        <v>NA</v>
      </c>
      <c r="AI337" s="282" t="str">
        <f>+'Proyectos Base digitable'!AK244</f>
        <v>NA</v>
      </c>
      <c r="AJ337" s="285" t="str">
        <f>+'Proyectos Base digitable'!AL244</f>
        <v>NA</v>
      </c>
      <c r="AK337" s="286">
        <f>+'Proyectos Base digitable'!AM244</f>
        <v>829484000</v>
      </c>
      <c r="AL337" s="286">
        <f>+'Proyectos Base digitable'!AN244</f>
        <v>0</v>
      </c>
      <c r="AM337" s="286">
        <f>+'Proyectos Base digitable'!AO244</f>
        <v>829484000</v>
      </c>
      <c r="AN337" s="286">
        <f>+'Proyectos Base digitable'!AP244</f>
        <v>255066330</v>
      </c>
      <c r="AO337" s="286">
        <f>+'Proyectos Base digitable'!AQ244</f>
        <v>255066330</v>
      </c>
      <c r="AP337" s="286">
        <f>+'Proyectos Base digitable'!AR244</f>
        <v>0</v>
      </c>
      <c r="AQ337" s="286">
        <f>+'Proyectos Base digitable'!AS244</f>
        <v>0</v>
      </c>
      <c r="AR337" s="286">
        <f>+'Proyectos Base digitable'!AT244</f>
        <v>0</v>
      </c>
      <c r="AS337" s="286">
        <f>+'Proyectos Base digitable'!AU244</f>
        <v>0</v>
      </c>
      <c r="AT337" s="286">
        <f>+'Proyectos Base digitable'!AV244</f>
        <v>0</v>
      </c>
      <c r="AU337" s="288">
        <f>+'Proyectos Base digitable'!AW244</f>
        <v>0</v>
      </c>
      <c r="AV337" s="288">
        <f>+'Proyectos Base digitable'!AX244</f>
        <v>0</v>
      </c>
      <c r="AW337" s="288">
        <f>+'Proyectos Base digitable'!AY244</f>
        <v>0</v>
      </c>
      <c r="AX337" s="288">
        <f>+'Proyectos Base digitable'!AZ244</f>
        <v>0</v>
      </c>
      <c r="AY337" s="277" t="str">
        <f>+'Proyectos Base digitable'!BA244</f>
        <v>Cierre de auditoría</v>
      </c>
      <c r="AZ337" s="289" t="str">
        <f>+'Proyectos Base digitable'!BB244</f>
        <v>Pendiente resultados de auditoría</v>
      </c>
      <c r="BA337" s="289" t="str">
        <f>+'Proyectos Base digitable'!BC244</f>
        <v>No</v>
      </c>
    </row>
    <row r="338" spans="30:53" ht="13.5" customHeight="1">
      <c r="AE338" s="282" t="str">
        <f>+'Proyectos Base digitable'!AG245</f>
        <v>NA</v>
      </c>
      <c r="AF338" s="282" t="str">
        <f>+'Proyectos Base digitable'!AH245</f>
        <v>NA</v>
      </c>
      <c r="AG338" s="277" t="str">
        <f>+'Proyectos Base digitable'!AI245</f>
        <v>NA</v>
      </c>
      <c r="AH338" s="282" t="str">
        <f>+'Proyectos Base digitable'!AJ245</f>
        <v>NA</v>
      </c>
      <c r="AI338" s="282" t="str">
        <f>+'Proyectos Base digitable'!AK245</f>
        <v>NA</v>
      </c>
      <c r="AJ338" s="285" t="str">
        <f>+'Proyectos Base digitable'!AL245</f>
        <v>NA</v>
      </c>
      <c r="AK338" s="286">
        <f>+'Proyectos Base digitable'!AM245</f>
        <v>0</v>
      </c>
      <c r="AL338" s="286">
        <f>+'Proyectos Base digitable'!AN245</f>
        <v>0</v>
      </c>
      <c r="AM338" s="286">
        <f>+'Proyectos Base digitable'!AO245</f>
        <v>0</v>
      </c>
      <c r="AN338" s="286">
        <f>+'Proyectos Base digitable'!AP245</f>
        <v>0</v>
      </c>
      <c r="AO338" s="286">
        <f>+'Proyectos Base digitable'!AQ245</f>
        <v>0</v>
      </c>
      <c r="AP338" s="286">
        <f>+'Proyectos Base digitable'!AR245</f>
        <v>0</v>
      </c>
      <c r="AQ338" s="286">
        <f>+'Proyectos Base digitable'!AS245</f>
        <v>0</v>
      </c>
      <c r="AR338" s="286">
        <f>+'Proyectos Base digitable'!AT245</f>
        <v>0</v>
      </c>
      <c r="AS338" s="286">
        <f>+'Proyectos Base digitable'!AU245</f>
        <v>0</v>
      </c>
      <c r="AT338" s="286">
        <f>+'Proyectos Base digitable'!AV245</f>
        <v>0</v>
      </c>
      <c r="AU338" s="288">
        <f>+'Proyectos Base digitable'!AW245</f>
        <v>0</v>
      </c>
      <c r="AV338" s="288">
        <f>+'Proyectos Base digitable'!AX245</f>
        <v>0</v>
      </c>
      <c r="AW338" s="288">
        <f>+'Proyectos Base digitable'!AY245</f>
        <v>0</v>
      </c>
      <c r="AX338" s="288">
        <f>+'Proyectos Base digitable'!AZ245</f>
        <v>0</v>
      </c>
      <c r="AY338" s="277" t="str">
        <f>+'Proyectos Base digitable'!BA245</f>
        <v>Diseños conceptual finalizado</v>
      </c>
      <c r="AZ338" s="289">
        <f>+'Proyectos Base digitable'!BB245</f>
        <v>0</v>
      </c>
      <c r="BA338" s="289" t="str">
        <f>+'Proyectos Base digitable'!BC245</f>
        <v>No</v>
      </c>
    </row>
    <row r="339" spans="30:53" ht="13.5" customHeight="1">
      <c r="AE339" s="282" t="str">
        <f>+'Proyectos Base digitable'!AG246</f>
        <v>N/A</v>
      </c>
      <c r="AF339" s="282" t="str">
        <f>+'Proyectos Base digitable'!AH246</f>
        <v>Carlos Fernando Lemus Santana</v>
      </c>
      <c r="AG339" s="277" t="str">
        <f>+'Proyectos Base digitable'!AI246</f>
        <v>056-2023</v>
      </c>
      <c r="AH339" s="282" t="str">
        <f>+'Proyectos Base digitable'!AJ246</f>
        <v>Fabio Bedoya</v>
      </c>
      <c r="AI339" s="282" t="str">
        <f>+'Proyectos Base digitable'!AK246</f>
        <v>N/A</v>
      </c>
      <c r="AJ339" s="285" t="str">
        <f>+'Proyectos Base digitable'!AL246</f>
        <v>NA</v>
      </c>
      <c r="AK339" s="286">
        <f>+'Proyectos Base digitable'!AM246</f>
        <v>4405000000</v>
      </c>
      <c r="AL339" s="286">
        <f>+'Proyectos Base digitable'!AN246</f>
        <v>2200932564.5599999</v>
      </c>
      <c r="AM339" s="286">
        <f>+'Proyectos Base digitable'!AO246</f>
        <v>6605932564.5599995</v>
      </c>
      <c r="AN339" s="286">
        <f>+'Proyectos Base digitable'!AP246</f>
        <v>6588474048.0599995</v>
      </c>
      <c r="AO339" s="286">
        <f>+'Proyectos Base digitable'!AQ246</f>
        <v>6588474048.0599995</v>
      </c>
      <c r="AP339" s="286">
        <f>+'Proyectos Base digitable'!AR246</f>
        <v>58500000</v>
      </c>
      <c r="AQ339" s="286">
        <f>+'Proyectos Base digitable'!AS246</f>
        <v>103875000</v>
      </c>
      <c r="AR339" s="286">
        <f>+'Proyectos Base digitable'!AT246</f>
        <v>162375000</v>
      </c>
      <c r="AS339" s="286">
        <f>+'Proyectos Base digitable'!AU246</f>
        <v>162375000</v>
      </c>
      <c r="AT339" s="286">
        <f>+'Proyectos Base digitable'!AV246</f>
        <v>162375000</v>
      </c>
      <c r="AU339" s="288" t="str">
        <f>+'Proyectos Base digitable'!AW246</f>
        <v>4266 Estudiantes</v>
      </c>
      <c r="AV339" s="288" t="str">
        <f>+'Proyectos Base digitable'!AX246</f>
        <v>Metros cuadrados renovados</v>
      </c>
      <c r="AW339" s="288">
        <f>+'Proyectos Base digitable'!AY246</f>
        <v>0</v>
      </c>
      <c r="AX339" s="288">
        <f>+'Proyectos Base digitable'!AZ246</f>
        <v>0</v>
      </c>
      <c r="AY339" s="277" t="str">
        <f>+'Proyectos Base digitable'!BA246</f>
        <v>Acta de entrega firmada</v>
      </c>
      <c r="AZ339" s="289" t="str">
        <f>+'Proyectos Base digitable'!BB246</f>
        <v>Pendiente liquidación</v>
      </c>
      <c r="BA339" s="289" t="str">
        <f>+'Proyectos Base digitable'!BC246</f>
        <v>Si</v>
      </c>
    </row>
    <row r="340" spans="30:53" ht="13.5" customHeight="1">
      <c r="AE340" s="282" t="str">
        <f>+'Proyectos Base digitable'!AG247</f>
        <v>NA</v>
      </c>
      <c r="AF340" s="282" t="str">
        <f>+'Proyectos Base digitable'!AH247</f>
        <v>NA</v>
      </c>
      <c r="AG340" s="277" t="str">
        <f>+'Proyectos Base digitable'!AI247</f>
        <v>NA</v>
      </c>
      <c r="AH340" s="282" t="str">
        <f>+'Proyectos Base digitable'!AJ247</f>
        <v>NA</v>
      </c>
      <c r="AI340" s="282" t="str">
        <f>+'Proyectos Base digitable'!AK247</f>
        <v>NA</v>
      </c>
      <c r="AJ340" s="285" t="str">
        <f>+'Proyectos Base digitable'!AL247</f>
        <v>NA</v>
      </c>
      <c r="AK340" s="286">
        <f>+'Proyectos Base digitable'!AM247</f>
        <v>4405000000</v>
      </c>
      <c r="AL340" s="286">
        <f>+'Proyectos Base digitable'!AN247</f>
        <v>2200932564.5599999</v>
      </c>
      <c r="AM340" s="286">
        <f>+'Proyectos Base digitable'!AO247</f>
        <v>6605932564.5599995</v>
      </c>
      <c r="AN340" s="286">
        <f>+'Proyectos Base digitable'!AP247</f>
        <v>6588474048.0599995</v>
      </c>
      <c r="AO340" s="286">
        <f>+'Proyectos Base digitable'!AQ247</f>
        <v>6588474048.0599995</v>
      </c>
      <c r="AP340" s="286">
        <f>+'Proyectos Base digitable'!AR247</f>
        <v>58500000</v>
      </c>
      <c r="AQ340" s="286">
        <f>+'Proyectos Base digitable'!AS247</f>
        <v>103875000</v>
      </c>
      <c r="AR340" s="286">
        <f>+'Proyectos Base digitable'!AT247</f>
        <v>162375000</v>
      </c>
      <c r="AS340" s="286">
        <f>+'Proyectos Base digitable'!AU247</f>
        <v>162375000</v>
      </c>
      <c r="AT340" s="286">
        <f>+'Proyectos Base digitable'!AV247</f>
        <v>162375000</v>
      </c>
      <c r="AU340" s="288" t="str">
        <f>+'Proyectos Base digitable'!AW247</f>
        <v>4266 Estudiantes</v>
      </c>
      <c r="AV340" s="288" t="str">
        <f>+'Proyectos Base digitable'!AX247</f>
        <v>Metros cuadrados renovados</v>
      </c>
      <c r="AW340" s="288">
        <f>+'Proyectos Base digitable'!AY247</f>
        <v>0</v>
      </c>
      <c r="AX340" s="288">
        <f>+'Proyectos Base digitable'!AZ247</f>
        <v>0</v>
      </c>
      <c r="AY340" s="277" t="str">
        <f>+'Proyectos Base digitable'!BA247</f>
        <v>Acta de entrega firmada</v>
      </c>
      <c r="AZ340" s="289" t="str">
        <f>+'Proyectos Base digitable'!BB247</f>
        <v>Pendiente liquidación</v>
      </c>
      <c r="BA340" s="289" t="str">
        <f>+'Proyectos Base digitable'!BC247</f>
        <v>Si</v>
      </c>
    </row>
    <row r="341" spans="30:53" ht="13.5" customHeight="1">
      <c r="AE341" s="282" t="str">
        <f>+'Proyectos Base digitable'!AG250</f>
        <v>NA</v>
      </c>
      <c r="AF341" s="282" t="str">
        <f>+'Proyectos Base digitable'!AH250</f>
        <v>NA</v>
      </c>
      <c r="AG341" s="277" t="str">
        <f>+'Proyectos Base digitable'!AI250</f>
        <v>NA</v>
      </c>
      <c r="AH341" s="282" t="str">
        <f>+'Proyectos Base digitable'!AJ250</f>
        <v>NA</v>
      </c>
      <c r="AI341" s="282" t="str">
        <f>+'Proyectos Base digitable'!AK250</f>
        <v>NA</v>
      </c>
      <c r="AJ341" s="285" t="str">
        <f>+'Proyectos Base digitable'!AL250</f>
        <v>NA</v>
      </c>
      <c r="AK341" s="286">
        <f>+'Proyectos Base digitable'!AM250</f>
        <v>0</v>
      </c>
      <c r="AL341" s="286">
        <f>+'Proyectos Base digitable'!AN250</f>
        <v>0</v>
      </c>
      <c r="AM341" s="286">
        <f>+'Proyectos Base digitable'!AO250</f>
        <v>0</v>
      </c>
      <c r="AN341" s="286">
        <f>+'Proyectos Base digitable'!AP250</f>
        <v>0</v>
      </c>
      <c r="AO341" s="286">
        <f>+'Proyectos Base digitable'!AQ250</f>
        <v>0</v>
      </c>
      <c r="AP341" s="286">
        <f>+'Proyectos Base digitable'!AR250</f>
        <v>0</v>
      </c>
      <c r="AQ341" s="286">
        <f>+'Proyectos Base digitable'!AS250</f>
        <v>0</v>
      </c>
      <c r="AR341" s="286">
        <f>+'Proyectos Base digitable'!AT250</f>
        <v>0</v>
      </c>
      <c r="AS341" s="286">
        <f>+'Proyectos Base digitable'!AU250</f>
        <v>0</v>
      </c>
      <c r="AT341" s="286">
        <f>+'Proyectos Base digitable'!AV250</f>
        <v>0</v>
      </c>
      <c r="AU341" s="288" t="str">
        <f>+'Proyectos Base digitable'!AW250</f>
        <v>1321 estudiantes</v>
      </c>
      <c r="AV341" s="288" t="str">
        <f>+'Proyectos Base digitable'!AX250</f>
        <v>7% sobre la facturacion para interventoria</v>
      </c>
      <c r="AW341" s="288" t="str">
        <f>+'Proyectos Base digitable'!AY250</f>
        <v>100/100</v>
      </c>
      <c r="AX341" s="288">
        <f>+'Proyectos Base digitable'!AZ250</f>
        <v>0</v>
      </c>
      <c r="AY341" s="277" t="str">
        <f>+'Proyectos Base digitable'!BA250</f>
        <v xml:space="preserve">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videoviligancia, comunicación - 100%
Interconexión con el punto de entrega - 100%
Inspección cumplimiento RETIE del AGPE - 100%
Emisión Dictamen Inspección Pleno RETIE del AGPE - 100%
Registro de proyectos SSFV -  0%
Solicitud cambio de comercializador - 0%
Acta de energización / Puesta en operación - 0%
</v>
      </c>
      <c r="AZ341" s="289" t="str">
        <f>+'Proyectos Base digitable'!BB250</f>
        <v xml:space="preserve">Las respectivas actividades de normalización de la medida representan un hito relevante en el avance % del proyecto (Aprox un 25%) motivo por el cual , se debe tener en cuenta que no se reflejará dicho avance hasta el final (cambio de comercializador). </v>
      </c>
      <c r="BA341" s="289" t="str">
        <f>+'Proyectos Base digitable'!BC250</f>
        <v>No</v>
      </c>
    </row>
    <row r="342" spans="30:53" ht="13.5" customHeight="1">
      <c r="AE342" s="282" t="str">
        <f>+'Proyectos Base digitable'!AG251</f>
        <v>NA</v>
      </c>
      <c r="AF342" s="282" t="str">
        <f>+'Proyectos Base digitable'!AH251</f>
        <v>NA</v>
      </c>
      <c r="AG342" s="277" t="str">
        <f>+'Proyectos Base digitable'!AI251</f>
        <v>NA</v>
      </c>
      <c r="AH342" s="282" t="str">
        <f>+'Proyectos Base digitable'!AJ251</f>
        <v>NA</v>
      </c>
      <c r="AI342" s="282" t="str">
        <f>+'Proyectos Base digitable'!AK251</f>
        <v>NA</v>
      </c>
      <c r="AJ342" s="285" t="str">
        <f>+'Proyectos Base digitable'!AL251</f>
        <v>NA</v>
      </c>
      <c r="AK342" s="286">
        <f>+'Proyectos Base digitable'!AM251</f>
        <v>0</v>
      </c>
      <c r="AL342" s="286">
        <f>+'Proyectos Base digitable'!AN251</f>
        <v>0</v>
      </c>
      <c r="AM342" s="286">
        <f>+'Proyectos Base digitable'!AO251</f>
        <v>0</v>
      </c>
      <c r="AN342" s="286">
        <f>+'Proyectos Base digitable'!AP251</f>
        <v>0</v>
      </c>
      <c r="AO342" s="286">
        <f>+'Proyectos Base digitable'!AQ251</f>
        <v>0</v>
      </c>
      <c r="AP342" s="286">
        <f>+'Proyectos Base digitable'!AR251</f>
        <v>0</v>
      </c>
      <c r="AQ342" s="286">
        <f>+'Proyectos Base digitable'!AS251</f>
        <v>0</v>
      </c>
      <c r="AR342" s="286">
        <f>+'Proyectos Base digitable'!AT251</f>
        <v>0</v>
      </c>
      <c r="AS342" s="286">
        <f>+'Proyectos Base digitable'!AU251</f>
        <v>0</v>
      </c>
      <c r="AT342" s="286">
        <f>+'Proyectos Base digitable'!AV251</f>
        <v>0</v>
      </c>
      <c r="AU342" s="288">
        <f>+'Proyectos Base digitable'!AW251</f>
        <v>0</v>
      </c>
      <c r="AV342" s="288" t="str">
        <f>+'Proyectos Base digitable'!AX251</f>
        <v>7% sobre la facturacion para interventoria</v>
      </c>
      <c r="AW342" s="288" t="str">
        <f>+'Proyectos Base digitable'!AY251</f>
        <v>100/100</v>
      </c>
      <c r="AX342" s="288">
        <f>+'Proyectos Base digitable'!AZ251</f>
        <v>0</v>
      </c>
      <c r="AY342" s="277" t="str">
        <f>+'Proyectos Base digitable'!BA251</f>
        <v>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- 70%
Interconexión con el punto de entrega - 100%
Pruebas preoperacionales del SSFV  -100%
Inspección cumplimiento RETIE del AGPE -100%
Emisión Dictamen Inspección Pleno RETIE del AGPE - 100%
Registro de proyectos SSFV - 0%
Solicitud cambio de comercializador - 0%
Acta de energización / Puesta en operación - 0%</v>
      </c>
      <c r="AZ342" s="289" t="str">
        <f>+'Proyectos Base digitable'!BB251</f>
        <v xml:space="preserve">A la espera del usuario de Mi red , quien tiene pendiente las cartas de solcitud de cambio de comercializador y representación de la frontera de generación para la edificación. </v>
      </c>
      <c r="BA342" s="289" t="str">
        <f>+'Proyectos Base digitable'!BC251</f>
        <v>Si</v>
      </c>
    </row>
    <row r="343" spans="30:53" ht="13.5" customHeight="1">
      <c r="AE343" s="282" t="str">
        <f>+'Proyectos Base digitable'!AG252</f>
        <v>NA</v>
      </c>
      <c r="AF343" s="282" t="str">
        <f>+'Proyectos Base digitable'!AH252</f>
        <v>NA</v>
      </c>
      <c r="AG343" s="277" t="str">
        <f>+'Proyectos Base digitable'!AI252</f>
        <v>NA</v>
      </c>
      <c r="AH343" s="282" t="str">
        <f>+'Proyectos Base digitable'!AJ252</f>
        <v>NA</v>
      </c>
      <c r="AI343" s="282" t="str">
        <f>+'Proyectos Base digitable'!AK252</f>
        <v>NA</v>
      </c>
      <c r="AJ343" s="285" t="str">
        <f>+'Proyectos Base digitable'!AL252</f>
        <v>NA</v>
      </c>
      <c r="AK343" s="286">
        <f>+'Proyectos Base digitable'!AM252</f>
        <v>0</v>
      </c>
      <c r="AL343" s="286">
        <f>+'Proyectos Base digitable'!AN252</f>
        <v>0</v>
      </c>
      <c r="AM343" s="286">
        <f>+'Proyectos Base digitable'!AO252</f>
        <v>0</v>
      </c>
      <c r="AN343" s="286">
        <f>+'Proyectos Base digitable'!AP252</f>
        <v>0</v>
      </c>
      <c r="AO343" s="286">
        <f>+'Proyectos Base digitable'!AQ252</f>
        <v>0</v>
      </c>
      <c r="AP343" s="286">
        <f>+'Proyectos Base digitable'!AR252</f>
        <v>0</v>
      </c>
      <c r="AQ343" s="286">
        <f>+'Proyectos Base digitable'!AS252</f>
        <v>0</v>
      </c>
      <c r="AR343" s="286">
        <f>+'Proyectos Base digitable'!AT252</f>
        <v>0</v>
      </c>
      <c r="AS343" s="286">
        <f>+'Proyectos Base digitable'!AU252</f>
        <v>0</v>
      </c>
      <c r="AT343" s="286">
        <f>+'Proyectos Base digitable'!AV252</f>
        <v>0</v>
      </c>
      <c r="AU343" s="288">
        <f>+'Proyectos Base digitable'!AW252</f>
        <v>0</v>
      </c>
      <c r="AV343" s="288" t="str">
        <f>+'Proyectos Base digitable'!AX252</f>
        <v>7% sobre la facturacion para interventoria</v>
      </c>
      <c r="AW343" s="288" t="str">
        <f>+'Proyectos Base digitable'!AY252</f>
        <v>100/100</v>
      </c>
      <c r="AX343" s="288">
        <f>+'Proyectos Base digitable'!AZ252</f>
        <v>0</v>
      </c>
      <c r="AY343" s="277" t="str">
        <f>+'Proyectos Base digitable'!BA252</f>
        <v>Intalación de puntos de anclaje - 100%
Acopio de materiales -100%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-100%
Inspección cumplimiento RETIE del AGPE -100%
Emisión Dictamen Inspección Pleno RETIE del AGPE -100%
Registro de proyectos SSFV - 0%
Solicitud cambio de comercializador - 0%
Acta de energización / Puesta en operación - 0%</v>
      </c>
      <c r="AZ343" s="289" t="str">
        <f>+'Proyectos Base digitable'!BB252</f>
        <v xml:space="preserve">A la espera del usuario de Mi red , quien tiene pendiente las cartas de solcitud de cambio de comercializador y representación de la frontera de generación para la edificación. </v>
      </c>
      <c r="BA343" s="289" t="str">
        <f>+'Proyectos Base digitable'!BC252</f>
        <v>Si</v>
      </c>
    </row>
    <row r="344" spans="30:53" ht="13.5" customHeight="1">
      <c r="AD344" s="305"/>
      <c r="AE344" s="306" t="str">
        <f>+'Proyectos Base digitable'!AG253</f>
        <v>NA</v>
      </c>
      <c r="AF344" s="298" t="str">
        <f>+'Proyectos Base digitable'!AH253</f>
        <v>NA</v>
      </c>
      <c r="AG344" s="291" t="str">
        <f>+'Proyectos Base digitable'!AI253</f>
        <v>NA</v>
      </c>
      <c r="AH344" s="298" t="str">
        <f>+'Proyectos Base digitable'!AJ253</f>
        <v>NA</v>
      </c>
      <c r="AI344" s="298" t="str">
        <f>+'Proyectos Base digitable'!AK253</f>
        <v>NA</v>
      </c>
      <c r="AJ344" s="303" t="str">
        <f>+'Proyectos Base digitable'!AL253</f>
        <v>NA</v>
      </c>
      <c r="AK344" s="287">
        <f>+'Proyectos Base digitable'!AM253</f>
        <v>0</v>
      </c>
      <c r="AL344" s="287">
        <f>+'Proyectos Base digitable'!AN253</f>
        <v>0</v>
      </c>
      <c r="AM344" s="287">
        <f>+'Proyectos Base digitable'!AO253</f>
        <v>0</v>
      </c>
      <c r="AN344" s="287">
        <f>+'Proyectos Base digitable'!AP253</f>
        <v>0</v>
      </c>
      <c r="AO344" s="287">
        <f>+'Proyectos Base digitable'!AQ253</f>
        <v>0</v>
      </c>
      <c r="AP344" s="287">
        <f>+'Proyectos Base digitable'!AR253</f>
        <v>0</v>
      </c>
      <c r="AQ344" s="287">
        <f>+'Proyectos Base digitable'!AS253</f>
        <v>0</v>
      </c>
      <c r="AR344" s="287">
        <f>+'Proyectos Base digitable'!AT253</f>
        <v>0</v>
      </c>
      <c r="AS344" s="287">
        <f>+'Proyectos Base digitable'!AU253</f>
        <v>0</v>
      </c>
      <c r="AT344" s="287">
        <f>+'Proyectos Base digitable'!AV253</f>
        <v>0</v>
      </c>
      <c r="AU344" s="288">
        <f>+'Proyectos Base digitable'!AW253</f>
        <v>0</v>
      </c>
      <c r="AV344" s="288" t="str">
        <f>+'Proyectos Base digitable'!AX253</f>
        <v>7% sobre la facturacion para interventoria</v>
      </c>
      <c r="AW344" s="288" t="str">
        <f>+'Proyectos Base digitable'!AY253</f>
        <v>100/100</v>
      </c>
      <c r="AX344" s="288">
        <f>+'Proyectos Base digitable'!AZ253</f>
        <v>0</v>
      </c>
      <c r="AY344" s="291" t="str">
        <f>+'Proyectos Base digitable'!BA253</f>
        <v>Intalación de puntos de anclaje - 100%
Acopio de materiales -75%
Obras civiles - 100%
Instalación de lineas de vida - 100% 
Instalación de Estructura - 100% 
Instalación de bandejas DC -  100%
Instalación de bajantes DC - 100%
Instalación de cableado DC - 100%
Instalación de modulos 100%
Montaje de inversores - 100%
Instalación Canalización AC - 100%
Instalación Tablero SSFV -  100%
 Instalación cableado AC - 100%
Instalación medidor de genración, videoviligacia, comunicación - 100%
Interconexión con el punto de entrega - 100%
Pruebas preoperacionales del SSFV - 100%
Inspección cumplimiento RETIE del AGPE - 100%
Emisión Dictamen Inspección Pleno RETIE del AGPE - 100%
Registro de proyectos SSFV - 0%
Solicitud cambio de comercializador - 0%
Acta de energización / Puesta en operación - 0%</v>
      </c>
      <c r="AZ344" s="304" t="str">
        <f>+'Proyectos Base digitable'!BB253</f>
        <v xml:space="preserve">A la espera del usuario de Mi red , quien tiene pendiente las cartas de solcitud de cambio de comercializador y representación de la frontera de generación para la edificación. </v>
      </c>
      <c r="BA344" s="304" t="str">
        <f>+'Proyectos Base digitable'!BC253</f>
        <v>Si</v>
      </c>
    </row>
  </sheetData>
  <phoneticPr fontId="4" type="noConversion"/>
  <conditionalFormatting sqref="E2:F295">
    <cfRule type="containsBlanks" dxfId="10" priority="1">
      <formula>LEN(TRIM(E2))=0</formula>
    </cfRule>
  </conditionalFormatting>
  <conditionalFormatting sqref="G2:G275">
    <cfRule type="duplicateValues" dxfId="9" priority="10"/>
  </conditionalFormatting>
  <conditionalFormatting sqref="G276:G295">
    <cfRule type="duplicateValues" dxfId="8" priority="133"/>
  </conditionalFormatting>
  <conditionalFormatting sqref="O2:O295">
    <cfRule type="containsText" dxfId="7" priority="2" operator="containsText" text="Suspendido">
      <formula>NOT(ISERROR(SEARCH("Suspendido",O2)))</formula>
    </cfRule>
  </conditionalFormatting>
  <conditionalFormatting sqref="T2:T295 Z2:AA295">
    <cfRule type="containsText" dxfId="6" priority="8" operator="containsText" text="Amarillo">
      <formula>NOT(ISERROR(SEARCH("Amarillo",T2)))</formula>
    </cfRule>
    <cfRule type="containsText" dxfId="5" priority="9" operator="containsText" text="Rojo">
      <formula>NOT(ISERROR(SEARCH("Rojo",T2)))</formula>
    </cfRule>
  </conditionalFormatting>
  <conditionalFormatting sqref="Z2:Z295">
    <cfRule type="containsText" dxfId="4" priority="4" operator="containsText" text="En_Convocatoria">
      <formula>NOT(ISERROR(SEARCH("En_Convocatoria",Z2)))</formula>
    </cfRule>
    <cfRule type="containsText" dxfId="3" priority="5" operator="containsText" text="Entregado">
      <formula>NOT(ISERROR(SEARCH("Entregado",Z2)))</formula>
    </cfRule>
    <cfRule type="containsText" dxfId="2" priority="6" operator="containsText" text="Suspendido">
      <formula>NOT(ISERROR(SEARCH("Suspendido",Z2)))</formula>
    </cfRule>
  </conditionalFormatting>
  <conditionalFormatting sqref="Z2:AA295 T2:T295">
    <cfRule type="containsText" dxfId="1" priority="7" operator="containsText" text="Verde">
      <formula>NOT(ISERROR(SEARCH("Verde",T2)))</formula>
    </cfRule>
  </conditionalFormatting>
  <conditionalFormatting sqref="AA2:AA295">
    <cfRule type="containsText" dxfId="0" priority="3" operator="containsText" text="En_Seguimiento">
      <formula>NOT(ISERROR(SEARCH("En_Seguimiento",AA2)))</formula>
    </cfRule>
  </conditionalFormatting>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2BE96-3049-4DC2-8A76-329A1590B190}">
  <sheetPr filterMode="1"/>
  <dimension ref="A1:E279"/>
  <sheetViews>
    <sheetView zoomScale="115" zoomScaleNormal="115" workbookViewId="0">
      <pane xSplit="2" ySplit="2" topLeftCell="C3" activePane="bottomRight" state="frozen"/>
      <selection pane="topRight" activeCell="C1" sqref="C1"/>
      <selection pane="bottomLeft" activeCell="A3" sqref="A3"/>
      <selection pane="bottomRight" activeCell="E3" sqref="E3"/>
    </sheetView>
  </sheetViews>
  <sheetFormatPr baseColWidth="10" defaultColWidth="11.08203125" defaultRowHeight="12"/>
  <cols>
    <col min="1" max="1" width="6.5" style="45" customWidth="1"/>
    <col min="2" max="2" width="77.08203125" style="235" bestFit="1" customWidth="1"/>
    <col min="3" max="3" width="14.9140625" style="235" bestFit="1" customWidth="1"/>
    <col min="4" max="4" width="32.08203125" style="235" customWidth="1"/>
    <col min="5" max="5" width="45" style="235" customWidth="1"/>
    <col min="6" max="16384" width="11.08203125" style="235"/>
  </cols>
  <sheetData>
    <row r="1" spans="1:5" ht="16">
      <c r="B1" s="238">
        <f>+COUNTA(_xlfn.UNIQUE(B3:B210))</f>
        <v>4</v>
      </c>
      <c r="C1" s="238">
        <f>+COUNTA(_xlfn.UNIQUE(C3:C210))</f>
        <v>13</v>
      </c>
      <c r="D1" s="238">
        <f>+COUNTA(_xlfn.UNIQUE(D3:D210))</f>
        <v>47</v>
      </c>
      <c r="E1" s="238">
        <f t="shared" ref="E1" si="0">+COUNTA(_xlfn.UNIQUE(E3:E210))</f>
        <v>208</v>
      </c>
    </row>
    <row r="2" spans="1:5" ht="15">
      <c r="A2" s="236" t="s">
        <v>1939</v>
      </c>
      <c r="B2" s="239" t="s">
        <v>1939</v>
      </c>
      <c r="C2" s="239" t="s">
        <v>1940</v>
      </c>
      <c r="D2" s="239" t="s">
        <v>1941</v>
      </c>
      <c r="E2" s="239" t="s">
        <v>1942</v>
      </c>
    </row>
    <row r="3" spans="1:5" ht="48">
      <c r="A3" s="237" t="s">
        <v>365</v>
      </c>
      <c r="B3" s="245" t="s">
        <v>365</v>
      </c>
      <c r="C3" s="235" t="s">
        <v>1943</v>
      </c>
      <c r="D3" s="235" t="s">
        <v>1944</v>
      </c>
      <c r="E3" s="235" t="s">
        <v>1945</v>
      </c>
    </row>
    <row r="4" spans="1:5" ht="48">
      <c r="A4" s="237" t="s">
        <v>118</v>
      </c>
      <c r="B4" s="245" t="s">
        <v>365</v>
      </c>
      <c r="C4" s="235" t="s">
        <v>1943</v>
      </c>
      <c r="D4" s="235" t="s">
        <v>1944</v>
      </c>
      <c r="E4" s="235" t="s">
        <v>1946</v>
      </c>
    </row>
    <row r="5" spans="1:5" ht="48">
      <c r="A5" s="237" t="s">
        <v>407</v>
      </c>
      <c r="B5" s="245" t="s">
        <v>365</v>
      </c>
      <c r="C5" s="235" t="s">
        <v>1943</v>
      </c>
      <c r="D5" s="235" t="s">
        <v>1944</v>
      </c>
      <c r="E5" s="235" t="s">
        <v>1947</v>
      </c>
    </row>
    <row r="6" spans="1:5" ht="48">
      <c r="A6" s="237" t="s">
        <v>1948</v>
      </c>
      <c r="B6" s="245" t="s">
        <v>365</v>
      </c>
      <c r="C6" s="235" t="s">
        <v>1943</v>
      </c>
      <c r="D6" s="235" t="s">
        <v>1944</v>
      </c>
      <c r="E6" s="235" t="s">
        <v>1949</v>
      </c>
    </row>
    <row r="7" spans="1:5" ht="25.4" customHeight="1">
      <c r="B7" s="245" t="s">
        <v>365</v>
      </c>
      <c r="C7" s="235" t="s">
        <v>1943</v>
      </c>
      <c r="D7" s="235" t="s">
        <v>1944</v>
      </c>
      <c r="E7" s="235" t="s">
        <v>1950</v>
      </c>
    </row>
    <row r="8" spans="1:5" ht="17.149999999999999" customHeight="1">
      <c r="B8" s="245" t="s">
        <v>365</v>
      </c>
      <c r="C8" s="235" t="s">
        <v>1943</v>
      </c>
      <c r="D8" s="235" t="s">
        <v>1944</v>
      </c>
      <c r="E8" s="235" t="s">
        <v>1951</v>
      </c>
    </row>
    <row r="9" spans="1:5" ht="48">
      <c r="B9" s="245" t="s">
        <v>365</v>
      </c>
      <c r="C9" s="235" t="s">
        <v>1943</v>
      </c>
      <c r="D9" s="235" t="s">
        <v>1944</v>
      </c>
      <c r="E9" s="235" t="s">
        <v>1952</v>
      </c>
    </row>
    <row r="10" spans="1:5" ht="48" hidden="1">
      <c r="B10" s="245" t="s">
        <v>365</v>
      </c>
      <c r="C10" s="235" t="s">
        <v>1943</v>
      </c>
      <c r="D10" s="235" t="s">
        <v>1953</v>
      </c>
      <c r="E10" s="235" t="s">
        <v>1954</v>
      </c>
    </row>
    <row r="11" spans="1:5" ht="48" hidden="1">
      <c r="B11" s="245" t="s">
        <v>365</v>
      </c>
      <c r="C11" s="235" t="s">
        <v>1943</v>
      </c>
      <c r="D11" s="235" t="s">
        <v>1953</v>
      </c>
      <c r="E11" s="235" t="s">
        <v>1955</v>
      </c>
    </row>
    <row r="12" spans="1:5" ht="48" hidden="1">
      <c r="B12" s="245" t="s">
        <v>365</v>
      </c>
      <c r="C12" s="235" t="s">
        <v>1943</v>
      </c>
      <c r="D12" s="235" t="s">
        <v>1953</v>
      </c>
      <c r="E12" s="235" t="s">
        <v>1956</v>
      </c>
    </row>
    <row r="13" spans="1:5" ht="48" hidden="1">
      <c r="B13" s="245" t="s">
        <v>365</v>
      </c>
      <c r="C13" s="235" t="s">
        <v>1943</v>
      </c>
      <c r="D13" s="235" t="s">
        <v>1953</v>
      </c>
      <c r="E13" s="235" t="s">
        <v>1957</v>
      </c>
    </row>
    <row r="14" spans="1:5" ht="48" hidden="1">
      <c r="B14" s="245" t="s">
        <v>365</v>
      </c>
      <c r="C14" s="235" t="s">
        <v>1943</v>
      </c>
      <c r="D14" s="235" t="s">
        <v>1953</v>
      </c>
      <c r="E14" s="235" t="s">
        <v>1958</v>
      </c>
    </row>
    <row r="15" spans="1:5" ht="48" hidden="1">
      <c r="B15" s="245" t="s">
        <v>365</v>
      </c>
      <c r="C15" s="235" t="s">
        <v>1959</v>
      </c>
      <c r="D15" s="235" t="s">
        <v>1960</v>
      </c>
      <c r="E15" s="235" t="s">
        <v>1961</v>
      </c>
    </row>
    <row r="16" spans="1:5" ht="48" hidden="1">
      <c r="B16" s="245" t="s">
        <v>365</v>
      </c>
      <c r="C16" s="235" t="s">
        <v>1959</v>
      </c>
      <c r="D16" s="235" t="s">
        <v>1960</v>
      </c>
      <c r="E16" s="235" t="s">
        <v>1962</v>
      </c>
    </row>
    <row r="17" spans="2:5" ht="48" hidden="1">
      <c r="B17" s="245" t="s">
        <v>365</v>
      </c>
      <c r="C17" s="235" t="s">
        <v>1959</v>
      </c>
      <c r="D17" s="235" t="s">
        <v>1960</v>
      </c>
      <c r="E17" s="235" t="s">
        <v>1963</v>
      </c>
    </row>
    <row r="18" spans="2:5" ht="48" hidden="1">
      <c r="B18" s="245" t="s">
        <v>365</v>
      </c>
      <c r="C18" s="235" t="s">
        <v>1959</v>
      </c>
      <c r="D18" s="235" t="s">
        <v>1960</v>
      </c>
      <c r="E18" s="235" t="s">
        <v>1964</v>
      </c>
    </row>
    <row r="19" spans="2:5" ht="48" hidden="1">
      <c r="B19" s="245" t="s">
        <v>365</v>
      </c>
      <c r="C19" s="235" t="s">
        <v>1959</v>
      </c>
      <c r="D19" s="235" t="s">
        <v>1965</v>
      </c>
      <c r="E19" s="235" t="s">
        <v>1966</v>
      </c>
    </row>
    <row r="20" spans="2:5" ht="48" hidden="1">
      <c r="B20" s="245" t="s">
        <v>365</v>
      </c>
      <c r="C20" s="235" t="s">
        <v>1959</v>
      </c>
      <c r="D20" s="235" t="s">
        <v>1965</v>
      </c>
      <c r="E20" s="235" t="s">
        <v>1967</v>
      </c>
    </row>
    <row r="21" spans="2:5" ht="48" hidden="1">
      <c r="B21" s="245" t="s">
        <v>365</v>
      </c>
      <c r="C21" s="235" t="s">
        <v>1959</v>
      </c>
      <c r="D21" s="235" t="s">
        <v>1965</v>
      </c>
      <c r="E21" s="235" t="s">
        <v>1968</v>
      </c>
    </row>
    <row r="22" spans="2:5" ht="48" hidden="1">
      <c r="B22" s="245" t="s">
        <v>365</v>
      </c>
      <c r="C22" s="235" t="s">
        <v>1959</v>
      </c>
      <c r="D22" s="235" t="s">
        <v>1965</v>
      </c>
      <c r="E22" s="235" t="s">
        <v>1969</v>
      </c>
    </row>
    <row r="23" spans="2:5" ht="48" hidden="1">
      <c r="B23" s="245" t="s">
        <v>365</v>
      </c>
      <c r="C23" s="235" t="s">
        <v>1959</v>
      </c>
      <c r="D23" s="235" t="s">
        <v>1965</v>
      </c>
      <c r="E23" s="235" t="s">
        <v>1970</v>
      </c>
    </row>
    <row r="24" spans="2:5" ht="48" hidden="1">
      <c r="B24" s="245" t="s">
        <v>365</v>
      </c>
      <c r="C24" s="235" t="s">
        <v>1959</v>
      </c>
      <c r="D24" s="235" t="s">
        <v>1965</v>
      </c>
      <c r="E24" s="235" t="s">
        <v>1971</v>
      </c>
    </row>
    <row r="25" spans="2:5" ht="48" hidden="1">
      <c r="B25" s="245" t="s">
        <v>365</v>
      </c>
      <c r="C25" s="235" t="s">
        <v>1959</v>
      </c>
      <c r="D25" s="235" t="s">
        <v>1965</v>
      </c>
      <c r="E25" s="235" t="s">
        <v>1972</v>
      </c>
    </row>
    <row r="26" spans="2:5" ht="48" hidden="1">
      <c r="B26" s="245" t="s">
        <v>365</v>
      </c>
      <c r="C26" s="235" t="s">
        <v>1959</v>
      </c>
      <c r="D26" s="235" t="s">
        <v>1965</v>
      </c>
      <c r="E26" s="235" t="s">
        <v>1973</v>
      </c>
    </row>
    <row r="27" spans="2:5" ht="60" hidden="1">
      <c r="B27" s="245" t="s">
        <v>365</v>
      </c>
      <c r="C27" s="235" t="s">
        <v>1959</v>
      </c>
      <c r="D27" s="235" t="s">
        <v>1965</v>
      </c>
      <c r="E27" s="235" t="s">
        <v>1974</v>
      </c>
    </row>
    <row r="28" spans="2:5" ht="48" hidden="1">
      <c r="B28" s="245" t="s">
        <v>365</v>
      </c>
      <c r="C28" s="235" t="s">
        <v>1959</v>
      </c>
      <c r="D28" s="235" t="s">
        <v>1965</v>
      </c>
      <c r="E28" s="235" t="s">
        <v>1975</v>
      </c>
    </row>
    <row r="29" spans="2:5" ht="48" hidden="1">
      <c r="B29" s="245" t="s">
        <v>365</v>
      </c>
      <c r="C29" s="235" t="s">
        <v>1959</v>
      </c>
      <c r="D29" s="235" t="s">
        <v>1965</v>
      </c>
      <c r="E29" s="235" t="s">
        <v>1976</v>
      </c>
    </row>
    <row r="30" spans="2:5" ht="48" hidden="1">
      <c r="B30" s="245" t="s">
        <v>365</v>
      </c>
      <c r="C30" s="235" t="s">
        <v>1959</v>
      </c>
      <c r="D30" s="235" t="s">
        <v>1965</v>
      </c>
      <c r="E30" s="235" t="s">
        <v>1977</v>
      </c>
    </row>
    <row r="31" spans="2:5" ht="48" hidden="1">
      <c r="B31" s="245" t="s">
        <v>365</v>
      </c>
      <c r="C31" s="235" t="s">
        <v>1959</v>
      </c>
      <c r="D31" s="235" t="s">
        <v>1978</v>
      </c>
      <c r="E31" s="235" t="s">
        <v>1979</v>
      </c>
    </row>
    <row r="32" spans="2:5" ht="48" hidden="1">
      <c r="B32" s="245" t="s">
        <v>365</v>
      </c>
      <c r="C32" s="235" t="s">
        <v>1959</v>
      </c>
      <c r="D32" s="235" t="s">
        <v>1978</v>
      </c>
      <c r="E32" s="235" t="s">
        <v>1980</v>
      </c>
    </row>
    <row r="33" spans="2:5" ht="48" hidden="1">
      <c r="B33" s="245" t="s">
        <v>365</v>
      </c>
      <c r="C33" s="235" t="s">
        <v>1959</v>
      </c>
      <c r="D33" s="235" t="s">
        <v>1978</v>
      </c>
      <c r="E33" s="235" t="s">
        <v>1981</v>
      </c>
    </row>
    <row r="34" spans="2:5" ht="36" hidden="1">
      <c r="B34" s="245" t="s">
        <v>365</v>
      </c>
      <c r="C34" s="235" t="s">
        <v>1982</v>
      </c>
      <c r="D34" s="235" t="s">
        <v>1983</v>
      </c>
      <c r="E34" s="235" t="s">
        <v>1984</v>
      </c>
    </row>
    <row r="35" spans="2:5" ht="36" hidden="1">
      <c r="B35" s="245" t="s">
        <v>365</v>
      </c>
      <c r="C35" s="235" t="s">
        <v>1982</v>
      </c>
      <c r="D35" s="235" t="s">
        <v>1983</v>
      </c>
      <c r="E35" s="235" t="s">
        <v>1985</v>
      </c>
    </row>
    <row r="36" spans="2:5" ht="36" hidden="1">
      <c r="B36" s="245" t="s">
        <v>365</v>
      </c>
      <c r="C36" s="235" t="s">
        <v>1982</v>
      </c>
      <c r="D36" s="235" t="s">
        <v>1983</v>
      </c>
      <c r="E36" s="235" t="s">
        <v>1986</v>
      </c>
    </row>
    <row r="37" spans="2:5" ht="36" hidden="1">
      <c r="B37" s="245" t="s">
        <v>365</v>
      </c>
      <c r="C37" s="235" t="s">
        <v>1982</v>
      </c>
      <c r="D37" s="235" t="s">
        <v>1983</v>
      </c>
      <c r="E37" s="235" t="s">
        <v>1987</v>
      </c>
    </row>
    <row r="38" spans="2:5" ht="36" hidden="1">
      <c r="B38" s="245" t="s">
        <v>365</v>
      </c>
      <c r="C38" s="235" t="s">
        <v>1982</v>
      </c>
      <c r="D38" s="235" t="s">
        <v>1983</v>
      </c>
      <c r="E38" s="235" t="s">
        <v>1988</v>
      </c>
    </row>
    <row r="39" spans="2:5" ht="36" hidden="1">
      <c r="B39" s="245" t="s">
        <v>365</v>
      </c>
      <c r="C39" s="235" t="s">
        <v>1982</v>
      </c>
      <c r="D39" s="235" t="s">
        <v>1989</v>
      </c>
      <c r="E39" s="235" t="s">
        <v>1990</v>
      </c>
    </row>
    <row r="40" spans="2:5" ht="36" hidden="1">
      <c r="B40" s="245" t="s">
        <v>365</v>
      </c>
      <c r="C40" s="235" t="s">
        <v>1982</v>
      </c>
      <c r="D40" s="235" t="s">
        <v>1989</v>
      </c>
      <c r="E40" s="235" t="s">
        <v>1991</v>
      </c>
    </row>
    <row r="41" spans="2:5" ht="36" hidden="1">
      <c r="B41" s="245" t="s">
        <v>365</v>
      </c>
      <c r="C41" s="235" t="s">
        <v>1982</v>
      </c>
      <c r="D41" s="235" t="s">
        <v>1989</v>
      </c>
      <c r="E41" s="235" t="s">
        <v>1992</v>
      </c>
    </row>
    <row r="42" spans="2:5" ht="36" hidden="1">
      <c r="B42" s="245" t="s">
        <v>365</v>
      </c>
      <c r="C42" s="235" t="s">
        <v>1982</v>
      </c>
      <c r="D42" s="235" t="s">
        <v>1989</v>
      </c>
      <c r="E42" s="235" t="s">
        <v>1993</v>
      </c>
    </row>
    <row r="43" spans="2:5" ht="36" hidden="1">
      <c r="B43" s="245" t="s">
        <v>365</v>
      </c>
      <c r="C43" s="235" t="s">
        <v>1982</v>
      </c>
      <c r="D43" s="235" t="s">
        <v>1989</v>
      </c>
      <c r="E43" s="235" t="s">
        <v>1994</v>
      </c>
    </row>
    <row r="44" spans="2:5" ht="36" hidden="1">
      <c r="B44" s="245" t="s">
        <v>365</v>
      </c>
      <c r="C44" s="235" t="s">
        <v>1982</v>
      </c>
      <c r="D44" s="235" t="s">
        <v>1989</v>
      </c>
      <c r="E44" s="235" t="s">
        <v>1995</v>
      </c>
    </row>
    <row r="45" spans="2:5" ht="36" hidden="1">
      <c r="B45" s="245" t="s">
        <v>365</v>
      </c>
      <c r="C45" s="235" t="s">
        <v>1982</v>
      </c>
      <c r="D45" s="235" t="s">
        <v>1989</v>
      </c>
      <c r="E45" s="235" t="s">
        <v>1996</v>
      </c>
    </row>
    <row r="46" spans="2:5" ht="36" hidden="1">
      <c r="B46" s="245" t="s">
        <v>365</v>
      </c>
      <c r="C46" s="235" t="s">
        <v>1982</v>
      </c>
      <c r="D46" s="235" t="s">
        <v>1989</v>
      </c>
      <c r="E46" s="235" t="s">
        <v>1997</v>
      </c>
    </row>
    <row r="47" spans="2:5" ht="36" hidden="1">
      <c r="B47" s="245" t="s">
        <v>365</v>
      </c>
      <c r="C47" s="235" t="s">
        <v>1982</v>
      </c>
      <c r="D47" s="235" t="s">
        <v>1989</v>
      </c>
      <c r="E47" s="235" t="s">
        <v>1998</v>
      </c>
    </row>
    <row r="48" spans="2:5" ht="36" hidden="1">
      <c r="B48" s="245" t="s">
        <v>365</v>
      </c>
      <c r="C48" s="235" t="s">
        <v>1982</v>
      </c>
      <c r="D48" s="235" t="s">
        <v>1999</v>
      </c>
      <c r="E48" s="235" t="s">
        <v>2000</v>
      </c>
    </row>
    <row r="49" spans="2:5" ht="36" hidden="1">
      <c r="B49" s="245" t="s">
        <v>365</v>
      </c>
      <c r="C49" s="235" t="s">
        <v>1982</v>
      </c>
      <c r="D49" s="235" t="s">
        <v>1999</v>
      </c>
      <c r="E49" s="235" t="s">
        <v>2001</v>
      </c>
    </row>
    <row r="50" spans="2:5" ht="36" hidden="1">
      <c r="B50" s="245" t="s">
        <v>365</v>
      </c>
      <c r="C50" s="235" t="s">
        <v>1982</v>
      </c>
      <c r="D50" s="235" t="s">
        <v>1999</v>
      </c>
      <c r="E50" s="235" t="s">
        <v>2002</v>
      </c>
    </row>
    <row r="51" spans="2:5" ht="36" hidden="1">
      <c r="B51" s="245" t="s">
        <v>365</v>
      </c>
      <c r="C51" s="235" t="s">
        <v>1982</v>
      </c>
      <c r="D51" s="235" t="s">
        <v>1999</v>
      </c>
      <c r="E51" s="235" t="s">
        <v>2003</v>
      </c>
    </row>
    <row r="52" spans="2:5" ht="36" hidden="1">
      <c r="B52" s="245" t="s">
        <v>365</v>
      </c>
      <c r="C52" s="235" t="s">
        <v>1982</v>
      </c>
      <c r="D52" s="235" t="s">
        <v>1999</v>
      </c>
      <c r="E52" s="235" t="s">
        <v>2004</v>
      </c>
    </row>
    <row r="53" spans="2:5" ht="36" hidden="1">
      <c r="B53" s="245" t="s">
        <v>365</v>
      </c>
      <c r="C53" s="235" t="s">
        <v>2005</v>
      </c>
      <c r="D53" s="235" t="s">
        <v>2006</v>
      </c>
      <c r="E53" s="235" t="s">
        <v>764</v>
      </c>
    </row>
    <row r="54" spans="2:5" ht="36" hidden="1">
      <c r="B54" s="245" t="s">
        <v>365</v>
      </c>
      <c r="C54" s="235" t="s">
        <v>2005</v>
      </c>
      <c r="D54" s="235" t="s">
        <v>2006</v>
      </c>
      <c r="E54" s="235" t="s">
        <v>2007</v>
      </c>
    </row>
    <row r="55" spans="2:5" ht="36" hidden="1">
      <c r="B55" s="245" t="s">
        <v>365</v>
      </c>
      <c r="C55" s="235" t="s">
        <v>2005</v>
      </c>
      <c r="D55" s="235" t="s">
        <v>2006</v>
      </c>
      <c r="E55" s="235" t="s">
        <v>2008</v>
      </c>
    </row>
    <row r="56" spans="2:5" ht="36" hidden="1">
      <c r="B56" s="245" t="s">
        <v>365</v>
      </c>
      <c r="C56" s="235" t="s">
        <v>2005</v>
      </c>
      <c r="D56" s="235" t="s">
        <v>2006</v>
      </c>
      <c r="E56" s="235" t="s">
        <v>2009</v>
      </c>
    </row>
    <row r="57" spans="2:5" ht="36" hidden="1">
      <c r="B57" s="245" t="s">
        <v>365</v>
      </c>
      <c r="C57" s="235" t="s">
        <v>2005</v>
      </c>
      <c r="D57" s="235" t="s">
        <v>2006</v>
      </c>
      <c r="E57" s="235" t="s">
        <v>2010</v>
      </c>
    </row>
    <row r="58" spans="2:5" ht="36" hidden="1">
      <c r="B58" s="245" t="s">
        <v>365</v>
      </c>
      <c r="C58" s="235" t="s">
        <v>2005</v>
      </c>
      <c r="D58" s="235" t="s">
        <v>2011</v>
      </c>
      <c r="E58" s="235" t="s">
        <v>2012</v>
      </c>
    </row>
    <row r="59" spans="2:5" ht="36" hidden="1">
      <c r="B59" s="245" t="s">
        <v>365</v>
      </c>
      <c r="C59" s="235" t="s">
        <v>2005</v>
      </c>
      <c r="D59" s="235" t="s">
        <v>2011</v>
      </c>
      <c r="E59" s="235" t="s">
        <v>2013</v>
      </c>
    </row>
    <row r="60" spans="2:5" ht="36" hidden="1">
      <c r="B60" s="245" t="s">
        <v>365</v>
      </c>
      <c r="C60" s="235" t="s">
        <v>2005</v>
      </c>
      <c r="D60" s="235" t="s">
        <v>2011</v>
      </c>
      <c r="E60" s="235" t="s">
        <v>2014</v>
      </c>
    </row>
    <row r="61" spans="2:5" ht="36" hidden="1">
      <c r="B61" s="245" t="s">
        <v>365</v>
      </c>
      <c r="C61" s="235" t="s">
        <v>2005</v>
      </c>
      <c r="D61" s="235" t="s">
        <v>2011</v>
      </c>
      <c r="E61" s="235" t="s">
        <v>2015</v>
      </c>
    </row>
    <row r="62" spans="2:5" ht="36" hidden="1">
      <c r="B62" s="245" t="s">
        <v>365</v>
      </c>
      <c r="C62" s="235" t="s">
        <v>2005</v>
      </c>
      <c r="D62" s="235" t="s">
        <v>2016</v>
      </c>
      <c r="E62" s="235" t="s">
        <v>2017</v>
      </c>
    </row>
    <row r="63" spans="2:5" ht="36" hidden="1">
      <c r="B63" s="245" t="s">
        <v>365</v>
      </c>
      <c r="C63" s="235" t="s">
        <v>2005</v>
      </c>
      <c r="D63" s="235" t="s">
        <v>2016</v>
      </c>
      <c r="E63" s="235" t="s">
        <v>2018</v>
      </c>
    </row>
    <row r="64" spans="2:5" ht="36" hidden="1">
      <c r="B64" s="245" t="s">
        <v>365</v>
      </c>
      <c r="C64" s="235" t="s">
        <v>2005</v>
      </c>
      <c r="D64" s="235" t="s">
        <v>2016</v>
      </c>
      <c r="E64" s="235" t="s">
        <v>2019</v>
      </c>
    </row>
    <row r="65" spans="2:5" ht="36" hidden="1">
      <c r="B65" s="245" t="s">
        <v>365</v>
      </c>
      <c r="C65" s="235" t="s">
        <v>2005</v>
      </c>
      <c r="D65" s="235" t="s">
        <v>2016</v>
      </c>
      <c r="E65" s="235" t="s">
        <v>2020</v>
      </c>
    </row>
    <row r="66" spans="2:5" ht="36" hidden="1">
      <c r="B66" s="245" t="s">
        <v>365</v>
      </c>
      <c r="C66" s="235" t="s">
        <v>2005</v>
      </c>
      <c r="D66" s="235" t="s">
        <v>2016</v>
      </c>
      <c r="E66" s="235" t="s">
        <v>2021</v>
      </c>
    </row>
    <row r="67" spans="2:5" ht="36" hidden="1">
      <c r="B67" s="245" t="s">
        <v>365</v>
      </c>
      <c r="C67" s="235" t="s">
        <v>2005</v>
      </c>
      <c r="D67" s="235" t="s">
        <v>2016</v>
      </c>
      <c r="E67" s="235" t="s">
        <v>2022</v>
      </c>
    </row>
    <row r="68" spans="2:5" ht="36" hidden="1">
      <c r="B68" s="245" t="s">
        <v>365</v>
      </c>
      <c r="C68" s="235" t="s">
        <v>2005</v>
      </c>
      <c r="D68" s="235" t="s">
        <v>2016</v>
      </c>
      <c r="E68" s="235" t="s">
        <v>2023</v>
      </c>
    </row>
    <row r="69" spans="2:5" ht="36" hidden="1">
      <c r="B69" s="245" t="s">
        <v>365</v>
      </c>
      <c r="C69" s="235" t="s">
        <v>2005</v>
      </c>
      <c r="D69" s="235" t="s">
        <v>2016</v>
      </c>
      <c r="E69" s="235" t="s">
        <v>2024</v>
      </c>
    </row>
    <row r="70" spans="2:5" ht="36" hidden="1">
      <c r="B70" s="245" t="s">
        <v>365</v>
      </c>
      <c r="C70" s="235" t="s">
        <v>2005</v>
      </c>
      <c r="D70" s="235" t="s">
        <v>2016</v>
      </c>
      <c r="E70" s="235" t="s">
        <v>2025</v>
      </c>
    </row>
    <row r="71" spans="2:5" ht="36" hidden="1">
      <c r="B71" s="245" t="s">
        <v>365</v>
      </c>
      <c r="C71" s="235" t="s">
        <v>2005</v>
      </c>
      <c r="D71" s="235" t="s">
        <v>2016</v>
      </c>
      <c r="E71" s="235" t="s">
        <v>2026</v>
      </c>
    </row>
    <row r="72" spans="2:5" ht="36" hidden="1">
      <c r="B72" s="245" t="s">
        <v>365</v>
      </c>
      <c r="C72" s="235" t="s">
        <v>2005</v>
      </c>
      <c r="D72" s="235" t="s">
        <v>2016</v>
      </c>
      <c r="E72" s="235" t="s">
        <v>2027</v>
      </c>
    </row>
    <row r="73" spans="2:5" ht="36" hidden="1">
      <c r="B73" s="245" t="s">
        <v>365</v>
      </c>
      <c r="C73" s="235" t="s">
        <v>2005</v>
      </c>
      <c r="D73" s="235" t="s">
        <v>2016</v>
      </c>
      <c r="E73" s="235" t="s">
        <v>2028</v>
      </c>
    </row>
    <row r="74" spans="2:5" ht="36" hidden="1">
      <c r="B74" s="245" t="s">
        <v>365</v>
      </c>
      <c r="C74" s="235" t="s">
        <v>2005</v>
      </c>
      <c r="D74" s="235" t="s">
        <v>2016</v>
      </c>
      <c r="E74" s="235" t="s">
        <v>2029</v>
      </c>
    </row>
    <row r="75" spans="2:5" ht="36" hidden="1">
      <c r="B75" s="245" t="s">
        <v>365</v>
      </c>
      <c r="C75" s="235" t="s">
        <v>2005</v>
      </c>
      <c r="D75" s="235" t="s">
        <v>2016</v>
      </c>
      <c r="E75" s="235" t="s">
        <v>2030</v>
      </c>
    </row>
    <row r="76" spans="2:5" ht="48" hidden="1">
      <c r="B76" s="245" t="s">
        <v>365</v>
      </c>
      <c r="C76" s="235" t="s">
        <v>2031</v>
      </c>
      <c r="D76" s="235" t="s">
        <v>2032</v>
      </c>
      <c r="E76" s="235" t="s">
        <v>2033</v>
      </c>
    </row>
    <row r="77" spans="2:5" ht="48" hidden="1">
      <c r="B77" s="245" t="s">
        <v>365</v>
      </c>
      <c r="C77" s="235" t="s">
        <v>2031</v>
      </c>
      <c r="D77" s="235" t="s">
        <v>2034</v>
      </c>
      <c r="E77" s="235" t="s">
        <v>2035</v>
      </c>
    </row>
    <row r="78" spans="2:5" ht="48" hidden="1">
      <c r="B78" s="245" t="s">
        <v>365</v>
      </c>
      <c r="C78" s="235" t="s">
        <v>2031</v>
      </c>
      <c r="D78" s="235" t="s">
        <v>2034</v>
      </c>
      <c r="E78" s="235" t="s">
        <v>2036</v>
      </c>
    </row>
    <row r="79" spans="2:5" ht="48" hidden="1">
      <c r="B79" s="245" t="s">
        <v>365</v>
      </c>
      <c r="C79" s="235" t="s">
        <v>2031</v>
      </c>
      <c r="D79" s="235" t="s">
        <v>2034</v>
      </c>
      <c r="E79" s="235" t="s">
        <v>2037</v>
      </c>
    </row>
    <row r="80" spans="2:5" ht="48" hidden="1">
      <c r="B80" s="245" t="s">
        <v>365</v>
      </c>
      <c r="C80" s="235" t="s">
        <v>2031</v>
      </c>
      <c r="D80" s="235" t="s">
        <v>2034</v>
      </c>
      <c r="E80" s="235" t="s">
        <v>2038</v>
      </c>
    </row>
    <row r="81" spans="2:5" ht="48" hidden="1">
      <c r="B81" s="245" t="s">
        <v>365</v>
      </c>
      <c r="C81" s="235" t="s">
        <v>2031</v>
      </c>
      <c r="D81" s="235" t="s">
        <v>2039</v>
      </c>
      <c r="E81" s="235" t="s">
        <v>2040</v>
      </c>
    </row>
    <row r="82" spans="2:5" ht="48" hidden="1">
      <c r="B82" s="245" t="s">
        <v>365</v>
      </c>
      <c r="C82" s="235" t="s">
        <v>2031</v>
      </c>
      <c r="D82" s="235" t="s">
        <v>2039</v>
      </c>
      <c r="E82" s="235" t="s">
        <v>2041</v>
      </c>
    </row>
    <row r="83" spans="2:5" ht="48" hidden="1">
      <c r="B83" s="245" t="s">
        <v>365</v>
      </c>
      <c r="C83" s="235" t="s">
        <v>2031</v>
      </c>
      <c r="D83" s="235" t="s">
        <v>2042</v>
      </c>
      <c r="E83" s="235" t="s">
        <v>2043</v>
      </c>
    </row>
    <row r="84" spans="2:5" ht="48" hidden="1">
      <c r="B84" s="245" t="s">
        <v>365</v>
      </c>
      <c r="C84" s="235" t="s">
        <v>2031</v>
      </c>
      <c r="D84" s="235" t="s">
        <v>2042</v>
      </c>
      <c r="E84" s="235" t="s">
        <v>2044</v>
      </c>
    </row>
    <row r="85" spans="2:5" ht="48" hidden="1">
      <c r="B85" s="245" t="s">
        <v>365</v>
      </c>
      <c r="C85" s="235" t="s">
        <v>2031</v>
      </c>
      <c r="D85" s="235" t="s">
        <v>2042</v>
      </c>
      <c r="E85" s="235" t="s">
        <v>2045</v>
      </c>
    </row>
    <row r="86" spans="2:5" ht="48" hidden="1">
      <c r="B86" s="245" t="s">
        <v>365</v>
      </c>
      <c r="C86" s="235" t="s">
        <v>2031</v>
      </c>
      <c r="D86" s="235" t="s">
        <v>2046</v>
      </c>
      <c r="E86" s="235" t="s">
        <v>2047</v>
      </c>
    </row>
    <row r="87" spans="2:5" ht="48" hidden="1">
      <c r="B87" s="245" t="s">
        <v>365</v>
      </c>
      <c r="C87" s="235" t="s">
        <v>2031</v>
      </c>
      <c r="D87" s="235" t="s">
        <v>2046</v>
      </c>
      <c r="E87" s="235" t="s">
        <v>2048</v>
      </c>
    </row>
    <row r="88" spans="2:5" ht="48" hidden="1">
      <c r="B88" s="245" t="s">
        <v>365</v>
      </c>
      <c r="C88" s="235" t="s">
        <v>2031</v>
      </c>
      <c r="D88" s="235" t="s">
        <v>2049</v>
      </c>
      <c r="E88" s="235" t="s">
        <v>2050</v>
      </c>
    </row>
    <row r="89" spans="2:5" ht="48" hidden="1">
      <c r="B89" s="245" t="s">
        <v>365</v>
      </c>
      <c r="C89" s="235" t="s">
        <v>2031</v>
      </c>
      <c r="D89" s="235" t="s">
        <v>2049</v>
      </c>
      <c r="E89" s="235" t="s">
        <v>2051</v>
      </c>
    </row>
    <row r="90" spans="2:5" ht="48" hidden="1">
      <c r="B90" s="245" t="s">
        <v>365</v>
      </c>
      <c r="C90" s="235" t="s">
        <v>2031</v>
      </c>
      <c r="D90" s="235" t="s">
        <v>2049</v>
      </c>
      <c r="E90" s="235" t="s">
        <v>2052</v>
      </c>
    </row>
    <row r="91" spans="2:5" ht="48" hidden="1">
      <c r="B91" s="245" t="s">
        <v>365</v>
      </c>
      <c r="C91" s="235" t="s">
        <v>2031</v>
      </c>
      <c r="D91" s="235" t="s">
        <v>2049</v>
      </c>
      <c r="E91" s="235" t="s">
        <v>2053</v>
      </c>
    </row>
    <row r="92" spans="2:5" ht="48" hidden="1">
      <c r="B92" s="245" t="s">
        <v>365</v>
      </c>
      <c r="C92" s="235" t="s">
        <v>2031</v>
      </c>
      <c r="D92" s="235" t="s">
        <v>2049</v>
      </c>
      <c r="E92" s="235" t="s">
        <v>2054</v>
      </c>
    </row>
    <row r="93" spans="2:5" ht="48" hidden="1">
      <c r="B93" s="245" t="s">
        <v>365</v>
      </c>
      <c r="C93" s="235" t="s">
        <v>2031</v>
      </c>
      <c r="D93" s="235" t="s">
        <v>2049</v>
      </c>
      <c r="E93" s="235" t="s">
        <v>2055</v>
      </c>
    </row>
    <row r="94" spans="2:5" ht="48" hidden="1">
      <c r="B94" s="245" t="s">
        <v>365</v>
      </c>
      <c r="C94" s="235" t="s">
        <v>2031</v>
      </c>
      <c r="D94" s="235" t="s">
        <v>2049</v>
      </c>
      <c r="E94" s="235" t="s">
        <v>2056</v>
      </c>
    </row>
    <row r="95" spans="2:5" ht="48" hidden="1">
      <c r="B95" s="245" t="s">
        <v>365</v>
      </c>
      <c r="C95" s="235" t="s">
        <v>2031</v>
      </c>
      <c r="D95" s="235" t="s">
        <v>2057</v>
      </c>
      <c r="E95" s="235" t="s">
        <v>2058</v>
      </c>
    </row>
    <row r="96" spans="2:5" ht="48" hidden="1">
      <c r="B96" s="245" t="s">
        <v>365</v>
      </c>
      <c r="C96" s="235" t="s">
        <v>2031</v>
      </c>
      <c r="D96" s="235" t="s">
        <v>2057</v>
      </c>
      <c r="E96" s="235" t="s">
        <v>2059</v>
      </c>
    </row>
    <row r="97" spans="2:5" ht="48" hidden="1">
      <c r="B97" s="245" t="s">
        <v>365</v>
      </c>
      <c r="C97" s="235" t="s">
        <v>2031</v>
      </c>
      <c r="D97" s="235" t="s">
        <v>2057</v>
      </c>
      <c r="E97" s="235" t="s">
        <v>2060</v>
      </c>
    </row>
    <row r="98" spans="2:5" ht="48" hidden="1">
      <c r="B98" s="245" t="s">
        <v>365</v>
      </c>
      <c r="C98" s="235" t="s">
        <v>2031</v>
      </c>
      <c r="D98" s="235" t="s">
        <v>2061</v>
      </c>
      <c r="E98" s="235" t="s">
        <v>2062</v>
      </c>
    </row>
    <row r="99" spans="2:5" ht="48" hidden="1">
      <c r="B99" s="245" t="s">
        <v>365</v>
      </c>
      <c r="C99" s="235" t="s">
        <v>2031</v>
      </c>
      <c r="D99" s="235" t="s">
        <v>2061</v>
      </c>
      <c r="E99" s="235" t="s">
        <v>2063</v>
      </c>
    </row>
    <row r="100" spans="2:5" ht="48" hidden="1">
      <c r="B100" s="245" t="s">
        <v>365</v>
      </c>
      <c r="C100" s="235" t="s">
        <v>2031</v>
      </c>
      <c r="D100" s="235" t="s">
        <v>2064</v>
      </c>
      <c r="E100" s="235" t="s">
        <v>2065</v>
      </c>
    </row>
    <row r="101" spans="2:5" ht="60" hidden="1">
      <c r="B101" s="245" t="s">
        <v>365</v>
      </c>
      <c r="C101" s="235" t="s">
        <v>2031</v>
      </c>
      <c r="D101" s="235" t="s">
        <v>2066</v>
      </c>
      <c r="E101" s="235" t="s">
        <v>2067</v>
      </c>
    </row>
    <row r="102" spans="2:5" ht="48" hidden="1">
      <c r="B102" s="245" t="s">
        <v>365</v>
      </c>
      <c r="C102" s="235" t="s">
        <v>2031</v>
      </c>
      <c r="D102" s="235" t="s">
        <v>2068</v>
      </c>
      <c r="E102" s="235" t="s">
        <v>2069</v>
      </c>
    </row>
    <row r="103" spans="2:5" ht="48" hidden="1">
      <c r="B103" s="245" t="s">
        <v>365</v>
      </c>
      <c r="C103" s="235" t="s">
        <v>2031</v>
      </c>
      <c r="D103" s="235" t="s">
        <v>2070</v>
      </c>
      <c r="E103" s="235" t="s">
        <v>2071</v>
      </c>
    </row>
    <row r="104" spans="2:5" ht="48" hidden="1">
      <c r="B104" s="245" t="s">
        <v>365</v>
      </c>
      <c r="C104" s="235" t="s">
        <v>2031</v>
      </c>
      <c r="D104" s="235" t="s">
        <v>2070</v>
      </c>
      <c r="E104" s="235" t="s">
        <v>2072</v>
      </c>
    </row>
    <row r="105" spans="2:5" ht="48" hidden="1">
      <c r="B105" s="245" t="s">
        <v>365</v>
      </c>
      <c r="C105" s="235" t="s">
        <v>2031</v>
      </c>
      <c r="D105" s="235" t="s">
        <v>2070</v>
      </c>
      <c r="E105" s="235" t="s">
        <v>2073</v>
      </c>
    </row>
    <row r="106" spans="2:5" ht="48" hidden="1">
      <c r="B106" s="245" t="s">
        <v>365</v>
      </c>
      <c r="C106" s="235" t="s">
        <v>2031</v>
      </c>
      <c r="D106" s="235" t="s">
        <v>2070</v>
      </c>
      <c r="E106" s="235" t="s">
        <v>2074</v>
      </c>
    </row>
    <row r="107" spans="2:5" ht="48" hidden="1">
      <c r="B107" s="245" t="s">
        <v>365</v>
      </c>
      <c r="C107" s="235" t="s">
        <v>2031</v>
      </c>
      <c r="D107" s="235" t="s">
        <v>2070</v>
      </c>
      <c r="E107" s="235" t="s">
        <v>2075</v>
      </c>
    </row>
    <row r="108" spans="2:5" ht="48" hidden="1">
      <c r="B108" s="245" t="s">
        <v>365</v>
      </c>
      <c r="C108" s="235" t="s">
        <v>2031</v>
      </c>
      <c r="D108" s="235" t="s">
        <v>2076</v>
      </c>
      <c r="E108" s="235" t="s">
        <v>2077</v>
      </c>
    </row>
    <row r="109" spans="2:5" ht="24" hidden="1">
      <c r="B109" s="245" t="s">
        <v>365</v>
      </c>
      <c r="C109" s="235" t="s">
        <v>2078</v>
      </c>
      <c r="D109" s="235" t="s">
        <v>2079</v>
      </c>
      <c r="E109" s="235" t="s">
        <v>2080</v>
      </c>
    </row>
    <row r="110" spans="2:5" ht="24" hidden="1">
      <c r="B110" s="245" t="s">
        <v>365</v>
      </c>
      <c r="C110" s="235" t="s">
        <v>2078</v>
      </c>
      <c r="D110" s="235" t="s">
        <v>2079</v>
      </c>
      <c r="E110" s="235" t="s">
        <v>2081</v>
      </c>
    </row>
    <row r="111" spans="2:5" ht="36" hidden="1">
      <c r="B111" s="245" t="s">
        <v>365</v>
      </c>
      <c r="C111" s="235" t="s">
        <v>2078</v>
      </c>
      <c r="D111" s="235" t="s">
        <v>2082</v>
      </c>
      <c r="E111" s="235" t="s">
        <v>2083</v>
      </c>
    </row>
    <row r="112" spans="2:5" ht="36" hidden="1">
      <c r="B112" s="245" t="s">
        <v>365</v>
      </c>
      <c r="C112" s="235" t="s">
        <v>2078</v>
      </c>
      <c r="D112" s="235" t="s">
        <v>2082</v>
      </c>
      <c r="E112" s="235" t="s">
        <v>2084</v>
      </c>
    </row>
    <row r="113" spans="2:5" ht="24" hidden="1">
      <c r="B113" s="245" t="s">
        <v>365</v>
      </c>
      <c r="C113" s="235" t="s">
        <v>2078</v>
      </c>
      <c r="D113" s="235" t="s">
        <v>2082</v>
      </c>
      <c r="E113" s="235" t="s">
        <v>2085</v>
      </c>
    </row>
    <row r="114" spans="2:5" ht="24" hidden="1">
      <c r="B114" s="245" t="s">
        <v>365</v>
      </c>
      <c r="C114" s="235" t="s">
        <v>2078</v>
      </c>
      <c r="D114" s="235" t="s">
        <v>2082</v>
      </c>
      <c r="E114" s="235" t="s">
        <v>2086</v>
      </c>
    </row>
    <row r="115" spans="2:5" ht="24" hidden="1">
      <c r="B115" s="245" t="s">
        <v>365</v>
      </c>
      <c r="C115" s="235" t="s">
        <v>2078</v>
      </c>
      <c r="D115" s="235" t="s">
        <v>2082</v>
      </c>
      <c r="E115" s="235" t="s">
        <v>2087</v>
      </c>
    </row>
    <row r="116" spans="2:5" ht="36" hidden="1">
      <c r="B116" s="245" t="s">
        <v>365</v>
      </c>
      <c r="C116" s="235" t="s">
        <v>2078</v>
      </c>
      <c r="D116" s="235" t="s">
        <v>2082</v>
      </c>
      <c r="E116" s="235" t="s">
        <v>2088</v>
      </c>
    </row>
    <row r="117" spans="2:5" ht="60" hidden="1">
      <c r="B117" s="245" t="s">
        <v>365</v>
      </c>
      <c r="C117" s="235" t="s">
        <v>2078</v>
      </c>
      <c r="D117" s="235" t="s">
        <v>2082</v>
      </c>
      <c r="E117" s="235" t="s">
        <v>2089</v>
      </c>
    </row>
    <row r="118" spans="2:5" ht="24" hidden="1">
      <c r="B118" s="245" t="s">
        <v>365</v>
      </c>
      <c r="C118" s="235" t="s">
        <v>2078</v>
      </c>
      <c r="D118" s="235" t="s">
        <v>2090</v>
      </c>
      <c r="E118" s="235" t="s">
        <v>2091</v>
      </c>
    </row>
    <row r="119" spans="2:5" ht="24" hidden="1">
      <c r="B119" s="245" t="s">
        <v>365</v>
      </c>
      <c r="C119" s="235" t="s">
        <v>2078</v>
      </c>
      <c r="D119" s="235" t="s">
        <v>2090</v>
      </c>
      <c r="E119" s="235" t="s">
        <v>2092</v>
      </c>
    </row>
    <row r="120" spans="2:5" ht="24" hidden="1">
      <c r="B120" s="245" t="s">
        <v>365</v>
      </c>
      <c r="C120" s="235" t="s">
        <v>2078</v>
      </c>
      <c r="D120" s="235" t="s">
        <v>2090</v>
      </c>
      <c r="E120" s="235" t="s">
        <v>2093</v>
      </c>
    </row>
    <row r="121" spans="2:5" ht="24" hidden="1">
      <c r="B121" s="245" t="s">
        <v>365</v>
      </c>
      <c r="C121" s="235" t="s">
        <v>2078</v>
      </c>
      <c r="D121" s="235" t="s">
        <v>2090</v>
      </c>
      <c r="E121" s="235" t="s">
        <v>2094</v>
      </c>
    </row>
    <row r="122" spans="2:5" ht="24" hidden="1">
      <c r="B122" s="245" t="s">
        <v>118</v>
      </c>
      <c r="C122" s="235" t="s">
        <v>2095</v>
      </c>
      <c r="D122" s="235" t="s">
        <v>2096</v>
      </c>
      <c r="E122" s="235" t="s">
        <v>2097</v>
      </c>
    </row>
    <row r="123" spans="2:5" ht="24" hidden="1">
      <c r="B123" s="245" t="s">
        <v>118</v>
      </c>
      <c r="C123" s="235" t="s">
        <v>2095</v>
      </c>
      <c r="D123" s="235" t="s">
        <v>2096</v>
      </c>
      <c r="E123" s="235" t="s">
        <v>2098</v>
      </c>
    </row>
    <row r="124" spans="2:5" ht="24" hidden="1">
      <c r="B124" s="245" t="s">
        <v>118</v>
      </c>
      <c r="C124" s="235" t="s">
        <v>2095</v>
      </c>
      <c r="D124" s="235" t="s">
        <v>2096</v>
      </c>
      <c r="E124" s="235" t="s">
        <v>2099</v>
      </c>
    </row>
    <row r="125" spans="2:5" ht="24" hidden="1">
      <c r="B125" s="245" t="s">
        <v>118</v>
      </c>
      <c r="C125" s="235" t="s">
        <v>2095</v>
      </c>
      <c r="D125" s="235" t="s">
        <v>2100</v>
      </c>
      <c r="E125" s="235" t="s">
        <v>2101</v>
      </c>
    </row>
    <row r="126" spans="2:5" ht="24" hidden="1">
      <c r="B126" s="245" t="s">
        <v>118</v>
      </c>
      <c r="C126" s="235" t="s">
        <v>2095</v>
      </c>
      <c r="D126" s="235" t="s">
        <v>2100</v>
      </c>
      <c r="E126" s="235" t="s">
        <v>2102</v>
      </c>
    </row>
    <row r="127" spans="2:5" ht="24" hidden="1">
      <c r="B127" s="245" t="s">
        <v>118</v>
      </c>
      <c r="C127" s="235" t="s">
        <v>2095</v>
      </c>
      <c r="D127" s="235" t="s">
        <v>2100</v>
      </c>
      <c r="E127" s="235" t="s">
        <v>2103</v>
      </c>
    </row>
    <row r="128" spans="2:5" ht="48" hidden="1">
      <c r="B128" s="245" t="s">
        <v>118</v>
      </c>
      <c r="C128" s="235" t="s">
        <v>2095</v>
      </c>
      <c r="D128" s="235" t="s">
        <v>2100</v>
      </c>
      <c r="E128" s="235" t="s">
        <v>2104</v>
      </c>
    </row>
    <row r="129" spans="2:5" ht="24" hidden="1">
      <c r="B129" s="245" t="s">
        <v>118</v>
      </c>
      <c r="C129" s="235" t="s">
        <v>2095</v>
      </c>
      <c r="D129" s="235" t="s">
        <v>2100</v>
      </c>
      <c r="E129" s="235" t="s">
        <v>2105</v>
      </c>
    </row>
    <row r="130" spans="2:5" ht="36" hidden="1">
      <c r="B130" s="245" t="s">
        <v>118</v>
      </c>
      <c r="C130" s="235" t="s">
        <v>2095</v>
      </c>
      <c r="D130" s="235" t="s">
        <v>2106</v>
      </c>
      <c r="E130" s="235" t="s">
        <v>2107</v>
      </c>
    </row>
    <row r="131" spans="2:5" ht="36" hidden="1">
      <c r="B131" s="245" t="s">
        <v>118</v>
      </c>
      <c r="C131" s="235" t="s">
        <v>2095</v>
      </c>
      <c r="D131" s="235" t="s">
        <v>2106</v>
      </c>
      <c r="E131" s="235" t="s">
        <v>2108</v>
      </c>
    </row>
    <row r="132" spans="2:5" ht="24" hidden="1">
      <c r="B132" s="245" t="s">
        <v>118</v>
      </c>
      <c r="C132" s="235" t="s">
        <v>2095</v>
      </c>
      <c r="D132" s="235" t="s">
        <v>2109</v>
      </c>
      <c r="E132" s="235" t="s">
        <v>2110</v>
      </c>
    </row>
    <row r="133" spans="2:5" ht="36" hidden="1">
      <c r="B133" s="245" t="s">
        <v>118</v>
      </c>
      <c r="C133" s="235" t="s">
        <v>2111</v>
      </c>
      <c r="D133" s="235" t="s">
        <v>2112</v>
      </c>
      <c r="E133" s="235" t="s">
        <v>2113</v>
      </c>
    </row>
    <row r="134" spans="2:5" ht="36" hidden="1">
      <c r="B134" s="245" t="s">
        <v>118</v>
      </c>
      <c r="C134" s="235" t="s">
        <v>2111</v>
      </c>
      <c r="D134" s="235" t="s">
        <v>2112</v>
      </c>
      <c r="E134" s="235" t="s">
        <v>2114</v>
      </c>
    </row>
    <row r="135" spans="2:5" ht="36" hidden="1">
      <c r="B135" s="245" t="s">
        <v>118</v>
      </c>
      <c r="C135" s="235" t="s">
        <v>2111</v>
      </c>
      <c r="D135" s="235" t="s">
        <v>2112</v>
      </c>
      <c r="E135" s="235" t="s">
        <v>2115</v>
      </c>
    </row>
    <row r="136" spans="2:5" ht="36" hidden="1">
      <c r="B136" s="245" t="s">
        <v>118</v>
      </c>
      <c r="C136" s="235" t="s">
        <v>2111</v>
      </c>
      <c r="D136" s="235" t="s">
        <v>2116</v>
      </c>
      <c r="E136" s="235" t="s">
        <v>2117</v>
      </c>
    </row>
    <row r="137" spans="2:5" ht="36" hidden="1">
      <c r="B137" s="245" t="s">
        <v>118</v>
      </c>
      <c r="C137" s="235" t="s">
        <v>2111</v>
      </c>
      <c r="D137" s="235" t="s">
        <v>2116</v>
      </c>
      <c r="E137" s="235" t="s">
        <v>2118</v>
      </c>
    </row>
    <row r="138" spans="2:5" ht="36" hidden="1">
      <c r="B138" s="245" t="s">
        <v>118</v>
      </c>
      <c r="C138" s="235" t="s">
        <v>2111</v>
      </c>
      <c r="D138" s="235" t="s">
        <v>2116</v>
      </c>
      <c r="E138" s="235" t="s">
        <v>2119</v>
      </c>
    </row>
    <row r="139" spans="2:5" ht="36" hidden="1">
      <c r="B139" s="245" t="s">
        <v>118</v>
      </c>
      <c r="C139" s="235" t="s">
        <v>2111</v>
      </c>
      <c r="D139" s="235" t="s">
        <v>2120</v>
      </c>
      <c r="E139" s="235" t="s">
        <v>2121</v>
      </c>
    </row>
    <row r="140" spans="2:5" ht="36" hidden="1">
      <c r="B140" s="245" t="s">
        <v>118</v>
      </c>
      <c r="C140" s="235" t="s">
        <v>2111</v>
      </c>
      <c r="D140" s="235" t="s">
        <v>2120</v>
      </c>
      <c r="E140" s="235" t="s">
        <v>2122</v>
      </c>
    </row>
    <row r="141" spans="2:5" ht="36" hidden="1">
      <c r="B141" s="245" t="s">
        <v>118</v>
      </c>
      <c r="C141" s="235" t="s">
        <v>2111</v>
      </c>
      <c r="D141" s="235" t="s">
        <v>2120</v>
      </c>
      <c r="E141" s="235" t="s">
        <v>2123</v>
      </c>
    </row>
    <row r="142" spans="2:5" ht="36" hidden="1">
      <c r="B142" s="245" t="s">
        <v>118</v>
      </c>
      <c r="C142" s="235" t="s">
        <v>2111</v>
      </c>
      <c r="D142" s="235" t="s">
        <v>2120</v>
      </c>
      <c r="E142" s="235" t="s">
        <v>2124</v>
      </c>
    </row>
    <row r="143" spans="2:5" ht="48" hidden="1">
      <c r="B143" s="245" t="s">
        <v>118</v>
      </c>
      <c r="C143" s="235" t="s">
        <v>2125</v>
      </c>
      <c r="D143" s="235" t="s">
        <v>2126</v>
      </c>
      <c r="E143" s="235" t="s">
        <v>2127</v>
      </c>
    </row>
    <row r="144" spans="2:5" ht="48" hidden="1">
      <c r="B144" s="245" t="s">
        <v>118</v>
      </c>
      <c r="C144" s="235" t="s">
        <v>2125</v>
      </c>
      <c r="D144" s="235" t="s">
        <v>2126</v>
      </c>
      <c r="E144" s="235" t="s">
        <v>2128</v>
      </c>
    </row>
    <row r="145" spans="2:5" ht="48" hidden="1">
      <c r="B145" s="245" t="s">
        <v>118</v>
      </c>
      <c r="C145" s="235" t="s">
        <v>2125</v>
      </c>
      <c r="D145" s="235" t="s">
        <v>2126</v>
      </c>
      <c r="E145" s="235" t="s">
        <v>2129</v>
      </c>
    </row>
    <row r="146" spans="2:5" ht="48" hidden="1">
      <c r="B146" s="245" t="s">
        <v>118</v>
      </c>
      <c r="C146" s="235" t="s">
        <v>2125</v>
      </c>
      <c r="D146" s="235" t="s">
        <v>2126</v>
      </c>
      <c r="E146" s="235" t="s">
        <v>2130</v>
      </c>
    </row>
    <row r="147" spans="2:5" ht="48" hidden="1">
      <c r="B147" s="245" t="s">
        <v>118</v>
      </c>
      <c r="C147" s="235" t="s">
        <v>2125</v>
      </c>
      <c r="D147" s="235" t="s">
        <v>2126</v>
      </c>
      <c r="E147" s="235" t="s">
        <v>2131</v>
      </c>
    </row>
    <row r="148" spans="2:5" ht="48" hidden="1">
      <c r="B148" s="245" t="s">
        <v>118</v>
      </c>
      <c r="C148" s="235" t="s">
        <v>2125</v>
      </c>
      <c r="D148" s="235" t="s">
        <v>2126</v>
      </c>
      <c r="E148" s="235" t="s">
        <v>2132</v>
      </c>
    </row>
    <row r="149" spans="2:5" ht="48" hidden="1">
      <c r="B149" s="245" t="s">
        <v>118</v>
      </c>
      <c r="C149" s="235" t="s">
        <v>2125</v>
      </c>
      <c r="D149" s="235" t="s">
        <v>2126</v>
      </c>
      <c r="E149" s="235" t="s">
        <v>2133</v>
      </c>
    </row>
    <row r="150" spans="2:5" ht="48" hidden="1">
      <c r="B150" s="245" t="s">
        <v>118</v>
      </c>
      <c r="C150" s="235" t="s">
        <v>2125</v>
      </c>
      <c r="D150" s="235" t="s">
        <v>2126</v>
      </c>
      <c r="E150" s="235" t="s">
        <v>2134</v>
      </c>
    </row>
    <row r="151" spans="2:5" ht="48" hidden="1">
      <c r="B151" s="245" t="s">
        <v>118</v>
      </c>
      <c r="C151" s="235" t="s">
        <v>2125</v>
      </c>
      <c r="D151" s="235" t="s">
        <v>2135</v>
      </c>
      <c r="E151" s="235" t="s">
        <v>2136</v>
      </c>
    </row>
    <row r="152" spans="2:5" ht="48" hidden="1">
      <c r="B152" s="245" t="s">
        <v>118</v>
      </c>
      <c r="C152" s="235" t="s">
        <v>2125</v>
      </c>
      <c r="D152" s="235" t="s">
        <v>2135</v>
      </c>
      <c r="E152" s="235" t="s">
        <v>2137</v>
      </c>
    </row>
    <row r="153" spans="2:5" ht="48" hidden="1">
      <c r="B153" s="245" t="s">
        <v>118</v>
      </c>
      <c r="C153" s="235" t="s">
        <v>2125</v>
      </c>
      <c r="D153" s="235" t="s">
        <v>2135</v>
      </c>
      <c r="E153" s="235" t="s">
        <v>2138</v>
      </c>
    </row>
    <row r="154" spans="2:5" ht="48" hidden="1">
      <c r="B154" s="245" t="s">
        <v>118</v>
      </c>
      <c r="C154" s="235" t="s">
        <v>2125</v>
      </c>
      <c r="D154" s="235" t="s">
        <v>2135</v>
      </c>
      <c r="E154" s="235" t="s">
        <v>2139</v>
      </c>
    </row>
    <row r="155" spans="2:5" ht="48" hidden="1">
      <c r="B155" s="245" t="s">
        <v>118</v>
      </c>
      <c r="C155" s="235" t="s">
        <v>2125</v>
      </c>
      <c r="D155" s="235" t="s">
        <v>2135</v>
      </c>
      <c r="E155" s="235" t="s">
        <v>2140</v>
      </c>
    </row>
    <row r="156" spans="2:5" ht="48" hidden="1">
      <c r="B156" s="245" t="s">
        <v>118</v>
      </c>
      <c r="C156" s="235" t="s">
        <v>2141</v>
      </c>
      <c r="D156" s="235" t="s">
        <v>2142</v>
      </c>
      <c r="E156" s="235" t="s">
        <v>2143</v>
      </c>
    </row>
    <row r="157" spans="2:5" ht="48" hidden="1">
      <c r="B157" s="245" t="s">
        <v>118</v>
      </c>
      <c r="C157" s="235" t="s">
        <v>2141</v>
      </c>
      <c r="D157" s="235" t="s">
        <v>2142</v>
      </c>
      <c r="E157" s="235" t="s">
        <v>2144</v>
      </c>
    </row>
    <row r="158" spans="2:5" ht="48" hidden="1">
      <c r="B158" s="245" t="s">
        <v>118</v>
      </c>
      <c r="C158" s="235" t="s">
        <v>2141</v>
      </c>
      <c r="D158" s="235" t="s">
        <v>2142</v>
      </c>
      <c r="E158" s="235" t="s">
        <v>2145</v>
      </c>
    </row>
    <row r="159" spans="2:5" ht="48" hidden="1">
      <c r="B159" s="245" t="s">
        <v>118</v>
      </c>
      <c r="C159" s="235" t="s">
        <v>2141</v>
      </c>
      <c r="D159" s="235" t="s">
        <v>2142</v>
      </c>
      <c r="E159" s="235" t="s">
        <v>2146</v>
      </c>
    </row>
    <row r="160" spans="2:5" ht="48" hidden="1">
      <c r="B160" s="245" t="s">
        <v>118</v>
      </c>
      <c r="C160" s="235" t="s">
        <v>2141</v>
      </c>
      <c r="D160" s="235" t="s">
        <v>2142</v>
      </c>
      <c r="E160" s="235" t="s">
        <v>2147</v>
      </c>
    </row>
    <row r="161" spans="2:5" ht="48" hidden="1">
      <c r="B161" s="245" t="s">
        <v>118</v>
      </c>
      <c r="C161" s="235" t="s">
        <v>2141</v>
      </c>
      <c r="D161" s="235" t="s">
        <v>2148</v>
      </c>
      <c r="E161" s="235" t="s">
        <v>2149</v>
      </c>
    </row>
    <row r="162" spans="2:5" ht="48" hidden="1">
      <c r="B162" s="245" t="s">
        <v>118</v>
      </c>
      <c r="C162" s="235" t="s">
        <v>2141</v>
      </c>
      <c r="D162" s="235" t="s">
        <v>2148</v>
      </c>
      <c r="E162" s="235" t="s">
        <v>2150</v>
      </c>
    </row>
    <row r="163" spans="2:5" ht="48" hidden="1">
      <c r="B163" s="245" t="s">
        <v>118</v>
      </c>
      <c r="C163" s="235" t="s">
        <v>2141</v>
      </c>
      <c r="D163" s="235" t="s">
        <v>2148</v>
      </c>
      <c r="E163" s="235" t="s">
        <v>2151</v>
      </c>
    </row>
    <row r="164" spans="2:5" ht="48" hidden="1">
      <c r="B164" s="245" t="s">
        <v>118</v>
      </c>
      <c r="C164" s="235" t="s">
        <v>2141</v>
      </c>
      <c r="D164" s="235" t="s">
        <v>2148</v>
      </c>
      <c r="E164" s="235" t="s">
        <v>2152</v>
      </c>
    </row>
    <row r="165" spans="2:5" ht="48" hidden="1">
      <c r="B165" s="245" t="s">
        <v>118</v>
      </c>
      <c r="C165" s="235" t="s">
        <v>2141</v>
      </c>
      <c r="D165" s="235" t="s">
        <v>2148</v>
      </c>
      <c r="E165" s="235" t="s">
        <v>2153</v>
      </c>
    </row>
    <row r="166" spans="2:5" ht="48" hidden="1">
      <c r="B166" s="245" t="s">
        <v>118</v>
      </c>
      <c r="C166" s="235" t="s">
        <v>2141</v>
      </c>
      <c r="D166" s="235" t="s">
        <v>2154</v>
      </c>
      <c r="E166" s="235" t="s">
        <v>2155</v>
      </c>
    </row>
    <row r="167" spans="2:5" ht="48" hidden="1">
      <c r="B167" s="245" t="s">
        <v>118</v>
      </c>
      <c r="C167" s="235" t="s">
        <v>2141</v>
      </c>
      <c r="D167" s="235" t="s">
        <v>2154</v>
      </c>
      <c r="E167" s="235" t="s">
        <v>2156</v>
      </c>
    </row>
    <row r="168" spans="2:5" ht="48" hidden="1">
      <c r="B168" s="245" t="s">
        <v>118</v>
      </c>
      <c r="C168" s="235" t="s">
        <v>2141</v>
      </c>
      <c r="D168" s="235" t="s">
        <v>2154</v>
      </c>
      <c r="E168" s="235" t="s">
        <v>2157</v>
      </c>
    </row>
    <row r="169" spans="2:5" ht="60" hidden="1">
      <c r="B169" s="245" t="s">
        <v>407</v>
      </c>
      <c r="C169" s="235" t="s">
        <v>2158</v>
      </c>
      <c r="D169" s="235" t="s">
        <v>2159</v>
      </c>
      <c r="E169" s="235" t="s">
        <v>2160</v>
      </c>
    </row>
    <row r="170" spans="2:5" ht="60" hidden="1">
      <c r="B170" s="245" t="s">
        <v>407</v>
      </c>
      <c r="C170" s="235" t="s">
        <v>2158</v>
      </c>
      <c r="D170" s="235" t="s">
        <v>2159</v>
      </c>
      <c r="E170" s="235" t="s">
        <v>2161</v>
      </c>
    </row>
    <row r="171" spans="2:5" ht="60" hidden="1">
      <c r="B171" s="245" t="s">
        <v>407</v>
      </c>
      <c r="C171" s="235" t="s">
        <v>2158</v>
      </c>
      <c r="D171" s="235" t="s">
        <v>2159</v>
      </c>
      <c r="E171" s="235" t="s">
        <v>2162</v>
      </c>
    </row>
    <row r="172" spans="2:5" ht="60" hidden="1">
      <c r="B172" s="245" t="s">
        <v>407</v>
      </c>
      <c r="C172" s="235" t="s">
        <v>2158</v>
      </c>
      <c r="D172" s="235" t="s">
        <v>2159</v>
      </c>
      <c r="E172" s="235" t="s">
        <v>2163</v>
      </c>
    </row>
    <row r="173" spans="2:5" ht="60" hidden="1">
      <c r="B173" s="245" t="s">
        <v>407</v>
      </c>
      <c r="C173" s="235" t="s">
        <v>2158</v>
      </c>
      <c r="D173" s="235" t="s">
        <v>2164</v>
      </c>
      <c r="E173" s="235" t="s">
        <v>2165</v>
      </c>
    </row>
    <row r="174" spans="2:5" ht="60" hidden="1">
      <c r="B174" s="245" t="s">
        <v>407</v>
      </c>
      <c r="C174" s="235" t="s">
        <v>2158</v>
      </c>
      <c r="D174" s="235" t="s">
        <v>2164</v>
      </c>
      <c r="E174" s="235" t="s">
        <v>2166</v>
      </c>
    </row>
    <row r="175" spans="2:5" ht="60" hidden="1">
      <c r="B175" s="245" t="s">
        <v>407</v>
      </c>
      <c r="C175" s="235" t="s">
        <v>2158</v>
      </c>
      <c r="D175" s="235" t="s">
        <v>2164</v>
      </c>
      <c r="E175" s="235" t="s">
        <v>2167</v>
      </c>
    </row>
    <row r="176" spans="2:5" ht="36" hidden="1">
      <c r="B176" s="245" t="s">
        <v>407</v>
      </c>
      <c r="C176" s="235" t="s">
        <v>2168</v>
      </c>
      <c r="D176" s="235" t="s">
        <v>2169</v>
      </c>
      <c r="E176" s="235" t="s">
        <v>2170</v>
      </c>
    </row>
    <row r="177" spans="2:5" ht="36" hidden="1">
      <c r="B177" s="245" t="s">
        <v>407</v>
      </c>
      <c r="C177" s="235" t="s">
        <v>2168</v>
      </c>
      <c r="D177" s="235" t="s">
        <v>2169</v>
      </c>
      <c r="E177" s="235" t="s">
        <v>2171</v>
      </c>
    </row>
    <row r="178" spans="2:5" ht="36" hidden="1">
      <c r="B178" s="245" t="s">
        <v>407</v>
      </c>
      <c r="C178" s="235" t="s">
        <v>2168</v>
      </c>
      <c r="D178" s="235" t="s">
        <v>2169</v>
      </c>
      <c r="E178" s="235" t="s">
        <v>2172</v>
      </c>
    </row>
    <row r="179" spans="2:5" ht="48" hidden="1">
      <c r="B179" s="245" t="s">
        <v>407</v>
      </c>
      <c r="C179" s="235" t="s">
        <v>2168</v>
      </c>
      <c r="D179" s="235" t="s">
        <v>2169</v>
      </c>
      <c r="E179" s="235" t="s">
        <v>2173</v>
      </c>
    </row>
    <row r="180" spans="2:5" ht="36" hidden="1">
      <c r="B180" s="245" t="s">
        <v>407</v>
      </c>
      <c r="C180" s="235" t="s">
        <v>2168</v>
      </c>
      <c r="D180" s="235" t="s">
        <v>2174</v>
      </c>
      <c r="E180" s="235" t="s">
        <v>2175</v>
      </c>
    </row>
    <row r="181" spans="2:5" ht="36" hidden="1">
      <c r="B181" s="245" t="s">
        <v>407</v>
      </c>
      <c r="C181" s="235" t="s">
        <v>2168</v>
      </c>
      <c r="D181" s="235" t="s">
        <v>2174</v>
      </c>
      <c r="E181" s="235" t="s">
        <v>2176</v>
      </c>
    </row>
    <row r="182" spans="2:5" ht="36" hidden="1">
      <c r="B182" s="245" t="s">
        <v>407</v>
      </c>
      <c r="C182" s="235" t="s">
        <v>2168</v>
      </c>
      <c r="D182" s="235" t="s">
        <v>2177</v>
      </c>
      <c r="E182" s="235" t="s">
        <v>2178</v>
      </c>
    </row>
    <row r="183" spans="2:5" ht="36" hidden="1">
      <c r="B183" s="245" t="s">
        <v>407</v>
      </c>
      <c r="C183" s="235" t="s">
        <v>2168</v>
      </c>
      <c r="D183" s="235" t="s">
        <v>2177</v>
      </c>
      <c r="E183" s="235" t="s">
        <v>2179</v>
      </c>
    </row>
    <row r="184" spans="2:5" ht="36" hidden="1">
      <c r="B184" s="245" t="s">
        <v>407</v>
      </c>
      <c r="C184" s="235" t="s">
        <v>2168</v>
      </c>
      <c r="D184" s="235" t="s">
        <v>2177</v>
      </c>
      <c r="E184" s="235" t="s">
        <v>2180</v>
      </c>
    </row>
    <row r="185" spans="2:5" ht="48" hidden="1">
      <c r="B185" s="245" t="s">
        <v>407</v>
      </c>
      <c r="C185" s="235" t="s">
        <v>2168</v>
      </c>
      <c r="D185" s="235" t="s">
        <v>2177</v>
      </c>
      <c r="E185" s="235" t="s">
        <v>2181</v>
      </c>
    </row>
    <row r="186" spans="2:5" ht="36" hidden="1">
      <c r="B186" s="245" t="s">
        <v>407</v>
      </c>
      <c r="C186" s="235" t="s">
        <v>2168</v>
      </c>
      <c r="D186" s="235" t="s">
        <v>2177</v>
      </c>
      <c r="E186" s="235" t="s">
        <v>2182</v>
      </c>
    </row>
    <row r="187" spans="2:5" ht="48" hidden="1">
      <c r="B187" s="245" t="s">
        <v>1948</v>
      </c>
      <c r="C187" s="235" t="s">
        <v>2183</v>
      </c>
      <c r="D187" s="235" t="s">
        <v>2184</v>
      </c>
      <c r="E187" s="235" t="s">
        <v>2185</v>
      </c>
    </row>
    <row r="188" spans="2:5" ht="48" hidden="1">
      <c r="B188" s="245" t="s">
        <v>1948</v>
      </c>
      <c r="C188" s="235" t="s">
        <v>2183</v>
      </c>
      <c r="D188" s="235" t="s">
        <v>2184</v>
      </c>
      <c r="E188" s="235" t="s">
        <v>2186</v>
      </c>
    </row>
    <row r="189" spans="2:5" ht="48" hidden="1">
      <c r="B189" s="245" t="s">
        <v>1948</v>
      </c>
      <c r="C189" s="235" t="s">
        <v>2183</v>
      </c>
      <c r="D189" s="235" t="s">
        <v>2184</v>
      </c>
      <c r="E189" s="235" t="s">
        <v>2187</v>
      </c>
    </row>
    <row r="190" spans="2:5" ht="48" hidden="1">
      <c r="B190" s="245" t="s">
        <v>1948</v>
      </c>
      <c r="C190" s="235" t="s">
        <v>2183</v>
      </c>
      <c r="D190" s="235" t="s">
        <v>2184</v>
      </c>
      <c r="E190" s="235" t="s">
        <v>2188</v>
      </c>
    </row>
    <row r="191" spans="2:5" ht="48" hidden="1">
      <c r="B191" s="245" t="s">
        <v>1948</v>
      </c>
      <c r="C191" s="235" t="s">
        <v>2183</v>
      </c>
      <c r="D191" s="235" t="s">
        <v>2184</v>
      </c>
      <c r="E191" s="235" t="s">
        <v>2189</v>
      </c>
    </row>
    <row r="192" spans="2:5" ht="48" hidden="1">
      <c r="B192" s="245" t="s">
        <v>1948</v>
      </c>
      <c r="C192" s="235" t="s">
        <v>2183</v>
      </c>
      <c r="D192" s="235" t="s">
        <v>2184</v>
      </c>
      <c r="E192" s="235" t="s">
        <v>2190</v>
      </c>
    </row>
    <row r="193" spans="2:5" ht="48" hidden="1">
      <c r="B193" s="245" t="s">
        <v>1948</v>
      </c>
      <c r="C193" s="235" t="s">
        <v>2183</v>
      </c>
      <c r="D193" s="235" t="s">
        <v>2184</v>
      </c>
      <c r="E193" s="235" t="s">
        <v>2191</v>
      </c>
    </row>
    <row r="194" spans="2:5" ht="48" hidden="1">
      <c r="B194" s="245" t="s">
        <v>1948</v>
      </c>
      <c r="C194" s="235" t="s">
        <v>2183</v>
      </c>
      <c r="D194" s="235" t="s">
        <v>2184</v>
      </c>
      <c r="E194" s="235" t="s">
        <v>2192</v>
      </c>
    </row>
    <row r="195" spans="2:5" ht="48" hidden="1">
      <c r="B195" s="245" t="s">
        <v>1948</v>
      </c>
      <c r="C195" s="235" t="s">
        <v>2183</v>
      </c>
      <c r="D195" s="235" t="s">
        <v>2184</v>
      </c>
      <c r="E195" s="235" t="s">
        <v>2193</v>
      </c>
    </row>
    <row r="196" spans="2:5" ht="48" hidden="1">
      <c r="B196" s="245" t="s">
        <v>1948</v>
      </c>
      <c r="C196" s="235" t="s">
        <v>2183</v>
      </c>
      <c r="D196" s="235" t="s">
        <v>2184</v>
      </c>
      <c r="E196" s="235" t="s">
        <v>2194</v>
      </c>
    </row>
    <row r="197" spans="2:5" ht="48" hidden="1">
      <c r="B197" s="245" t="s">
        <v>1948</v>
      </c>
      <c r="C197" s="235" t="s">
        <v>2183</v>
      </c>
      <c r="D197" s="235" t="s">
        <v>2184</v>
      </c>
      <c r="E197" s="235" t="s">
        <v>2195</v>
      </c>
    </row>
    <row r="198" spans="2:5" ht="48" hidden="1">
      <c r="B198" s="245" t="s">
        <v>1948</v>
      </c>
      <c r="C198" s="235" t="s">
        <v>2183</v>
      </c>
      <c r="D198" s="235" t="s">
        <v>2196</v>
      </c>
      <c r="E198" s="235" t="s">
        <v>2197</v>
      </c>
    </row>
    <row r="199" spans="2:5" ht="48" hidden="1">
      <c r="B199" s="245" t="s">
        <v>1948</v>
      </c>
      <c r="C199" s="235" t="s">
        <v>2183</v>
      </c>
      <c r="D199" s="235" t="s">
        <v>2196</v>
      </c>
      <c r="E199" s="235" t="s">
        <v>2198</v>
      </c>
    </row>
    <row r="200" spans="2:5" ht="48" hidden="1">
      <c r="B200" s="245" t="s">
        <v>1948</v>
      </c>
      <c r="C200" s="235" t="s">
        <v>2183</v>
      </c>
      <c r="D200" s="235" t="s">
        <v>2196</v>
      </c>
      <c r="E200" s="235" t="s">
        <v>2199</v>
      </c>
    </row>
    <row r="201" spans="2:5" ht="48" hidden="1">
      <c r="B201" s="245" t="s">
        <v>1948</v>
      </c>
      <c r="C201" s="235" t="s">
        <v>2183</v>
      </c>
      <c r="D201" s="235" t="s">
        <v>2196</v>
      </c>
      <c r="E201" s="235" t="s">
        <v>2200</v>
      </c>
    </row>
    <row r="202" spans="2:5" ht="48" hidden="1">
      <c r="B202" s="245" t="s">
        <v>1948</v>
      </c>
      <c r="C202" s="235" t="s">
        <v>2183</v>
      </c>
      <c r="D202" s="235" t="s">
        <v>2196</v>
      </c>
      <c r="E202" s="235" t="s">
        <v>2201</v>
      </c>
    </row>
    <row r="203" spans="2:5" ht="48" hidden="1">
      <c r="B203" s="245" t="s">
        <v>1948</v>
      </c>
      <c r="C203" s="235" t="s">
        <v>2183</v>
      </c>
      <c r="D203" s="235" t="s">
        <v>2196</v>
      </c>
      <c r="E203" s="235" t="s">
        <v>2202</v>
      </c>
    </row>
    <row r="204" spans="2:5" ht="48" hidden="1">
      <c r="B204" s="245" t="s">
        <v>1948</v>
      </c>
      <c r="C204" s="235" t="s">
        <v>2183</v>
      </c>
      <c r="D204" s="235" t="s">
        <v>2196</v>
      </c>
      <c r="E204" s="235" t="s">
        <v>2203</v>
      </c>
    </row>
    <row r="205" spans="2:5" ht="48" hidden="1">
      <c r="B205" s="245" t="s">
        <v>1948</v>
      </c>
      <c r="C205" s="235" t="s">
        <v>2183</v>
      </c>
      <c r="D205" s="235" t="s">
        <v>2196</v>
      </c>
      <c r="E205" s="235" t="s">
        <v>2204</v>
      </c>
    </row>
    <row r="206" spans="2:5" ht="48" hidden="1">
      <c r="B206" s="245" t="s">
        <v>1948</v>
      </c>
      <c r="C206" s="235" t="s">
        <v>2183</v>
      </c>
      <c r="D206" s="235" t="s">
        <v>2205</v>
      </c>
      <c r="E206" s="235" t="s">
        <v>2206</v>
      </c>
    </row>
    <row r="207" spans="2:5" ht="48" hidden="1">
      <c r="B207" s="245" t="s">
        <v>1948</v>
      </c>
      <c r="C207" s="235" t="s">
        <v>2183</v>
      </c>
      <c r="D207" s="235" t="s">
        <v>2205</v>
      </c>
      <c r="E207" s="235" t="s">
        <v>2207</v>
      </c>
    </row>
    <row r="208" spans="2:5" ht="48" hidden="1">
      <c r="B208" s="245" t="s">
        <v>1948</v>
      </c>
      <c r="C208" s="235" t="s">
        <v>2183</v>
      </c>
      <c r="D208" s="235" t="s">
        <v>2205</v>
      </c>
      <c r="E208" s="235" t="s">
        <v>2208</v>
      </c>
    </row>
    <row r="209" spans="2:5" ht="48" hidden="1">
      <c r="B209" s="245" t="s">
        <v>1948</v>
      </c>
      <c r="C209" s="235" t="s">
        <v>2183</v>
      </c>
      <c r="D209" s="235" t="s">
        <v>2205</v>
      </c>
      <c r="E209" s="235" t="s">
        <v>2209</v>
      </c>
    </row>
    <row r="210" spans="2:5" ht="48" hidden="1">
      <c r="B210" s="245" t="s">
        <v>1948</v>
      </c>
      <c r="C210" s="235" t="s">
        <v>2183</v>
      </c>
      <c r="D210" s="235" t="s">
        <v>2205</v>
      </c>
      <c r="E210" s="235" t="s">
        <v>2210</v>
      </c>
    </row>
    <row r="214" spans="2:5" ht="15.5">
      <c r="B214" s="240" t="s">
        <v>2211</v>
      </c>
      <c r="C214" s="244" t="s">
        <v>2212</v>
      </c>
      <c r="D214"/>
    </row>
    <row r="215" spans="2:5" ht="15.5">
      <c r="B215" s="241" t="s">
        <v>118</v>
      </c>
      <c r="C215" s="244">
        <v>47</v>
      </c>
      <c r="D215" s="132"/>
    </row>
    <row r="216" spans="2:5" ht="15.5">
      <c r="B216" s="242" t="s">
        <v>2095</v>
      </c>
      <c r="C216" s="244">
        <v>11</v>
      </c>
      <c r="D216" s="132">
        <v>12</v>
      </c>
    </row>
    <row r="217" spans="2:5" ht="15.5">
      <c r="B217" s="243" t="s">
        <v>2109</v>
      </c>
      <c r="C217" s="244">
        <v>1</v>
      </c>
      <c r="D217" s="132"/>
    </row>
    <row r="218" spans="2:5" ht="15.5">
      <c r="B218" s="243" t="s">
        <v>2096</v>
      </c>
      <c r="C218" s="244">
        <v>3</v>
      </c>
      <c r="D218" s="132"/>
    </row>
    <row r="219" spans="2:5" ht="15.5">
      <c r="B219" s="243" t="s">
        <v>2106</v>
      </c>
      <c r="C219" s="244">
        <v>2</v>
      </c>
      <c r="D219" s="132"/>
    </row>
    <row r="220" spans="2:5" ht="15.5">
      <c r="B220" s="243" t="s">
        <v>2100</v>
      </c>
      <c r="C220" s="244">
        <v>5</v>
      </c>
      <c r="D220" s="132"/>
    </row>
    <row r="221" spans="2:5" ht="15.5">
      <c r="B221" s="242" t="s">
        <v>2111</v>
      </c>
      <c r="C221" s="244">
        <v>10</v>
      </c>
      <c r="D221" s="132"/>
    </row>
    <row r="222" spans="2:5" ht="15.5">
      <c r="B222" s="243" t="s">
        <v>2112</v>
      </c>
      <c r="C222" s="244">
        <v>3</v>
      </c>
      <c r="D222" s="132"/>
    </row>
    <row r="223" spans="2:5" ht="15.5">
      <c r="B223" s="243" t="s">
        <v>2116</v>
      </c>
      <c r="C223" s="244">
        <v>3</v>
      </c>
      <c r="D223" s="132"/>
    </row>
    <row r="224" spans="2:5" ht="15.5">
      <c r="B224" s="243" t="s">
        <v>2120</v>
      </c>
      <c r="C224" s="244">
        <v>4</v>
      </c>
      <c r="D224" s="132"/>
    </row>
    <row r="225" spans="2:4" ht="15.5">
      <c r="B225" s="242" t="s">
        <v>2125</v>
      </c>
      <c r="C225" s="244">
        <v>13</v>
      </c>
      <c r="D225" s="132">
        <v>14</v>
      </c>
    </row>
    <row r="226" spans="2:4" ht="15.5">
      <c r="B226" s="243" t="s">
        <v>2126</v>
      </c>
      <c r="C226" s="244">
        <v>8</v>
      </c>
      <c r="D226" s="132"/>
    </row>
    <row r="227" spans="2:4" ht="15.5">
      <c r="B227" s="243" t="s">
        <v>2135</v>
      </c>
      <c r="C227" s="244">
        <v>5</v>
      </c>
      <c r="D227" s="132"/>
    </row>
    <row r="228" spans="2:4" ht="15.5">
      <c r="B228" s="242" t="s">
        <v>2141</v>
      </c>
      <c r="C228" s="244">
        <v>13</v>
      </c>
      <c r="D228" s="132">
        <v>14</v>
      </c>
    </row>
    <row r="229" spans="2:4" ht="15.5">
      <c r="B229" s="243" t="s">
        <v>2142</v>
      </c>
      <c r="C229" s="244">
        <v>5</v>
      </c>
      <c r="D229" s="132"/>
    </row>
    <row r="230" spans="2:4" ht="15.5">
      <c r="B230" s="243" t="s">
        <v>2148</v>
      </c>
      <c r="C230" s="244">
        <v>5</v>
      </c>
      <c r="D230" s="132"/>
    </row>
    <row r="231" spans="2:4" ht="15.5">
      <c r="B231" s="243" t="s">
        <v>2154</v>
      </c>
      <c r="C231" s="244">
        <v>3</v>
      </c>
      <c r="D231" s="132"/>
    </row>
    <row r="232" spans="2:4" ht="15.5">
      <c r="B232" s="241" t="s">
        <v>365</v>
      </c>
      <c r="C232" s="244">
        <v>119</v>
      </c>
      <c r="D232" s="132"/>
    </row>
    <row r="233" spans="2:4" ht="15.5">
      <c r="B233" s="242" t="s">
        <v>1982</v>
      </c>
      <c r="C233" s="244">
        <v>19</v>
      </c>
      <c r="D233" s="132"/>
    </row>
    <row r="234" spans="2:4" ht="15.5">
      <c r="B234" s="243" t="s">
        <v>1983</v>
      </c>
      <c r="C234" s="244">
        <v>5</v>
      </c>
      <c r="D234" s="132"/>
    </row>
    <row r="235" spans="2:4" ht="15.5">
      <c r="B235" s="243" t="s">
        <v>1989</v>
      </c>
      <c r="C235" s="244">
        <v>9</v>
      </c>
      <c r="D235" s="132"/>
    </row>
    <row r="236" spans="2:4" ht="15.5">
      <c r="B236" s="243" t="s">
        <v>1999</v>
      </c>
      <c r="C236" s="244">
        <v>5</v>
      </c>
      <c r="D236" s="132"/>
    </row>
    <row r="237" spans="2:4" ht="15.5">
      <c r="B237" s="242" t="s">
        <v>1959</v>
      </c>
      <c r="C237" s="244">
        <v>19</v>
      </c>
      <c r="D237" s="132"/>
    </row>
    <row r="238" spans="2:4" ht="15.5">
      <c r="B238" s="243" t="s">
        <v>1965</v>
      </c>
      <c r="C238" s="244">
        <v>12</v>
      </c>
      <c r="D238" s="132"/>
    </row>
    <row r="239" spans="2:4" ht="15.5">
      <c r="B239" s="243" t="s">
        <v>1960</v>
      </c>
      <c r="C239" s="244">
        <v>4</v>
      </c>
      <c r="D239" s="132"/>
    </row>
    <row r="240" spans="2:4" ht="15.5">
      <c r="B240" s="243" t="s">
        <v>1978</v>
      </c>
      <c r="C240" s="244">
        <v>3</v>
      </c>
      <c r="D240" s="132"/>
    </row>
    <row r="241" spans="2:4" ht="15.5">
      <c r="B241" s="242" t="s">
        <v>2031</v>
      </c>
      <c r="C241" s="244">
        <v>33</v>
      </c>
      <c r="D241" s="132"/>
    </row>
    <row r="242" spans="2:4" ht="15.5">
      <c r="B242" s="243" t="s">
        <v>2042</v>
      </c>
      <c r="C242" s="244">
        <v>3</v>
      </c>
      <c r="D242" s="132"/>
    </row>
    <row r="243" spans="2:4" ht="15.5">
      <c r="B243" s="243" t="s">
        <v>2068</v>
      </c>
      <c r="C243" s="244">
        <v>1</v>
      </c>
      <c r="D243" s="132"/>
    </row>
    <row r="244" spans="2:4" ht="15.5">
      <c r="B244" s="243" t="s">
        <v>2057</v>
      </c>
      <c r="C244" s="244">
        <v>3</v>
      </c>
      <c r="D244" s="132"/>
    </row>
    <row r="245" spans="2:4" ht="15.5">
      <c r="B245" s="243" t="s">
        <v>2070</v>
      </c>
      <c r="C245" s="244">
        <v>5</v>
      </c>
      <c r="D245" s="132"/>
    </row>
    <row r="246" spans="2:4" ht="15.5">
      <c r="B246" s="243" t="s">
        <v>2049</v>
      </c>
      <c r="C246" s="244">
        <v>7</v>
      </c>
      <c r="D246" s="132"/>
    </row>
    <row r="247" spans="2:4" ht="15.5">
      <c r="B247" s="243" t="s">
        <v>2046</v>
      </c>
      <c r="C247" s="244">
        <v>2</v>
      </c>
      <c r="D247" s="132"/>
    </row>
    <row r="248" spans="2:4" ht="15.5">
      <c r="B248" s="243" t="s">
        <v>2064</v>
      </c>
      <c r="C248" s="244">
        <v>1</v>
      </c>
      <c r="D248" s="132"/>
    </row>
    <row r="249" spans="2:4" ht="15.5">
      <c r="B249" s="243" t="s">
        <v>2066</v>
      </c>
      <c r="C249" s="244">
        <v>1</v>
      </c>
      <c r="D249" s="132"/>
    </row>
    <row r="250" spans="2:4" ht="15.5">
      <c r="B250" s="243" t="s">
        <v>2034</v>
      </c>
      <c r="C250" s="244">
        <v>4</v>
      </c>
      <c r="D250" s="132"/>
    </row>
    <row r="251" spans="2:4" ht="15.5">
      <c r="B251" s="243" t="s">
        <v>2061</v>
      </c>
      <c r="C251" s="244">
        <v>2</v>
      </c>
      <c r="D251" s="132"/>
    </row>
    <row r="252" spans="2:4" ht="15.5">
      <c r="B252" s="243" t="s">
        <v>2032</v>
      </c>
      <c r="C252" s="244">
        <v>1</v>
      </c>
      <c r="D252" s="132"/>
    </row>
    <row r="253" spans="2:4" ht="15.5">
      <c r="B253" s="243" t="s">
        <v>2039</v>
      </c>
      <c r="C253" s="244">
        <v>2</v>
      </c>
      <c r="D253" s="132"/>
    </row>
    <row r="254" spans="2:4" ht="15.5">
      <c r="B254" s="243" t="s">
        <v>2076</v>
      </c>
      <c r="C254" s="244">
        <v>1</v>
      </c>
      <c r="D254" s="132"/>
    </row>
    <row r="255" spans="2:4" ht="15.5">
      <c r="B255" s="242" t="s">
        <v>1943</v>
      </c>
      <c r="C255" s="244">
        <v>12</v>
      </c>
      <c r="D255" s="132"/>
    </row>
    <row r="256" spans="2:4" ht="15.5">
      <c r="B256" s="243" t="s">
        <v>1944</v>
      </c>
      <c r="C256" s="244">
        <v>7</v>
      </c>
      <c r="D256" s="132"/>
    </row>
    <row r="257" spans="2:4" ht="15.5">
      <c r="B257" s="243" t="s">
        <v>1953</v>
      </c>
      <c r="C257" s="244">
        <v>5</v>
      </c>
      <c r="D257" s="132"/>
    </row>
    <row r="258" spans="2:4" ht="15.5">
      <c r="B258" s="242" t="s">
        <v>2078</v>
      </c>
      <c r="C258" s="244">
        <v>13</v>
      </c>
      <c r="D258" s="132">
        <v>12</v>
      </c>
    </row>
    <row r="259" spans="2:4" ht="15.5">
      <c r="B259" s="243" t="s">
        <v>2090</v>
      </c>
      <c r="C259" s="244">
        <v>4</v>
      </c>
      <c r="D259" s="132"/>
    </row>
    <row r="260" spans="2:4" ht="15.5">
      <c r="B260" s="243" t="s">
        <v>2082</v>
      </c>
      <c r="C260" s="244">
        <v>7</v>
      </c>
      <c r="D260" s="132"/>
    </row>
    <row r="261" spans="2:4" ht="15.5">
      <c r="B261" s="243" t="s">
        <v>2079</v>
      </c>
      <c r="C261" s="244">
        <v>2</v>
      </c>
      <c r="D261" s="132"/>
    </row>
    <row r="262" spans="2:4" ht="15.5">
      <c r="B262" s="242" t="s">
        <v>2005</v>
      </c>
      <c r="C262" s="244">
        <v>23</v>
      </c>
      <c r="D262" s="132"/>
    </row>
    <row r="263" spans="2:4" ht="15.5">
      <c r="B263" s="243" t="s">
        <v>2011</v>
      </c>
      <c r="C263" s="244">
        <v>4</v>
      </c>
      <c r="D263" s="132"/>
    </row>
    <row r="264" spans="2:4" ht="15.5">
      <c r="B264" s="243" t="s">
        <v>2016</v>
      </c>
      <c r="C264" s="244">
        <v>14</v>
      </c>
      <c r="D264" s="132"/>
    </row>
    <row r="265" spans="2:4" ht="15.5">
      <c r="B265" s="243" t="s">
        <v>2006</v>
      </c>
      <c r="C265" s="244">
        <v>5</v>
      </c>
      <c r="D265" s="132"/>
    </row>
    <row r="266" spans="2:4" ht="15.5">
      <c r="B266" s="241" t="s">
        <v>407</v>
      </c>
      <c r="C266" s="244">
        <v>18</v>
      </c>
      <c r="D266" s="132"/>
    </row>
    <row r="267" spans="2:4" ht="15.5">
      <c r="B267" s="242" t="s">
        <v>2158</v>
      </c>
      <c r="C267" s="244">
        <v>7</v>
      </c>
      <c r="D267" s="132">
        <v>6</v>
      </c>
    </row>
    <row r="268" spans="2:4" ht="15.5">
      <c r="B268" s="243" t="s">
        <v>2159</v>
      </c>
      <c r="C268" s="244">
        <v>4</v>
      </c>
      <c r="D268" s="132"/>
    </row>
    <row r="269" spans="2:4" ht="15.5">
      <c r="B269" s="243" t="s">
        <v>2164</v>
      </c>
      <c r="C269" s="244">
        <v>3</v>
      </c>
      <c r="D269" s="132"/>
    </row>
    <row r="270" spans="2:4" ht="15.5">
      <c r="B270" s="242" t="s">
        <v>2168</v>
      </c>
      <c r="C270" s="244">
        <v>11</v>
      </c>
      <c r="D270" s="132"/>
    </row>
    <row r="271" spans="2:4" ht="15.5">
      <c r="B271" s="243" t="s">
        <v>2169</v>
      </c>
      <c r="C271" s="244">
        <v>4</v>
      </c>
      <c r="D271" s="132"/>
    </row>
    <row r="272" spans="2:4" ht="15.5">
      <c r="B272" s="243" t="s">
        <v>2174</v>
      </c>
      <c r="C272" s="244">
        <v>2</v>
      </c>
      <c r="D272" s="132"/>
    </row>
    <row r="273" spans="2:4" ht="15.5">
      <c r="B273" s="243" t="s">
        <v>2177</v>
      </c>
      <c r="C273" s="244">
        <v>5</v>
      </c>
      <c r="D273" s="132"/>
    </row>
    <row r="274" spans="2:4" ht="15.5">
      <c r="B274" s="241" t="s">
        <v>1948</v>
      </c>
      <c r="C274" s="244">
        <v>24</v>
      </c>
      <c r="D274" s="132"/>
    </row>
    <row r="275" spans="2:4" ht="15.5">
      <c r="B275" s="242" t="s">
        <v>2183</v>
      </c>
      <c r="C275" s="244">
        <v>24</v>
      </c>
      <c r="D275" s="132"/>
    </row>
    <row r="276" spans="2:4" ht="15.5">
      <c r="B276" s="243" t="s">
        <v>2184</v>
      </c>
      <c r="C276" s="244">
        <v>11</v>
      </c>
      <c r="D276" s="132"/>
    </row>
    <row r="277" spans="2:4" ht="15.5">
      <c r="B277" s="243" t="s">
        <v>2196</v>
      </c>
      <c r="C277" s="244">
        <v>8</v>
      </c>
      <c r="D277" s="132"/>
    </row>
    <row r="278" spans="2:4" ht="15.5">
      <c r="B278" s="243" t="s">
        <v>2205</v>
      </c>
      <c r="C278" s="244">
        <v>5</v>
      </c>
      <c r="D278" s="132"/>
    </row>
    <row r="279" spans="2:4" ht="15.5">
      <c r="B279" s="241" t="s">
        <v>2213</v>
      </c>
      <c r="C279" s="244">
        <v>208</v>
      </c>
      <c r="D279" s="132"/>
    </row>
  </sheetData>
  <autoFilter ref="A2:E210" xr:uid="{9432BE96-3049-4DC2-8A76-329A1590B190}">
    <filterColumn colId="1">
      <filters>
        <filter val="Línea Social_Ciudad Segura y Solidaria"/>
      </filters>
    </filterColumn>
    <filterColumn colId="2">
      <filters>
        <filter val="LS Más Seguridad y Convivencia Ciudadana"/>
      </filters>
    </filterColumn>
    <filterColumn colId="3">
      <filters>
        <filter val="Construyendo juntos una ciudad más segura para todos"/>
      </filters>
    </filterColumn>
  </autoFilter>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706FF-4B48-4FBB-9093-F1948AC8030E}">
  <sheetPr>
    <tabColor rgb="FF7030A0"/>
  </sheetPr>
  <dimension ref="A1:B5"/>
  <sheetViews>
    <sheetView workbookViewId="0">
      <selection activeCell="B4" sqref="B4"/>
    </sheetView>
  </sheetViews>
  <sheetFormatPr baseColWidth="10" defaultColWidth="11" defaultRowHeight="15.5"/>
  <cols>
    <col min="1" max="1" width="13.08203125" style="50" bestFit="1" customWidth="1"/>
    <col min="2" max="2" width="31.58203125" style="50" bestFit="1" customWidth="1"/>
  </cols>
  <sheetData>
    <row r="1" spans="1:2">
      <c r="A1" s="50" t="s">
        <v>2214</v>
      </c>
      <c r="B1" s="50" t="s">
        <v>2215</v>
      </c>
    </row>
    <row r="2" spans="1:2">
      <c r="A2" s="50">
        <v>150</v>
      </c>
      <c r="B2" s="210" t="s">
        <v>2216</v>
      </c>
    </row>
    <row r="3" spans="1:2">
      <c r="A3" s="50">
        <v>150</v>
      </c>
      <c r="B3" s="210" t="s">
        <v>2217</v>
      </c>
    </row>
    <row r="4" spans="1:2">
      <c r="A4" s="50">
        <v>150</v>
      </c>
      <c r="B4" s="210" t="s">
        <v>2218</v>
      </c>
    </row>
    <row r="5" spans="1:2">
      <c r="A5" s="220">
        <v>144</v>
      </c>
      <c r="B5" s="251" t="s">
        <v>2219</v>
      </c>
    </row>
  </sheetData>
  <hyperlinks>
    <hyperlink ref="B5" r:id="rId1" xr:uid="{226C1F92-5681-4940-8729-594950FC748C}"/>
    <hyperlink ref="B2" r:id="rId2" xr:uid="{2F9CE6D8-A386-764F-81E7-64D2E87A7A67}"/>
    <hyperlink ref="B4" r:id="rId3" xr:uid="{87FC07BA-F79F-F044-AE49-C4029FF75F1A}"/>
  </hyperlinks>
  <pageMargins left="0.7" right="0.7" top="0.75" bottom="0.75" header="0.3" footer="0.3"/>
  <tableParts count="1">
    <tablePart r:id="rId4"/>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DABE4-1AF6-44AD-AFD7-63D6F5A44885}">
  <dimension ref="B2:C100"/>
  <sheetViews>
    <sheetView zoomScale="85" zoomScaleNormal="85" workbookViewId="0">
      <selection activeCell="D50" sqref="D50"/>
    </sheetView>
  </sheetViews>
  <sheetFormatPr baseColWidth="10" defaultColWidth="11.08203125" defaultRowHeight="13.5"/>
  <cols>
    <col min="1" max="1" width="2.5" style="73" customWidth="1"/>
    <col min="2" max="2" width="28.58203125" style="73" customWidth="1"/>
    <col min="3" max="3" width="106.58203125" style="74" customWidth="1"/>
    <col min="4" max="5" width="16.08203125" style="73" customWidth="1"/>
    <col min="6" max="16384" width="11.08203125" style="73"/>
  </cols>
  <sheetData>
    <row r="2" spans="2:3" ht="14">
      <c r="B2" s="64" t="s">
        <v>2220</v>
      </c>
      <c r="C2" s="64" t="s">
        <v>2221</v>
      </c>
    </row>
    <row r="3" spans="2:3" ht="54">
      <c r="B3" s="64" t="s">
        <v>2222</v>
      </c>
      <c r="C3" s="74" t="s">
        <v>2223</v>
      </c>
    </row>
    <row r="4" spans="2:3" ht="14">
      <c r="B4" s="65" t="s">
        <v>2224</v>
      </c>
    </row>
    <row r="5" spans="2:3" ht="67.5">
      <c r="B5" s="64" t="s">
        <v>65</v>
      </c>
      <c r="C5" s="74" t="s">
        <v>2225</v>
      </c>
    </row>
    <row r="6" spans="2:3" ht="216">
      <c r="B6" s="64" t="s">
        <v>66</v>
      </c>
      <c r="C6" s="74" t="s">
        <v>2226</v>
      </c>
    </row>
    <row r="7" spans="2:3" ht="96">
      <c r="B7" s="64" t="s">
        <v>2227</v>
      </c>
      <c r="C7" s="74" t="s">
        <v>2228</v>
      </c>
    </row>
    <row r="8" spans="2:3" ht="135">
      <c r="B8" s="64" t="s">
        <v>68</v>
      </c>
      <c r="C8" s="74" t="s">
        <v>2229</v>
      </c>
    </row>
    <row r="9" spans="2:3" ht="40.5">
      <c r="B9" s="64" t="s">
        <v>69</v>
      </c>
      <c r="C9" s="74" t="s">
        <v>2230</v>
      </c>
    </row>
    <row r="10" spans="2:3">
      <c r="B10" s="252" t="s">
        <v>70</v>
      </c>
      <c r="C10" s="74" t="s">
        <v>2231</v>
      </c>
    </row>
    <row r="11" spans="2:3" ht="81.5">
      <c r="B11" s="64" t="s">
        <v>2232</v>
      </c>
      <c r="C11" s="74" t="s">
        <v>2233</v>
      </c>
    </row>
    <row r="12" spans="2:3">
      <c r="B12" s="252" t="s">
        <v>2234</v>
      </c>
      <c r="C12" s="74" t="s">
        <v>2235</v>
      </c>
    </row>
    <row r="13" spans="2:3">
      <c r="B13" s="252" t="s">
        <v>2236</v>
      </c>
      <c r="C13" s="74" t="s">
        <v>2237</v>
      </c>
    </row>
    <row r="14" spans="2:3" ht="137">
      <c r="B14" s="66" t="s">
        <v>2238</v>
      </c>
      <c r="C14" s="74" t="s">
        <v>2239</v>
      </c>
    </row>
    <row r="15" spans="2:3" ht="380">
      <c r="B15" s="66" t="s">
        <v>2240</v>
      </c>
      <c r="C15" s="74" t="s">
        <v>2241</v>
      </c>
    </row>
    <row r="16" spans="2:3" ht="28">
      <c r="B16" s="67" t="s">
        <v>2242</v>
      </c>
      <c r="C16" s="74" t="s">
        <v>2243</v>
      </c>
    </row>
    <row r="17" spans="2:3" ht="27">
      <c r="B17" s="68" t="s">
        <v>77</v>
      </c>
      <c r="C17" s="74" t="s">
        <v>2244</v>
      </c>
    </row>
    <row r="18" spans="2:3" ht="27">
      <c r="B18" s="68" t="s">
        <v>78</v>
      </c>
      <c r="C18" s="74" t="s">
        <v>2245</v>
      </c>
    </row>
    <row r="19" spans="2:3" ht="27">
      <c r="B19" s="68" t="s">
        <v>79</v>
      </c>
      <c r="C19" s="74" t="s">
        <v>2246</v>
      </c>
    </row>
    <row r="20" spans="2:3" ht="176.5">
      <c r="B20" s="68" t="s">
        <v>80</v>
      </c>
      <c r="C20" s="74" t="s">
        <v>2247</v>
      </c>
    </row>
    <row r="21" spans="2:3" ht="51" customHeight="1">
      <c r="B21" s="252" t="s">
        <v>81</v>
      </c>
      <c r="C21" s="74" t="s">
        <v>2248</v>
      </c>
    </row>
    <row r="22" spans="2:3" ht="46.4" customHeight="1">
      <c r="B22" s="252" t="s">
        <v>82</v>
      </c>
      <c r="C22" s="74" t="s">
        <v>2249</v>
      </c>
    </row>
    <row r="23" spans="2:3" ht="27.5">
      <c r="B23" s="69" t="s">
        <v>2250</v>
      </c>
      <c r="C23" s="74" t="s">
        <v>2251</v>
      </c>
    </row>
    <row r="24" spans="2:3" ht="27.5">
      <c r="B24" s="69" t="s">
        <v>2252</v>
      </c>
      <c r="C24" s="74" t="s">
        <v>2253</v>
      </c>
    </row>
    <row r="25" spans="2:3" ht="27.5">
      <c r="B25" s="69" t="s">
        <v>2254</v>
      </c>
      <c r="C25" s="74" t="s">
        <v>2255</v>
      </c>
    </row>
    <row r="26" spans="2:3" ht="67.5">
      <c r="B26" s="70" t="s">
        <v>86</v>
      </c>
      <c r="C26" s="74" t="s">
        <v>2256</v>
      </c>
    </row>
    <row r="27" spans="2:3" ht="122.5">
      <c r="B27" s="70" t="s">
        <v>87</v>
      </c>
      <c r="C27" s="74" t="s">
        <v>2257</v>
      </c>
    </row>
    <row r="28" spans="2:3" ht="27.5">
      <c r="B28" s="71" t="s">
        <v>2258</v>
      </c>
      <c r="C28" s="74" t="s">
        <v>2259</v>
      </c>
    </row>
    <row r="29" spans="2:3" ht="14">
      <c r="B29" s="65"/>
    </row>
    <row r="30" spans="2:3" ht="27.5">
      <c r="B30" s="64" t="s">
        <v>2260</v>
      </c>
      <c r="C30" s="74" t="s">
        <v>2261</v>
      </c>
    </row>
    <row r="31" spans="2:3" ht="41">
      <c r="B31" s="64" t="s">
        <v>2262</v>
      </c>
      <c r="C31" s="74" t="s">
        <v>2263</v>
      </c>
    </row>
    <row r="32" spans="2:3" ht="28">
      <c r="B32" s="70" t="s">
        <v>2264</v>
      </c>
      <c r="C32" s="74" t="s">
        <v>2265</v>
      </c>
    </row>
    <row r="33" spans="2:3" ht="23.9" customHeight="1">
      <c r="B33" s="70" t="s">
        <v>94</v>
      </c>
      <c r="C33" s="74" t="s">
        <v>2266</v>
      </c>
    </row>
    <row r="34" spans="2:3" ht="35.9" customHeight="1">
      <c r="B34" s="64" t="s">
        <v>2267</v>
      </c>
      <c r="C34" s="74" t="s">
        <v>2268</v>
      </c>
    </row>
    <row r="35" spans="2:3" ht="55">
      <c r="B35" s="64" t="s">
        <v>2269</v>
      </c>
      <c r="C35" s="74" t="s">
        <v>2270</v>
      </c>
    </row>
    <row r="36" spans="2:3" ht="28">
      <c r="B36" s="70" t="s">
        <v>2264</v>
      </c>
      <c r="C36" s="74" t="s">
        <v>2265</v>
      </c>
    </row>
    <row r="37" spans="2:3" ht="14">
      <c r="B37" s="70" t="s">
        <v>94</v>
      </c>
      <c r="C37" s="74" t="s">
        <v>2271</v>
      </c>
    </row>
    <row r="38" spans="2:3" ht="14">
      <c r="B38" s="65"/>
    </row>
    <row r="39" spans="2:3" ht="27">
      <c r="B39" s="70" t="s">
        <v>99</v>
      </c>
      <c r="C39" s="74" t="s">
        <v>2272</v>
      </c>
    </row>
    <row r="40" spans="2:3" ht="28">
      <c r="B40" s="70" t="s">
        <v>100</v>
      </c>
      <c r="C40" s="74" t="s">
        <v>2273</v>
      </c>
    </row>
    <row r="41" spans="2:3" ht="27">
      <c r="B41" s="72" t="s">
        <v>101</v>
      </c>
      <c r="C41" s="74" t="s">
        <v>2274</v>
      </c>
    </row>
    <row r="42" spans="2:3" ht="40.5">
      <c r="B42" s="70" t="s">
        <v>102</v>
      </c>
      <c r="C42" s="74" t="s">
        <v>2275</v>
      </c>
    </row>
    <row r="43" spans="2:3" ht="27">
      <c r="B43" s="70" t="s">
        <v>103</v>
      </c>
      <c r="C43" s="74" t="s">
        <v>2276</v>
      </c>
    </row>
    <row r="44" spans="2:3" ht="27">
      <c r="B44" s="70" t="s">
        <v>104</v>
      </c>
      <c r="C44" s="74" t="s">
        <v>2277</v>
      </c>
    </row>
    <row r="45" spans="2:3" ht="28">
      <c r="B45" s="70" t="s">
        <v>105</v>
      </c>
      <c r="C45" s="74" t="s">
        <v>2278</v>
      </c>
    </row>
    <row r="46" spans="2:3" ht="27">
      <c r="B46" s="72" t="s">
        <v>106</v>
      </c>
      <c r="C46" s="74" t="s">
        <v>2274</v>
      </c>
    </row>
    <row r="47" spans="2:3" ht="28">
      <c r="B47" s="70" t="s">
        <v>107</v>
      </c>
      <c r="C47" s="74" t="s">
        <v>2279</v>
      </c>
    </row>
    <row r="48" spans="2:3" ht="28">
      <c r="B48" s="70" t="s">
        <v>108</v>
      </c>
      <c r="C48" s="74" t="s">
        <v>2280</v>
      </c>
    </row>
    <row r="49" spans="2:3" ht="46.4" customHeight="1">
      <c r="B49" s="252" t="s">
        <v>1938</v>
      </c>
      <c r="C49" s="74" t="s">
        <v>2281</v>
      </c>
    </row>
    <row r="50" spans="2:3">
      <c r="B50" s="252" t="s">
        <v>110</v>
      </c>
      <c r="C50" s="74" t="s">
        <v>2282</v>
      </c>
    </row>
    <row r="51" spans="2:3">
      <c r="B51" s="252" t="s">
        <v>111</v>
      </c>
      <c r="C51" s="74" t="s">
        <v>2282</v>
      </c>
    </row>
    <row r="52" spans="2:3">
      <c r="B52" s="252" t="s">
        <v>112</v>
      </c>
      <c r="C52" s="74" t="s">
        <v>2282</v>
      </c>
    </row>
    <row r="53" spans="2:3" ht="14">
      <c r="B53" s="65"/>
    </row>
    <row r="54" spans="2:3" ht="28">
      <c r="B54" s="64" t="s">
        <v>113</v>
      </c>
      <c r="C54" s="74" t="s">
        <v>2283</v>
      </c>
    </row>
    <row r="55" spans="2:3" ht="28">
      <c r="B55" s="64" t="s">
        <v>114</v>
      </c>
      <c r="C55" s="74" t="s">
        <v>2284</v>
      </c>
    </row>
    <row r="56" spans="2:3">
      <c r="B56" s="75"/>
    </row>
    <row r="57" spans="2:3">
      <c r="B57" s="75"/>
    </row>
    <row r="58" spans="2:3">
      <c r="B58" s="75"/>
    </row>
    <row r="59" spans="2:3">
      <c r="B59" s="75"/>
    </row>
    <row r="60" spans="2:3">
      <c r="B60" s="75"/>
    </row>
    <row r="61" spans="2:3">
      <c r="B61" s="75"/>
    </row>
    <row r="62" spans="2:3">
      <c r="B62" s="75"/>
    </row>
    <row r="63" spans="2:3">
      <c r="B63" s="75"/>
    </row>
    <row r="64" spans="2:3">
      <c r="B64" s="75"/>
    </row>
    <row r="65" spans="2:2">
      <c r="B65" s="75"/>
    </row>
    <row r="66" spans="2:2">
      <c r="B66" s="75"/>
    </row>
    <row r="67" spans="2:2">
      <c r="B67" s="75"/>
    </row>
    <row r="68" spans="2:2">
      <c r="B68" s="75"/>
    </row>
    <row r="69" spans="2:2">
      <c r="B69" s="75"/>
    </row>
    <row r="70" spans="2:2">
      <c r="B70" s="75"/>
    </row>
    <row r="71" spans="2:2">
      <c r="B71" s="75"/>
    </row>
    <row r="72" spans="2:2">
      <c r="B72" s="75"/>
    </row>
    <row r="73" spans="2:2">
      <c r="B73" s="75"/>
    </row>
    <row r="74" spans="2:2">
      <c r="B74" s="75"/>
    </row>
    <row r="75" spans="2:2">
      <c r="B75" s="75"/>
    </row>
    <row r="76" spans="2:2">
      <c r="B76" s="75"/>
    </row>
    <row r="77" spans="2:2">
      <c r="B77" s="75"/>
    </row>
    <row r="78" spans="2:2">
      <c r="B78" s="75"/>
    </row>
    <row r="79" spans="2:2">
      <c r="B79" s="75"/>
    </row>
    <row r="80" spans="2:2">
      <c r="B80" s="75"/>
    </row>
    <row r="81" spans="2:2">
      <c r="B81" s="75"/>
    </row>
    <row r="82" spans="2:2">
      <c r="B82" s="75"/>
    </row>
    <row r="83" spans="2:2">
      <c r="B83" s="75"/>
    </row>
    <row r="84" spans="2:2">
      <c r="B84" s="75"/>
    </row>
    <row r="85" spans="2:2">
      <c r="B85" s="75"/>
    </row>
    <row r="86" spans="2:2">
      <c r="B86" s="75"/>
    </row>
    <row r="87" spans="2:2">
      <c r="B87" s="75"/>
    </row>
    <row r="88" spans="2:2">
      <c r="B88" s="75"/>
    </row>
    <row r="89" spans="2:2">
      <c r="B89" s="75"/>
    </row>
    <row r="90" spans="2:2">
      <c r="B90" s="75"/>
    </row>
    <row r="91" spans="2:2">
      <c r="B91" s="75"/>
    </row>
    <row r="92" spans="2:2">
      <c r="B92" s="75"/>
    </row>
    <row r="93" spans="2:2">
      <c r="B93" s="75"/>
    </row>
    <row r="94" spans="2:2">
      <c r="B94" s="75"/>
    </row>
    <row r="95" spans="2:2">
      <c r="B95" s="75"/>
    </row>
    <row r="96" spans="2:2">
      <c r="B96" s="75"/>
    </row>
    <row r="97" spans="2:2">
      <c r="B97" s="75"/>
    </row>
    <row r="98" spans="2:2">
      <c r="B98" s="75"/>
    </row>
    <row r="99" spans="2:2">
      <c r="B99" s="75"/>
    </row>
    <row r="100" spans="2:2">
      <c r="B100" s="75"/>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770C5-2716-4430-B5CA-92EE4D0B6E92}">
  <dimension ref="B1:AH46"/>
  <sheetViews>
    <sheetView zoomScale="115" zoomScaleNormal="115" workbookViewId="0">
      <selection activeCell="Y17" sqref="Y17"/>
    </sheetView>
  </sheetViews>
  <sheetFormatPr baseColWidth="10" defaultColWidth="11.08203125" defaultRowHeight="14.5"/>
  <cols>
    <col min="1" max="1" width="11.08203125" style="1"/>
    <col min="2" max="2" width="23" style="1" customWidth="1"/>
    <col min="3" max="3" width="7.5" style="1" customWidth="1"/>
    <col min="4" max="4" width="21.5" style="1" customWidth="1"/>
    <col min="5" max="5" width="1.58203125" style="1" customWidth="1"/>
    <col min="6" max="6" width="19.08203125" style="1" customWidth="1"/>
    <col min="7" max="7" width="35.58203125" style="1" customWidth="1"/>
    <col min="8" max="10" width="28.08203125" style="1" customWidth="1"/>
    <col min="11" max="11" width="1.58203125" style="1" customWidth="1"/>
    <col min="12" max="12" width="19.58203125" style="1" customWidth="1"/>
    <col min="13" max="13" width="30.58203125" style="1" customWidth="1"/>
    <col min="14" max="14" width="31.08203125" style="1" customWidth="1"/>
    <col min="15" max="15" width="19.58203125" style="1" customWidth="1"/>
    <col min="16" max="16" width="18.58203125" style="1" customWidth="1"/>
    <col min="17" max="17" width="1" style="1" customWidth="1"/>
    <col min="18" max="18" width="26.5" style="1" customWidth="1"/>
    <col min="19" max="19" width="35" style="34" customWidth="1"/>
    <col min="20" max="20" width="9.58203125" style="34" customWidth="1"/>
    <col min="21" max="21" width="19.08203125" style="34" bestFit="1" customWidth="1"/>
    <col min="22" max="22" width="20.58203125" style="34" customWidth="1"/>
    <col min="23" max="24" width="13.58203125" style="34" customWidth="1"/>
    <col min="25" max="25" width="18.58203125" style="34" customWidth="1"/>
    <col min="26" max="26" width="23.58203125" style="34" customWidth="1"/>
    <col min="27" max="27" width="13.58203125" style="34" customWidth="1"/>
    <col min="28" max="28" width="19.58203125" style="34" bestFit="1" customWidth="1"/>
    <col min="29" max="29" width="15.08203125" style="34" bestFit="1" customWidth="1"/>
    <col min="30" max="30" width="23" style="34" customWidth="1"/>
    <col min="31" max="16384" width="11.08203125" style="1"/>
  </cols>
  <sheetData>
    <row r="1" spans="2:34" ht="16">
      <c r="R1" s="32" t="s">
        <v>66</v>
      </c>
      <c r="S1" s="33"/>
      <c r="T1" s="33"/>
      <c r="U1" s="33"/>
      <c r="V1" s="33"/>
      <c r="W1" s="33"/>
      <c r="X1" s="33"/>
      <c r="Y1" s="209"/>
      <c r="Z1" s="33"/>
      <c r="AA1" s="33"/>
      <c r="AB1" s="33"/>
      <c r="AC1" s="33"/>
      <c r="AD1" s="33"/>
    </row>
    <row r="2" spans="2:34" ht="16">
      <c r="B2" s="36" t="s">
        <v>2285</v>
      </c>
      <c r="D2" s="36" t="s">
        <v>2286</v>
      </c>
      <c r="F2" s="36" t="s">
        <v>2287</v>
      </c>
      <c r="G2" s="37" t="s">
        <v>1506</v>
      </c>
      <c r="H2" s="37" t="s">
        <v>1287</v>
      </c>
      <c r="I2" s="37" t="s">
        <v>228</v>
      </c>
      <c r="J2" s="37" t="s">
        <v>126</v>
      </c>
      <c r="L2" s="11" t="s">
        <v>154</v>
      </c>
      <c r="M2" s="11" t="s">
        <v>582</v>
      </c>
      <c r="N2" s="11" t="s">
        <v>397</v>
      </c>
      <c r="O2" s="11" t="s">
        <v>163</v>
      </c>
      <c r="P2" s="11" t="s">
        <v>411</v>
      </c>
      <c r="R2" s="38" t="s">
        <v>2288</v>
      </c>
      <c r="S2" s="31" t="s">
        <v>579</v>
      </c>
      <c r="T2" s="31" t="s">
        <v>963</v>
      </c>
      <c r="U2" s="31" t="s">
        <v>314</v>
      </c>
      <c r="V2" s="31" t="s">
        <v>326</v>
      </c>
      <c r="W2" s="31" t="s">
        <v>607</v>
      </c>
      <c r="X2" s="31" t="s">
        <v>408</v>
      </c>
      <c r="Y2" s="31" t="s">
        <v>1575</v>
      </c>
      <c r="Z2" s="31" t="s">
        <v>596</v>
      </c>
      <c r="AA2" s="31" t="s">
        <v>732</v>
      </c>
      <c r="AB2" s="31" t="s">
        <v>366</v>
      </c>
      <c r="AC2" s="31" t="s">
        <v>119</v>
      </c>
      <c r="AD2" s="31" t="s">
        <v>763</v>
      </c>
      <c r="AH2" s="1" t="s">
        <v>364</v>
      </c>
    </row>
    <row r="3" spans="2:34" ht="15.5">
      <c r="B3" s="1" t="s">
        <v>53</v>
      </c>
      <c r="D3" s="1" t="s">
        <v>154</v>
      </c>
      <c r="F3" s="1" t="s">
        <v>1506</v>
      </c>
      <c r="G3" s="7" t="s">
        <v>1507</v>
      </c>
      <c r="H3" s="1" t="s">
        <v>2289</v>
      </c>
      <c r="I3" s="1" t="s">
        <v>229</v>
      </c>
      <c r="J3" s="1" t="s">
        <v>127</v>
      </c>
      <c r="R3" s="39" t="s">
        <v>579</v>
      </c>
      <c r="S3" s="12" t="s">
        <v>580</v>
      </c>
      <c r="T3" s="1" t="s">
        <v>964</v>
      </c>
      <c r="U3" s="1" t="s">
        <v>315</v>
      </c>
      <c r="V3" s="1" t="s">
        <v>2290</v>
      </c>
      <c r="W3" s="1" t="s">
        <v>2291</v>
      </c>
      <c r="X3" s="1" t="s">
        <v>409</v>
      </c>
      <c r="Y3" s="1" t="s">
        <v>1576</v>
      </c>
      <c r="Z3" s="1" t="s">
        <v>597</v>
      </c>
      <c r="AA3" s="1" t="s">
        <v>2292</v>
      </c>
      <c r="AB3" s="1" t="s">
        <v>367</v>
      </c>
      <c r="AC3" s="1" t="s">
        <v>120</v>
      </c>
      <c r="AD3" s="1" t="s">
        <v>764</v>
      </c>
      <c r="AH3" s="1" t="s">
        <v>128</v>
      </c>
    </row>
    <row r="4" spans="2:34" ht="15.5">
      <c r="B4" s="1" t="s">
        <v>26</v>
      </c>
      <c r="D4" s="1" t="s">
        <v>582</v>
      </c>
      <c r="F4" s="1" t="s">
        <v>1287</v>
      </c>
      <c r="G4" s="1" t="s">
        <v>2293</v>
      </c>
      <c r="H4" s="1" t="s">
        <v>2294</v>
      </c>
      <c r="I4" s="1" t="s">
        <v>534</v>
      </c>
      <c r="J4" s="1" t="s">
        <v>372</v>
      </c>
      <c r="R4" s="39" t="s">
        <v>963</v>
      </c>
      <c r="S4" s="1"/>
      <c r="T4" s="1"/>
      <c r="U4" s="1" t="s">
        <v>395</v>
      </c>
      <c r="V4" s="1" t="s">
        <v>1472</v>
      </c>
      <c r="W4" s="1" t="s">
        <v>608</v>
      </c>
      <c r="X4" s="1" t="s">
        <v>1515</v>
      </c>
      <c r="Y4" s="1" t="s">
        <v>1693</v>
      </c>
      <c r="Z4" s="1" t="s">
        <v>2295</v>
      </c>
      <c r="AA4" s="1" t="s">
        <v>746</v>
      </c>
      <c r="AB4" s="1" t="s">
        <v>2296</v>
      </c>
      <c r="AC4" s="1" t="s">
        <v>391</v>
      </c>
      <c r="AD4" s="1"/>
    </row>
    <row r="5" spans="2:34" ht="15.5">
      <c r="B5" s="1" t="s">
        <v>2297</v>
      </c>
      <c r="D5" s="1" t="s">
        <v>397</v>
      </c>
      <c r="F5" s="1" t="s">
        <v>228</v>
      </c>
      <c r="G5" s="1" t="s">
        <v>1536</v>
      </c>
      <c r="H5" s="1" t="s">
        <v>1288</v>
      </c>
      <c r="J5" s="1" t="s">
        <v>219</v>
      </c>
      <c r="R5" s="39" t="s">
        <v>314</v>
      </c>
      <c r="S5" s="1"/>
      <c r="T5" s="1"/>
      <c r="U5" s="1"/>
      <c r="V5" s="1" t="s">
        <v>342</v>
      </c>
      <c r="W5" s="1" t="s">
        <v>2298</v>
      </c>
      <c r="X5" s="1" t="s">
        <v>455</v>
      </c>
      <c r="Y5" s="1"/>
      <c r="Z5" s="1" t="s">
        <v>1063</v>
      </c>
      <c r="AA5" s="1" t="s">
        <v>733</v>
      </c>
      <c r="AB5" s="1" t="s">
        <v>2299</v>
      </c>
      <c r="AC5" s="1" t="s">
        <v>2300</v>
      </c>
      <c r="AD5" s="1"/>
    </row>
    <row r="6" spans="2:34" ht="15.5">
      <c r="B6" s="1" t="s">
        <v>2301</v>
      </c>
      <c r="D6" s="1" t="s">
        <v>163</v>
      </c>
      <c r="F6" s="1" t="s">
        <v>126</v>
      </c>
      <c r="R6" s="39" t="s">
        <v>326</v>
      </c>
      <c r="S6" s="1"/>
      <c r="T6" s="1"/>
      <c r="U6" s="1"/>
      <c r="V6" s="1" t="s">
        <v>529</v>
      </c>
      <c r="W6" s="1" t="s">
        <v>1547</v>
      </c>
      <c r="X6" s="1" t="s">
        <v>2302</v>
      </c>
      <c r="Y6" s="1"/>
      <c r="Z6" s="1"/>
      <c r="AA6" s="1"/>
      <c r="AB6" s="1" t="s">
        <v>2451</v>
      </c>
      <c r="AC6" s="1" t="s">
        <v>828</v>
      </c>
      <c r="AD6" s="1"/>
    </row>
    <row r="7" spans="2:34" ht="15.5">
      <c r="D7" s="1" t="s">
        <v>411</v>
      </c>
      <c r="R7" s="39" t="s">
        <v>408</v>
      </c>
      <c r="S7" s="1"/>
      <c r="T7" s="1"/>
      <c r="U7" s="1"/>
      <c r="V7" s="1" t="s">
        <v>327</v>
      </c>
      <c r="W7" s="1"/>
      <c r="X7" s="1" t="s">
        <v>437</v>
      </c>
      <c r="Y7" s="1"/>
      <c r="Z7" s="1"/>
      <c r="AA7" s="1"/>
      <c r="AB7" s="1"/>
      <c r="AC7" s="76" t="s">
        <v>1519</v>
      </c>
      <c r="AD7" s="1"/>
    </row>
    <row r="8" spans="2:34" ht="15.5">
      <c r="D8" s="1" t="s">
        <v>1511</v>
      </c>
      <c r="R8" s="39" t="s">
        <v>607</v>
      </c>
      <c r="S8" s="1"/>
      <c r="T8" s="1"/>
      <c r="U8" s="1"/>
      <c r="V8" s="1" t="s">
        <v>1519</v>
      </c>
      <c r="W8" s="1"/>
      <c r="X8" s="1"/>
      <c r="Y8" s="1"/>
      <c r="Z8" s="1"/>
      <c r="AA8" s="1"/>
      <c r="AB8" s="1"/>
      <c r="AC8" s="1"/>
      <c r="AD8" s="1"/>
    </row>
    <row r="9" spans="2:34" ht="15.5">
      <c r="D9" s="1" t="s">
        <v>122</v>
      </c>
      <c r="G9" s="253"/>
      <c r="R9" s="39" t="s">
        <v>1575</v>
      </c>
      <c r="S9" s="1"/>
      <c r="T9" s="1"/>
      <c r="U9" s="1"/>
      <c r="V9" s="1"/>
      <c r="W9" s="1"/>
      <c r="X9" s="1"/>
      <c r="Y9" s="1"/>
      <c r="Z9" s="1"/>
      <c r="AA9" s="1"/>
      <c r="AB9" s="1"/>
      <c r="AC9" s="1"/>
      <c r="AD9" s="1"/>
    </row>
    <row r="10" spans="2:34" ht="15.5">
      <c r="H10" s="253"/>
      <c r="R10" s="39" t="s">
        <v>596</v>
      </c>
      <c r="S10" s="1"/>
      <c r="T10" s="1"/>
      <c r="U10" s="1"/>
      <c r="V10" s="1"/>
      <c r="W10" s="1"/>
      <c r="X10" s="1"/>
      <c r="Y10" s="1"/>
      <c r="Z10" s="1"/>
      <c r="AA10" s="1"/>
      <c r="AB10" s="1"/>
      <c r="AC10" s="1"/>
      <c r="AD10" s="1"/>
    </row>
    <row r="11" spans="2:34" ht="15.5">
      <c r="G11" s="253"/>
      <c r="H11" s="253"/>
      <c r="R11" s="39" t="s">
        <v>732</v>
      </c>
      <c r="S11" s="1"/>
      <c r="T11" s="1"/>
      <c r="U11" s="1"/>
      <c r="V11" s="1"/>
      <c r="W11" s="1"/>
      <c r="X11" s="1"/>
      <c r="Y11" s="1"/>
      <c r="Z11" s="1"/>
      <c r="AA11" s="1"/>
      <c r="AB11" s="1"/>
      <c r="AC11" s="1"/>
      <c r="AD11" s="1"/>
    </row>
    <row r="12" spans="2:34" ht="15.5">
      <c r="R12" s="39" t="s">
        <v>366</v>
      </c>
      <c r="S12" s="1"/>
      <c r="T12" s="1"/>
      <c r="U12" s="1"/>
      <c r="V12" s="1"/>
      <c r="W12" s="1"/>
      <c r="X12" s="1"/>
      <c r="Y12" s="1"/>
      <c r="Z12" s="1"/>
      <c r="AA12" s="1"/>
      <c r="AB12" s="1"/>
      <c r="AC12" s="1"/>
      <c r="AD12" s="1"/>
    </row>
    <row r="13" spans="2:34" ht="16">
      <c r="B13" s="36" t="s">
        <v>2303</v>
      </c>
      <c r="R13" s="39" t="s">
        <v>119</v>
      </c>
      <c r="S13" s="1"/>
      <c r="T13" s="1"/>
      <c r="U13" s="1"/>
      <c r="V13" s="1"/>
      <c r="W13" s="1"/>
      <c r="X13" s="1"/>
      <c r="Y13" s="1"/>
      <c r="Z13" s="1"/>
      <c r="AA13" s="1"/>
      <c r="AB13" s="1"/>
      <c r="AC13" s="1"/>
      <c r="AD13" s="1"/>
    </row>
    <row r="14" spans="2:34" ht="15.5">
      <c r="B14" s="1" t="s">
        <v>365</v>
      </c>
      <c r="R14" s="39" t="s">
        <v>763</v>
      </c>
      <c r="S14" s="1"/>
      <c r="T14" s="1"/>
      <c r="U14" s="1"/>
      <c r="V14" s="1"/>
      <c r="W14" s="1"/>
      <c r="X14" s="1"/>
      <c r="Y14" s="1"/>
      <c r="Z14" s="1"/>
      <c r="AA14" s="1"/>
      <c r="AB14" s="1"/>
      <c r="AC14" s="1"/>
      <c r="AD14" s="1"/>
    </row>
    <row r="15" spans="2:34">
      <c r="B15" s="1" t="s">
        <v>118</v>
      </c>
      <c r="S15" s="1"/>
      <c r="T15" s="1"/>
      <c r="U15" s="1"/>
      <c r="V15" s="1"/>
      <c r="W15" s="1"/>
      <c r="X15" s="1"/>
      <c r="Y15" s="1"/>
      <c r="Z15" s="1"/>
      <c r="AA15" s="1"/>
      <c r="AB15" s="1"/>
      <c r="AC15" s="1"/>
      <c r="AD15" s="1"/>
    </row>
    <row r="16" spans="2:34">
      <c r="B16" s="1" t="s">
        <v>407</v>
      </c>
      <c r="S16" s="1"/>
      <c r="T16" s="1"/>
      <c r="U16" s="1"/>
      <c r="V16" s="1"/>
      <c r="W16" s="1"/>
      <c r="X16" s="1"/>
      <c r="Y16" s="1"/>
      <c r="Z16" s="1"/>
      <c r="AA16" s="1"/>
      <c r="AB16" s="1"/>
      <c r="AC16" s="1"/>
      <c r="AD16" s="1"/>
    </row>
    <row r="17" spans="2:30" ht="16">
      <c r="B17" s="1" t="s">
        <v>1948</v>
      </c>
      <c r="M17" s="11" t="s">
        <v>2288</v>
      </c>
      <c r="N17" s="11" t="s">
        <v>66</v>
      </c>
      <c r="S17" s="1"/>
      <c r="T17" s="1"/>
      <c r="U17" s="1"/>
      <c r="V17" s="1"/>
      <c r="W17" s="1"/>
      <c r="X17" s="1"/>
      <c r="Y17" s="1"/>
      <c r="Z17" s="1"/>
      <c r="AA17" s="1"/>
      <c r="AB17" s="1"/>
      <c r="AC17" s="1"/>
      <c r="AD17" s="1"/>
    </row>
    <row r="18" spans="2:30" ht="17.149999999999999" customHeight="1">
      <c r="M18" s="12" t="s">
        <v>2304</v>
      </c>
      <c r="N18" s="1" t="s">
        <v>746</v>
      </c>
    </row>
    <row r="19" spans="2:30" ht="17.149999999999999" customHeight="1">
      <c r="M19" s="12"/>
      <c r="N19" s="1" t="s">
        <v>2292</v>
      </c>
    </row>
    <row r="20" spans="2:30" ht="15.5">
      <c r="M20" s="12" t="s">
        <v>366</v>
      </c>
      <c r="N20" s="1" t="s">
        <v>2299</v>
      </c>
    </row>
    <row r="21" spans="2:30" ht="15.5">
      <c r="M21" s="12"/>
      <c r="N21" s="1" t="s">
        <v>367</v>
      </c>
    </row>
    <row r="22" spans="2:30" ht="15.5">
      <c r="M22" s="12"/>
      <c r="N22" s="1" t="s">
        <v>2296</v>
      </c>
    </row>
    <row r="23" spans="2:30" ht="15.5">
      <c r="M23" s="12" t="s">
        <v>2305</v>
      </c>
      <c r="N23" s="1" t="s">
        <v>391</v>
      </c>
    </row>
    <row r="24" spans="2:30" ht="15.5">
      <c r="M24" s="12"/>
      <c r="N24" s="1" t="s">
        <v>120</v>
      </c>
    </row>
    <row r="25" spans="2:30" ht="15.5">
      <c r="M25" s="12"/>
      <c r="N25" s="1" t="s">
        <v>2300</v>
      </c>
    </row>
    <row r="26" spans="2:30" ht="15.5">
      <c r="M26" s="12"/>
      <c r="N26" s="1" t="s">
        <v>828</v>
      </c>
    </row>
    <row r="27" spans="2:30" ht="15.5">
      <c r="M27" s="12" t="s">
        <v>2306</v>
      </c>
      <c r="N27" s="1" t="s">
        <v>1063</v>
      </c>
    </row>
    <row r="28" spans="2:30" ht="15.5">
      <c r="M28" s="12"/>
      <c r="N28" s="1" t="s">
        <v>597</v>
      </c>
    </row>
    <row r="29" spans="2:30" ht="15.5">
      <c r="M29" s="12"/>
      <c r="N29" s="1" t="s">
        <v>2295</v>
      </c>
    </row>
    <row r="30" spans="2:30" ht="15.5">
      <c r="M30" s="12" t="s">
        <v>314</v>
      </c>
      <c r="N30" s="1" t="s">
        <v>315</v>
      </c>
    </row>
    <row r="31" spans="2:30" ht="15.5">
      <c r="M31" s="12"/>
      <c r="N31" s="1" t="s">
        <v>395</v>
      </c>
      <c r="AA31" s="35"/>
    </row>
    <row r="32" spans="2:30" ht="15.5">
      <c r="M32" s="12" t="s">
        <v>2307</v>
      </c>
      <c r="N32" s="1" t="s">
        <v>2291</v>
      </c>
    </row>
    <row r="33" spans="13:15" ht="15.5">
      <c r="M33" s="12"/>
      <c r="N33" s="1" t="s">
        <v>608</v>
      </c>
    </row>
    <row r="34" spans="13:15" ht="15.5">
      <c r="M34" s="12"/>
      <c r="N34" s="1" t="s">
        <v>2298</v>
      </c>
    </row>
    <row r="35" spans="13:15" ht="15.5">
      <c r="M35" s="12"/>
      <c r="N35" s="1" t="s">
        <v>1547</v>
      </c>
    </row>
    <row r="36" spans="13:15" ht="15.5">
      <c r="M36" s="12" t="s">
        <v>408</v>
      </c>
      <c r="N36" s="1" t="s">
        <v>1515</v>
      </c>
    </row>
    <row r="37" spans="13:15" ht="15.5">
      <c r="M37" s="12"/>
      <c r="N37" s="1" t="s">
        <v>409</v>
      </c>
    </row>
    <row r="38" spans="13:15" ht="15.5">
      <c r="M38" s="12"/>
      <c r="N38" s="1" t="s">
        <v>437</v>
      </c>
    </row>
    <row r="39" spans="13:15" ht="15.5">
      <c r="M39" s="12"/>
      <c r="N39" s="1" t="s">
        <v>455</v>
      </c>
    </row>
    <row r="40" spans="13:15" ht="15.5">
      <c r="M40" s="12"/>
      <c r="N40" s="1" t="s">
        <v>2302</v>
      </c>
    </row>
    <row r="41" spans="13:15">
      <c r="M41" s="1" t="s">
        <v>2308</v>
      </c>
      <c r="N41" s="1" t="s">
        <v>764</v>
      </c>
    </row>
    <row r="42" spans="13:15">
      <c r="M42" s="1" t="s">
        <v>964</v>
      </c>
      <c r="N42" s="1" t="s">
        <v>964</v>
      </c>
    </row>
    <row r="43" spans="13:15">
      <c r="M43" s="1" t="s">
        <v>2309</v>
      </c>
      <c r="N43" s="1" t="s">
        <v>529</v>
      </c>
    </row>
    <row r="44" spans="13:15">
      <c r="N44" s="1" t="s">
        <v>342</v>
      </c>
    </row>
    <row r="45" spans="13:15">
      <c r="N45" s="1" t="s">
        <v>2290</v>
      </c>
    </row>
    <row r="46" spans="13:15" ht="15.5">
      <c r="M46" s="12" t="s">
        <v>580</v>
      </c>
      <c r="N46" s="12" t="s">
        <v>580</v>
      </c>
      <c r="O46" s="1" t="s">
        <v>2310</v>
      </c>
    </row>
  </sheetData>
  <sortState xmlns:xlrd2="http://schemas.microsoft.com/office/spreadsheetml/2017/richdata2" ref="Z3:Z8">
    <sortCondition ref="Z3:Z8"/>
  </sortState>
  <pageMargins left="0.7" right="0.7" top="0.75" bottom="0.75" header="0.3" footer="0.3"/>
  <pageSetup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A183-368F-4B8A-85ED-C3608EF94A1C}">
  <sheetPr>
    <tabColor rgb="FF00B050"/>
  </sheetPr>
  <dimension ref="B1:O46"/>
  <sheetViews>
    <sheetView zoomScale="115" zoomScaleNormal="85" workbookViewId="0">
      <selection activeCell="B2" sqref="B2"/>
    </sheetView>
  </sheetViews>
  <sheetFormatPr baseColWidth="10" defaultColWidth="11.08203125" defaultRowHeight="12"/>
  <cols>
    <col min="1" max="1" width="2.08203125" style="45" customWidth="1"/>
    <col min="2" max="2" width="35.08203125" style="45" bestFit="1" customWidth="1"/>
    <col min="3" max="3" width="11.08203125" style="44" bestFit="1" customWidth="1"/>
    <col min="4" max="4" width="2.5" style="45" customWidth="1"/>
    <col min="5" max="5" width="29.08203125" style="45" bestFit="1" customWidth="1"/>
    <col min="6" max="6" width="13.5" style="44" bestFit="1" customWidth="1"/>
    <col min="7" max="7" width="1.58203125" style="45" customWidth="1"/>
    <col min="8" max="8" width="13.08203125" style="45" bestFit="1" customWidth="1"/>
    <col min="9" max="9" width="23.08203125" style="44" bestFit="1" customWidth="1"/>
    <col min="10" max="10" width="2.58203125" style="45" customWidth="1"/>
    <col min="11" max="11" width="8.58203125" style="45" customWidth="1"/>
    <col min="12" max="12" width="30.08203125" style="44" bestFit="1" customWidth="1"/>
    <col min="13" max="13" width="2.08203125" style="45" customWidth="1"/>
    <col min="14" max="14" width="15.08203125" style="45" bestFit="1" customWidth="1"/>
    <col min="15" max="15" width="22.08203125" style="44" bestFit="1" customWidth="1"/>
    <col min="16" max="16384" width="11.08203125" style="45"/>
  </cols>
  <sheetData>
    <row r="1" spans="2:15" ht="15.5">
      <c r="H1"/>
      <c r="I1"/>
    </row>
    <row r="2" spans="2:15" ht="24">
      <c r="B2" s="200"/>
      <c r="C2" s="201"/>
      <c r="D2" s="202"/>
      <c r="E2" s="40" t="s">
        <v>2211</v>
      </c>
      <c r="F2" s="41" t="s">
        <v>2311</v>
      </c>
      <c r="H2"/>
      <c r="I2"/>
    </row>
    <row r="3" spans="2:15">
      <c r="B3" s="203"/>
      <c r="C3" s="204"/>
      <c r="D3" s="205"/>
      <c r="E3" s="43" t="s">
        <v>579</v>
      </c>
      <c r="F3" s="44">
        <v>1</v>
      </c>
      <c r="H3" s="91" t="s">
        <v>2211</v>
      </c>
      <c r="I3" s="92" t="s">
        <v>2312</v>
      </c>
    </row>
    <row r="4" spans="2:15">
      <c r="B4" s="203"/>
      <c r="C4" s="204"/>
      <c r="D4" s="205"/>
      <c r="E4" s="49" t="s">
        <v>580</v>
      </c>
      <c r="F4" s="44">
        <v>1</v>
      </c>
      <c r="H4" s="48" t="s">
        <v>2313</v>
      </c>
      <c r="I4" s="184">
        <v>10</v>
      </c>
      <c r="K4" s="44" t="e">
        <f>+GETPIVOTDATA("Estado Proyecto
[Formulación (aplica para proyectos de EyD) | Precontractual | Contratual | Postcontractual]",$B$2,"Estado Proyecto
[Formulación (aplica para proyectos de EyD) | Precontractual | Contratual | Postcontractual]","Contractual")</f>
        <v>#REF!</v>
      </c>
    </row>
    <row r="5" spans="2:15">
      <c r="B5" s="203"/>
      <c r="C5" s="204"/>
      <c r="D5" s="205"/>
      <c r="E5" s="43" t="s">
        <v>963</v>
      </c>
      <c r="F5" s="44">
        <v>3</v>
      </c>
      <c r="H5" s="47" t="s">
        <v>1567</v>
      </c>
      <c r="I5" s="183">
        <v>30</v>
      </c>
      <c r="K5" s="44">
        <f>+GETPIVOTDATA("Semáforo Cronograma",$H$2,"Semáforo Cronograma","Rojo")</f>
        <v>30</v>
      </c>
    </row>
    <row r="6" spans="2:15">
      <c r="B6" s="203"/>
      <c r="C6" s="204"/>
      <c r="D6" s="205"/>
      <c r="E6" s="49" t="s">
        <v>964</v>
      </c>
      <c r="F6" s="44">
        <v>3</v>
      </c>
      <c r="H6" s="46" t="s">
        <v>2314</v>
      </c>
      <c r="I6" s="182">
        <v>109</v>
      </c>
      <c r="K6" s="44" t="e">
        <f>+K4-K5</f>
        <v>#REF!</v>
      </c>
    </row>
    <row r="7" spans="2:15" ht="15">
      <c r="B7" s="203"/>
      <c r="C7" s="204"/>
      <c r="D7" s="205"/>
      <c r="E7" s="43" t="s">
        <v>314</v>
      </c>
      <c r="F7" s="44">
        <v>3</v>
      </c>
      <c r="H7" s="43" t="s">
        <v>2213</v>
      </c>
      <c r="I7" s="44">
        <v>149</v>
      </c>
      <c r="K7" s="177" t="e">
        <f>+K6/K4</f>
        <v>#REF!</v>
      </c>
    </row>
    <row r="8" spans="2:15">
      <c r="B8" s="203"/>
      <c r="C8" s="204"/>
      <c r="D8" s="205"/>
      <c r="E8" s="49" t="s">
        <v>315</v>
      </c>
      <c r="F8" s="44">
        <v>1</v>
      </c>
    </row>
    <row r="9" spans="2:15" s="42" customFormat="1">
      <c r="B9" s="203"/>
      <c r="C9" s="204"/>
      <c r="D9" s="205"/>
      <c r="E9" s="49" t="s">
        <v>395</v>
      </c>
      <c r="F9" s="44">
        <v>2</v>
      </c>
      <c r="H9" s="91" t="s">
        <v>2211</v>
      </c>
      <c r="I9" s="92" t="s">
        <v>2315</v>
      </c>
      <c r="L9" s="41"/>
      <c r="O9" s="41"/>
    </row>
    <row r="10" spans="2:15">
      <c r="B10" s="203"/>
      <c r="C10" s="204"/>
      <c r="D10" s="205"/>
      <c r="E10" s="43" t="s">
        <v>326</v>
      </c>
      <c r="F10" s="44">
        <v>22</v>
      </c>
      <c r="H10" s="48" t="s">
        <v>2313</v>
      </c>
      <c r="I10" s="184">
        <v>10</v>
      </c>
    </row>
    <row r="11" spans="2:15">
      <c r="B11" s="203"/>
      <c r="C11" s="204"/>
      <c r="D11" s="205"/>
      <c r="E11" s="49" t="s">
        <v>1472</v>
      </c>
      <c r="F11" s="44">
        <v>3</v>
      </c>
      <c r="H11" s="43" t="s">
        <v>372</v>
      </c>
      <c r="I11" s="44">
        <v>10</v>
      </c>
    </row>
    <row r="12" spans="2:15">
      <c r="B12" s="203"/>
      <c r="C12" s="204"/>
      <c r="D12" s="205"/>
      <c r="E12" s="49" t="s">
        <v>327</v>
      </c>
      <c r="F12" s="44">
        <v>1</v>
      </c>
      <c r="H12" s="47" t="s">
        <v>1567</v>
      </c>
      <c r="I12" s="183">
        <v>1</v>
      </c>
    </row>
    <row r="13" spans="2:15">
      <c r="B13" s="203"/>
      <c r="C13" s="204"/>
      <c r="D13" s="205"/>
      <c r="E13" s="49" t="s">
        <v>342</v>
      </c>
      <c r="F13" s="44">
        <v>8</v>
      </c>
      <c r="H13" s="43" t="s">
        <v>534</v>
      </c>
      <c r="I13" s="44">
        <v>7</v>
      </c>
    </row>
    <row r="14" spans="2:15">
      <c r="B14" s="203"/>
      <c r="C14" s="204"/>
      <c r="D14" s="205"/>
      <c r="E14" s="49" t="s">
        <v>529</v>
      </c>
      <c r="F14" s="44">
        <v>8</v>
      </c>
      <c r="H14" s="43" t="s">
        <v>127</v>
      </c>
      <c r="I14" s="44">
        <v>4</v>
      </c>
    </row>
    <row r="15" spans="2:15">
      <c r="B15" s="203"/>
      <c r="C15" s="204"/>
      <c r="D15" s="205"/>
      <c r="E15" s="49" t="s">
        <v>1519</v>
      </c>
      <c r="F15" s="44">
        <v>2</v>
      </c>
      <c r="H15" s="46" t="s">
        <v>2314</v>
      </c>
      <c r="I15" s="182">
        <v>28</v>
      </c>
    </row>
    <row r="16" spans="2:15">
      <c r="B16" s="203"/>
      <c r="C16" s="204"/>
      <c r="D16" s="205"/>
      <c r="E16" s="43" t="s">
        <v>408</v>
      </c>
      <c r="F16" s="44">
        <v>10</v>
      </c>
      <c r="H16" s="43" t="s">
        <v>1507</v>
      </c>
      <c r="I16" s="44">
        <v>5</v>
      </c>
    </row>
    <row r="17" spans="2:9">
      <c r="B17" s="203"/>
      <c r="C17" s="204"/>
      <c r="D17" s="205"/>
      <c r="E17" s="49" t="s">
        <v>409</v>
      </c>
      <c r="F17" s="44">
        <v>6</v>
      </c>
      <c r="H17" s="43" t="s">
        <v>1536</v>
      </c>
      <c r="I17" s="44">
        <v>1</v>
      </c>
    </row>
    <row r="18" spans="2:9">
      <c r="B18" s="203"/>
      <c r="C18" s="204"/>
      <c r="D18" s="205"/>
      <c r="E18" s="49" t="s">
        <v>455</v>
      </c>
      <c r="F18" s="44">
        <v>2</v>
      </c>
      <c r="H18" s="43" t="s">
        <v>229</v>
      </c>
      <c r="I18" s="44">
        <v>31</v>
      </c>
    </row>
    <row r="19" spans="2:9">
      <c r="B19" s="206"/>
      <c r="C19" s="207"/>
      <c r="D19" s="208"/>
      <c r="E19" s="49" t="s">
        <v>437</v>
      </c>
      <c r="F19" s="44">
        <v>1</v>
      </c>
      <c r="H19" s="43" t="s">
        <v>1288</v>
      </c>
      <c r="I19" s="44">
        <v>51</v>
      </c>
    </row>
    <row r="20" spans="2:9">
      <c r="E20" s="49" t="s">
        <v>1515</v>
      </c>
      <c r="F20" s="44">
        <v>1</v>
      </c>
      <c r="H20" s="43" t="s">
        <v>2316</v>
      </c>
    </row>
    <row r="21" spans="2:9">
      <c r="E21" s="43" t="s">
        <v>607</v>
      </c>
      <c r="F21" s="44">
        <v>6</v>
      </c>
      <c r="H21" s="43" t="s">
        <v>2213</v>
      </c>
      <c r="I21" s="44">
        <v>148</v>
      </c>
    </row>
    <row r="22" spans="2:9" ht="15.5">
      <c r="E22" s="49" t="s">
        <v>608</v>
      </c>
      <c r="F22" s="44">
        <v>6</v>
      </c>
      <c r="H22"/>
      <c r="I22"/>
    </row>
    <row r="23" spans="2:9">
      <c r="E23" s="43" t="s">
        <v>596</v>
      </c>
      <c r="F23" s="44">
        <v>46</v>
      </c>
      <c r="H23" s="91" t="s">
        <v>2211</v>
      </c>
      <c r="I23" s="92" t="s">
        <v>2317</v>
      </c>
    </row>
    <row r="24" spans="2:9">
      <c r="E24" s="49" t="s">
        <v>597</v>
      </c>
      <c r="F24" s="44">
        <v>3</v>
      </c>
      <c r="H24" s="43" t="s">
        <v>124</v>
      </c>
      <c r="I24" s="44">
        <v>139</v>
      </c>
    </row>
    <row r="25" spans="2:9">
      <c r="E25" s="49" t="s">
        <v>1063</v>
      </c>
      <c r="F25" s="44">
        <v>43</v>
      </c>
      <c r="H25" s="48" t="s">
        <v>1568</v>
      </c>
      <c r="I25" s="184">
        <v>9</v>
      </c>
    </row>
    <row r="26" spans="2:9">
      <c r="E26" s="43" t="s">
        <v>732</v>
      </c>
      <c r="F26" s="44">
        <v>2</v>
      </c>
      <c r="H26" s="43" t="s">
        <v>2316</v>
      </c>
    </row>
    <row r="27" spans="2:9">
      <c r="E27" s="49" t="s">
        <v>733</v>
      </c>
      <c r="F27" s="44">
        <v>1</v>
      </c>
      <c r="H27" s="43" t="s">
        <v>2213</v>
      </c>
      <c r="I27" s="44">
        <v>148</v>
      </c>
    </row>
    <row r="28" spans="2:9">
      <c r="E28" s="49" t="s">
        <v>746</v>
      </c>
      <c r="F28" s="44">
        <v>1</v>
      </c>
    </row>
    <row r="29" spans="2:9">
      <c r="E29" s="43" t="s">
        <v>366</v>
      </c>
      <c r="F29" s="44">
        <v>3</v>
      </c>
    </row>
    <row r="30" spans="2:9">
      <c r="E30" s="49" t="s">
        <v>367</v>
      </c>
      <c r="F30" s="44">
        <v>3</v>
      </c>
    </row>
    <row r="31" spans="2:9">
      <c r="E31" s="43" t="s">
        <v>119</v>
      </c>
      <c r="F31" s="44">
        <v>25</v>
      </c>
    </row>
    <row r="32" spans="2:9">
      <c r="E32" s="49" t="s">
        <v>120</v>
      </c>
      <c r="F32" s="44">
        <v>21</v>
      </c>
    </row>
    <row r="33" spans="5:6">
      <c r="E33" s="49" t="s">
        <v>391</v>
      </c>
      <c r="F33" s="44">
        <v>3</v>
      </c>
    </row>
    <row r="34" spans="5:6">
      <c r="E34" s="49" t="s">
        <v>1519</v>
      </c>
      <c r="F34" s="44">
        <v>1</v>
      </c>
    </row>
    <row r="35" spans="5:6">
      <c r="E35" s="43" t="s">
        <v>763</v>
      </c>
      <c r="F35" s="44">
        <v>8</v>
      </c>
    </row>
    <row r="36" spans="5:6">
      <c r="E36" s="49" t="s">
        <v>764</v>
      </c>
      <c r="F36" s="44">
        <v>8</v>
      </c>
    </row>
    <row r="37" spans="5:6">
      <c r="E37" s="43" t="s">
        <v>2318</v>
      </c>
      <c r="F37" s="44">
        <v>20</v>
      </c>
    </row>
    <row r="38" spans="5:6">
      <c r="E38" s="49" t="s">
        <v>1472</v>
      </c>
      <c r="F38" s="44">
        <v>1</v>
      </c>
    </row>
    <row r="39" spans="5:6">
      <c r="E39" s="49" t="s">
        <v>2319</v>
      </c>
      <c r="F39" s="44">
        <v>17</v>
      </c>
    </row>
    <row r="40" spans="5:6">
      <c r="E40" s="49" t="s">
        <v>2320</v>
      </c>
      <c r="F40" s="44">
        <v>1</v>
      </c>
    </row>
    <row r="41" spans="5:6">
      <c r="E41" s="49" t="s">
        <v>2321</v>
      </c>
      <c r="F41" s="44">
        <v>1</v>
      </c>
    </row>
    <row r="42" spans="5:6">
      <c r="E42" s="43" t="s">
        <v>2213</v>
      </c>
      <c r="F42" s="44">
        <v>149</v>
      </c>
    </row>
    <row r="45" spans="5:6" ht="15.5">
      <c r="E45"/>
      <c r="F45" s="77"/>
    </row>
    <row r="46" spans="5:6" ht="15.5">
      <c r="E46"/>
      <c r="F46" s="77"/>
    </row>
  </sheetData>
  <pageMargins left="0.7" right="0.7" top="0.75" bottom="0.75" header="0.3" footer="0.3"/>
  <pageSetup orientation="portrait"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794C-206F-4894-BC34-4DD2CEADE6B9}">
  <dimension ref="B2:AB207"/>
  <sheetViews>
    <sheetView zoomScale="40" zoomScaleNormal="40" workbookViewId="0">
      <selection activeCell="Q48" sqref="Q48"/>
    </sheetView>
  </sheetViews>
  <sheetFormatPr baseColWidth="10" defaultColWidth="11.08203125" defaultRowHeight="15.75" customHeight="1"/>
  <cols>
    <col min="1" max="1" width="1.08203125" style="93" customWidth="1"/>
    <col min="2" max="2" width="6.58203125" style="93" customWidth="1"/>
    <col min="3" max="3" width="11.08203125" style="93"/>
    <col min="4" max="4" width="17.58203125" style="93" customWidth="1"/>
    <col min="5" max="5" width="2.58203125" style="93" customWidth="1"/>
    <col min="6" max="6" width="5.58203125" style="93" customWidth="1"/>
    <col min="7" max="7" width="13.08203125" style="94" customWidth="1"/>
    <col min="8" max="8" width="13.08203125" style="93" customWidth="1"/>
    <col min="9" max="10" width="11.08203125" style="93"/>
    <col min="11" max="11" width="44.58203125" style="93" customWidth="1"/>
    <col min="12" max="12" width="2.58203125" style="93" customWidth="1"/>
    <col min="13" max="15" width="11.08203125" style="93"/>
    <col min="16" max="16" width="2.58203125" style="93" customWidth="1"/>
    <col min="17" max="17" width="44.08203125" style="93" customWidth="1"/>
    <col min="18" max="19" width="4.58203125" style="93" customWidth="1"/>
    <col min="20" max="20" width="27.08203125" style="93" customWidth="1"/>
    <col min="21" max="21" width="11.08203125" style="94"/>
    <col min="22" max="22" width="11.08203125" style="93" customWidth="1"/>
    <col min="23" max="23" width="102.08203125" style="93" bestFit="1" customWidth="1"/>
    <col min="24" max="24" width="25.58203125" style="139" bestFit="1" customWidth="1"/>
    <col min="25" max="25" width="15.58203125" style="169" customWidth="1"/>
    <col min="26" max="26" width="23.58203125" style="170" customWidth="1"/>
    <col min="27" max="16384" width="11.08203125" style="93"/>
  </cols>
  <sheetData>
    <row r="2" spans="2:21" ht="15.75" customHeight="1">
      <c r="T2" s="140" t="s">
        <v>2322</v>
      </c>
      <c r="U2" s="141"/>
    </row>
    <row r="3" spans="2:21" ht="16">
      <c r="B3" s="115"/>
      <c r="C3" s="95"/>
      <c r="D3" s="95"/>
      <c r="E3" s="95"/>
      <c r="F3" s="95"/>
      <c r="G3" s="96"/>
      <c r="H3" s="95"/>
      <c r="I3" s="95"/>
      <c r="J3" s="95"/>
      <c r="K3" s="95"/>
      <c r="L3" s="95"/>
      <c r="M3" s="95"/>
      <c r="N3" s="95"/>
      <c r="O3" s="95"/>
      <c r="P3" s="95"/>
      <c r="Q3" s="115"/>
      <c r="R3" s="95"/>
    </row>
    <row r="4" spans="2:21" ht="16">
      <c r="B4" s="95"/>
      <c r="C4" s="122"/>
      <c r="D4" s="123"/>
      <c r="E4" s="123"/>
      <c r="F4" s="123"/>
      <c r="G4" s="124"/>
      <c r="H4" s="123"/>
      <c r="I4" s="123"/>
      <c r="J4" s="123"/>
      <c r="K4" s="123"/>
      <c r="L4" s="123"/>
      <c r="M4" s="123"/>
      <c r="N4" s="123"/>
      <c r="O4" s="123"/>
      <c r="P4" s="123"/>
      <c r="Q4" s="125"/>
      <c r="R4" s="95"/>
      <c r="T4" s="142" t="s">
        <v>228</v>
      </c>
      <c r="U4" s="144" t="e">
        <f>+VLOOKUP($T4,Dinámicas!$B$3:$C$13,2,FALSE)</f>
        <v>#N/A</v>
      </c>
    </row>
    <row r="5" spans="2:21" ht="47.5">
      <c r="B5" s="95"/>
      <c r="C5" s="121"/>
      <c r="D5" s="97" t="s">
        <v>2323</v>
      </c>
      <c r="E5" s="97"/>
      <c r="F5" s="97"/>
      <c r="G5" s="98"/>
      <c r="H5" s="97"/>
      <c r="I5" s="97"/>
      <c r="J5" s="97"/>
      <c r="K5" s="95"/>
      <c r="L5" s="95"/>
      <c r="M5" s="95"/>
      <c r="N5" s="95"/>
      <c r="O5" s="95"/>
      <c r="P5" s="95"/>
      <c r="Q5" s="115"/>
      <c r="R5" s="95"/>
      <c r="T5" s="145" t="s">
        <v>229</v>
      </c>
      <c r="U5" s="145" t="e">
        <f>+VLOOKUP($T5,Dinámicas!$B$3:$C$13,2,FALSE)</f>
        <v>#N/A</v>
      </c>
    </row>
    <row r="6" spans="2:21" ht="16">
      <c r="B6" s="95"/>
      <c r="C6" s="121"/>
      <c r="D6" s="95"/>
      <c r="E6" s="95"/>
      <c r="F6" s="95"/>
      <c r="G6" s="96"/>
      <c r="H6" s="95"/>
      <c r="I6" s="95"/>
      <c r="J6" s="95"/>
      <c r="K6" s="95"/>
      <c r="L6" s="95"/>
      <c r="M6" s="95"/>
      <c r="N6" s="95"/>
      <c r="O6" s="95"/>
      <c r="P6" s="95"/>
      <c r="Q6" s="115"/>
      <c r="R6" s="95"/>
      <c r="T6" s="145" t="s">
        <v>534</v>
      </c>
      <c r="U6" s="145" t="e">
        <f>+VLOOKUP($T6,Dinámicas!$B$3:$C$13,2,FALSE)</f>
        <v>#N/A</v>
      </c>
    </row>
    <row r="7" spans="2:21" ht="16">
      <c r="B7" s="95"/>
      <c r="C7" s="121"/>
      <c r="D7" s="95"/>
      <c r="E7" s="95"/>
      <c r="F7" s="95"/>
      <c r="G7" s="96"/>
      <c r="H7" s="95"/>
      <c r="I7" s="95"/>
      <c r="J7" s="95"/>
      <c r="K7" s="95"/>
      <c r="L7" s="95"/>
      <c r="M7" s="95"/>
      <c r="N7" s="95"/>
      <c r="O7" s="95"/>
      <c r="P7" s="95"/>
      <c r="Q7" s="115"/>
      <c r="R7" s="95"/>
      <c r="T7" s="142" t="s">
        <v>1287</v>
      </c>
      <c r="U7" s="144" t="e">
        <f>+VLOOKUP($T7,Dinámicas!$B$3:$C$13,2,FALSE)</f>
        <v>#N/A</v>
      </c>
    </row>
    <row r="8" spans="2:21" ht="15.65" customHeight="1">
      <c r="B8" s="95"/>
      <c r="C8" s="121"/>
      <c r="D8" s="350" t="e">
        <f>+D16+D18+D21+D24</f>
        <v>#N/A</v>
      </c>
      <c r="E8" s="350"/>
      <c r="F8" s="350"/>
      <c r="G8" s="350"/>
      <c r="H8" s="350"/>
      <c r="I8" s="95"/>
      <c r="J8" s="95"/>
      <c r="K8" s="95"/>
      <c r="L8" s="95"/>
      <c r="M8" s="95"/>
      <c r="N8" s="95"/>
      <c r="O8" s="95"/>
      <c r="P8" s="95"/>
      <c r="Q8" s="115"/>
      <c r="R8" s="95"/>
      <c r="T8" s="145" t="s">
        <v>2294</v>
      </c>
      <c r="U8" s="145" t="e">
        <f>+VLOOKUP($T8,Dinámicas!$B$3:$C$13,2,FALSE)</f>
        <v>#N/A</v>
      </c>
    </row>
    <row r="9" spans="2:21" ht="15.65" customHeight="1">
      <c r="B9" s="95"/>
      <c r="C9" s="121"/>
      <c r="D9" s="350"/>
      <c r="E9" s="350"/>
      <c r="F9" s="350"/>
      <c r="G9" s="350"/>
      <c r="H9" s="350"/>
      <c r="I9" s="95"/>
      <c r="J9" s="95"/>
      <c r="K9" s="95"/>
      <c r="L9" s="95"/>
      <c r="M9" s="95"/>
      <c r="N9" s="95"/>
      <c r="O9" s="95"/>
      <c r="P9" s="95"/>
      <c r="Q9" s="115"/>
      <c r="R9" s="95"/>
      <c r="T9" s="150" t="s">
        <v>1506</v>
      </c>
      <c r="U9" s="151" t="e">
        <f>+VLOOKUP($T9,Dinámicas!$B$3:$C$13,2,FALSE)</f>
        <v>#N/A</v>
      </c>
    </row>
    <row r="10" spans="2:21" ht="15.65" customHeight="1">
      <c r="B10" s="95"/>
      <c r="C10" s="121"/>
      <c r="D10" s="350"/>
      <c r="E10" s="350"/>
      <c r="F10" s="350"/>
      <c r="G10" s="350"/>
      <c r="H10" s="350"/>
      <c r="I10" s="95"/>
      <c r="J10" s="95"/>
      <c r="K10" s="95"/>
      <c r="L10" s="95"/>
      <c r="M10" s="95"/>
      <c r="N10" s="95"/>
      <c r="O10" s="95"/>
      <c r="P10" s="95"/>
      <c r="Q10" s="115"/>
      <c r="R10" s="95"/>
      <c r="T10" s="152" t="s">
        <v>1507</v>
      </c>
      <c r="U10" s="152" t="e">
        <f>+VLOOKUP($T10,Dinámicas!$B$3:$C$13,2,FALSE)</f>
        <v>#N/A</v>
      </c>
    </row>
    <row r="11" spans="2:21" ht="15.65" customHeight="1">
      <c r="B11" s="95"/>
      <c r="C11" s="121"/>
      <c r="D11" s="350"/>
      <c r="E11" s="350"/>
      <c r="F11" s="350"/>
      <c r="G11" s="350"/>
      <c r="H11" s="350"/>
      <c r="I11" s="95"/>
      <c r="J11" s="95"/>
      <c r="K11" s="95"/>
      <c r="L11" s="95"/>
      <c r="M11" s="95"/>
      <c r="N11" s="95"/>
      <c r="O11" s="95"/>
      <c r="P11" s="95"/>
      <c r="Q11" s="115"/>
      <c r="R11" s="95"/>
      <c r="T11" s="152" t="s">
        <v>1536</v>
      </c>
      <c r="U11" s="152" t="e">
        <f>+VLOOKUP($T11,Dinámicas!$B$3:$C$13,2,FALSE)</f>
        <v>#N/A</v>
      </c>
    </row>
    <row r="12" spans="2:21" ht="15.65" customHeight="1">
      <c r="B12" s="95"/>
      <c r="C12" s="121"/>
      <c r="D12" s="350"/>
      <c r="E12" s="350"/>
      <c r="F12" s="350"/>
      <c r="G12" s="350"/>
      <c r="H12" s="350"/>
      <c r="I12" s="95"/>
      <c r="J12" s="95"/>
      <c r="K12" s="95"/>
      <c r="L12" s="95"/>
      <c r="M12" s="95"/>
      <c r="N12" s="95"/>
      <c r="O12" s="95"/>
      <c r="P12" s="95"/>
      <c r="Q12" s="115"/>
      <c r="R12" s="95"/>
      <c r="T12" s="142" t="s">
        <v>126</v>
      </c>
      <c r="U12" s="144" t="e">
        <f>+VLOOKUP($T12,Dinámicas!$B$3:$C$13,2,FALSE)</f>
        <v>#N/A</v>
      </c>
    </row>
    <row r="13" spans="2:21" ht="15.65" customHeight="1">
      <c r="B13" s="95"/>
      <c r="C13" s="121"/>
      <c r="D13" s="350"/>
      <c r="E13" s="350"/>
      <c r="F13" s="350"/>
      <c r="G13" s="350"/>
      <c r="H13" s="350"/>
      <c r="I13" s="95"/>
      <c r="J13" s="95"/>
      <c r="K13" s="95"/>
      <c r="L13" s="95"/>
      <c r="M13" s="95"/>
      <c r="N13" s="95"/>
      <c r="O13" s="95"/>
      <c r="P13" s="95"/>
      <c r="Q13" s="115"/>
      <c r="R13" s="95"/>
      <c r="T13" s="145" t="s">
        <v>372</v>
      </c>
      <c r="U13" s="145" t="e">
        <f>+VLOOKUP($T13,Dinámicas!$B$3:$C$13,2,FALSE)</f>
        <v>#N/A</v>
      </c>
    </row>
    <row r="14" spans="2:21" ht="21.5">
      <c r="B14" s="95"/>
      <c r="C14" s="121"/>
      <c r="D14" s="351" t="s">
        <v>2324</v>
      </c>
      <c r="E14" s="351"/>
      <c r="F14" s="351"/>
      <c r="G14" s="351"/>
      <c r="H14" s="351"/>
      <c r="I14" s="95"/>
      <c r="J14" s="95"/>
      <c r="K14" s="95"/>
      <c r="L14" s="95"/>
      <c r="M14" s="95"/>
      <c r="N14" s="95"/>
      <c r="O14" s="95"/>
      <c r="P14" s="95"/>
      <c r="Q14" s="115"/>
      <c r="R14" s="95"/>
      <c r="T14" s="145" t="s">
        <v>127</v>
      </c>
      <c r="U14" s="145" t="e">
        <f>+VLOOKUP($T14,Dinámicas!$B$3:$C$13,2,FALSE)</f>
        <v>#N/A</v>
      </c>
    </row>
    <row r="15" spans="2:21" ht="16">
      <c r="B15" s="95"/>
      <c r="C15" s="121"/>
      <c r="D15" s="95"/>
      <c r="E15" s="95"/>
      <c r="F15" s="95"/>
      <c r="G15" s="96"/>
      <c r="H15" s="95"/>
      <c r="I15" s="95"/>
      <c r="J15" s="95"/>
      <c r="K15" s="95"/>
      <c r="L15" s="95"/>
      <c r="M15" s="95"/>
      <c r="N15" s="95"/>
      <c r="O15" s="95"/>
      <c r="P15" s="95"/>
      <c r="Q15" s="115"/>
      <c r="R15" s="95"/>
    </row>
    <row r="16" spans="2:21" ht="63">
      <c r="B16" s="95"/>
      <c r="C16" s="121"/>
      <c r="D16" s="118" t="e">
        <f>+VLOOKUP($F16,$T$4:$U$11,2,FALSE)</f>
        <v>#N/A</v>
      </c>
      <c r="E16" s="95"/>
      <c r="F16" s="349" t="s">
        <v>1287</v>
      </c>
      <c r="G16" s="349"/>
      <c r="H16" s="349"/>
      <c r="I16" s="95"/>
      <c r="J16" s="95"/>
      <c r="K16" s="113"/>
      <c r="L16" s="113"/>
      <c r="M16" s="113"/>
      <c r="N16" s="113"/>
      <c r="O16" s="113"/>
      <c r="P16" s="113"/>
      <c r="Q16" s="126"/>
      <c r="R16" s="95"/>
      <c r="T16" s="142" t="s">
        <v>2325</v>
      </c>
      <c r="U16" s="143" t="e">
        <f>+U4+U7+U12</f>
        <v>#N/A</v>
      </c>
    </row>
    <row r="17" spans="2:21" ht="40.4" customHeight="1">
      <c r="B17" s="95"/>
      <c r="C17" s="117"/>
      <c r="D17" s="99"/>
      <c r="E17" s="95"/>
      <c r="F17" s="119" t="e">
        <f>+VLOOKUP($G17,$T$4:$U$11,2,FALSE)</f>
        <v>#N/A</v>
      </c>
      <c r="G17" s="120" t="s">
        <v>2326</v>
      </c>
      <c r="H17" s="95"/>
      <c r="I17" s="95"/>
      <c r="J17" s="117"/>
      <c r="K17" s="113"/>
      <c r="L17" s="113"/>
      <c r="M17" s="113"/>
      <c r="N17" s="113"/>
      <c r="O17" s="113"/>
      <c r="P17" s="113"/>
      <c r="Q17" s="126"/>
      <c r="R17" s="95"/>
    </row>
    <row r="18" spans="2:21" ht="63">
      <c r="B18" s="95"/>
      <c r="C18" s="117"/>
      <c r="D18" s="118" t="e">
        <f>+VLOOKUP($F18,$T$4:$U$11,2,FALSE)</f>
        <v>#N/A</v>
      </c>
      <c r="E18" s="95"/>
      <c r="F18" s="349" t="s">
        <v>228</v>
      </c>
      <c r="G18" s="349"/>
      <c r="H18" s="349"/>
      <c r="I18" s="95"/>
      <c r="J18" s="117"/>
      <c r="K18" s="113"/>
      <c r="L18" s="113"/>
      <c r="M18" s="113"/>
      <c r="N18" s="113"/>
      <c r="O18" s="113"/>
      <c r="P18" s="113"/>
      <c r="Q18" s="126"/>
      <c r="R18" s="95"/>
    </row>
    <row r="19" spans="2:21" ht="40.4" customHeight="1">
      <c r="B19" s="95"/>
      <c r="C19" s="117"/>
      <c r="D19" s="99"/>
      <c r="E19" s="96"/>
      <c r="F19" s="119" t="e">
        <f>+VLOOKUP($G19,$T$4:$U$11,2,FALSE)</f>
        <v>#N/A</v>
      </c>
      <c r="G19" s="120" t="s">
        <v>2327</v>
      </c>
      <c r="H19" s="95"/>
      <c r="I19" s="95"/>
      <c r="J19" s="117"/>
      <c r="K19" s="113"/>
      <c r="L19" s="113"/>
      <c r="M19" s="113"/>
      <c r="N19" s="113"/>
      <c r="O19" s="113"/>
      <c r="P19" s="113"/>
      <c r="Q19" s="126"/>
      <c r="R19" s="95"/>
    </row>
    <row r="20" spans="2:21" ht="40.4" customHeight="1">
      <c r="B20" s="95"/>
      <c r="C20" s="117"/>
      <c r="D20" s="99"/>
      <c r="E20" s="96"/>
      <c r="F20" s="119" t="e">
        <f>+VLOOKUP($G20,$T$4:$U$11,2,FALSE)</f>
        <v>#N/A</v>
      </c>
      <c r="G20" s="120" t="s">
        <v>534</v>
      </c>
      <c r="H20" s="95"/>
      <c r="I20" s="95"/>
      <c r="J20" s="117"/>
      <c r="K20" s="113"/>
      <c r="L20" s="113"/>
      <c r="M20" s="113"/>
      <c r="N20" s="113"/>
      <c r="O20" s="113"/>
      <c r="P20" s="113"/>
      <c r="Q20" s="126"/>
      <c r="R20" s="95"/>
    </row>
    <row r="21" spans="2:21" ht="63">
      <c r="B21" s="95"/>
      <c r="C21" s="117"/>
      <c r="D21" s="118" t="e">
        <f>+VLOOKUP($F21,T4:U14,2,FALSE)</f>
        <v>#N/A</v>
      </c>
      <c r="E21" s="95"/>
      <c r="F21" s="349" t="s">
        <v>126</v>
      </c>
      <c r="G21" s="349"/>
      <c r="H21" s="349"/>
      <c r="I21" s="95"/>
      <c r="J21" s="117"/>
      <c r="K21" s="113"/>
      <c r="L21" s="113"/>
      <c r="M21" s="113"/>
      <c r="N21" s="113"/>
      <c r="O21" s="113"/>
      <c r="P21" s="113"/>
      <c r="Q21" s="126"/>
      <c r="R21" s="95"/>
    </row>
    <row r="22" spans="2:21" ht="40.4" customHeight="1">
      <c r="B22" s="95"/>
      <c r="C22" s="117"/>
      <c r="D22" s="99"/>
      <c r="E22" s="95"/>
      <c r="F22" s="119" t="e">
        <f>+VLOOKUP($G22,$T$4:$U$14,2,FALSE)</f>
        <v>#N/A</v>
      </c>
      <c r="G22" s="120" t="s">
        <v>127</v>
      </c>
      <c r="H22" s="95"/>
      <c r="I22" s="95"/>
      <c r="J22" s="117"/>
      <c r="K22" s="113"/>
      <c r="L22" s="113"/>
      <c r="M22" s="113"/>
      <c r="N22" s="113"/>
      <c r="O22" s="113"/>
      <c r="P22" s="113"/>
      <c r="Q22" s="126"/>
      <c r="R22" s="95"/>
    </row>
    <row r="23" spans="2:21" ht="40.4" customHeight="1">
      <c r="B23" s="95"/>
      <c r="C23" s="117"/>
      <c r="D23" s="99"/>
      <c r="E23" s="95"/>
      <c r="F23" s="119" t="e">
        <f>+VLOOKUP($G23,$T$4:$U$14,2,FALSE)</f>
        <v>#N/A</v>
      </c>
      <c r="G23" s="120" t="s">
        <v>372</v>
      </c>
      <c r="H23" s="95"/>
      <c r="I23" s="95"/>
      <c r="J23" s="117"/>
      <c r="K23" s="113"/>
      <c r="L23" s="113"/>
      <c r="M23" s="113"/>
      <c r="N23" s="113"/>
      <c r="O23" s="113"/>
      <c r="P23" s="113"/>
      <c r="Q23" s="126"/>
      <c r="R23" s="95"/>
    </row>
    <row r="24" spans="2:21" ht="59.9" customHeight="1">
      <c r="B24" s="95"/>
      <c r="C24" s="117"/>
      <c r="D24" s="118" t="e">
        <f>+VLOOKUP($F24,T7:U17,2,FALSE)</f>
        <v>#N/A</v>
      </c>
      <c r="E24" s="95"/>
      <c r="F24" s="349" t="s">
        <v>1506</v>
      </c>
      <c r="G24" s="349"/>
      <c r="H24" s="349"/>
      <c r="I24" s="95"/>
      <c r="J24" s="117"/>
      <c r="K24" s="113"/>
      <c r="L24" s="113"/>
      <c r="M24" s="113"/>
      <c r="N24" s="113"/>
      <c r="O24" s="113"/>
      <c r="P24" s="113"/>
      <c r="Q24" s="126"/>
      <c r="R24" s="95"/>
    </row>
    <row r="25" spans="2:21" ht="40.4" customHeight="1">
      <c r="B25" s="95"/>
      <c r="C25" s="117"/>
      <c r="D25" s="99"/>
      <c r="E25" s="95"/>
      <c r="F25" s="119"/>
      <c r="G25" s="120"/>
      <c r="H25" s="95"/>
      <c r="I25" s="95"/>
      <c r="J25" s="117"/>
      <c r="K25" s="113"/>
      <c r="L25" s="113"/>
      <c r="M25" s="113"/>
      <c r="N25" s="113"/>
      <c r="O25" s="113"/>
      <c r="P25" s="113"/>
      <c r="Q25" s="126"/>
      <c r="R25" s="95"/>
    </row>
    <row r="26" spans="2:21" ht="40.4" customHeight="1">
      <c r="B26" s="95"/>
      <c r="C26" s="117"/>
      <c r="D26" s="99"/>
      <c r="E26" s="95"/>
      <c r="F26" s="119"/>
      <c r="G26" s="120"/>
      <c r="H26" s="95"/>
      <c r="I26" s="95"/>
      <c r="J26" s="117"/>
      <c r="K26" s="113"/>
      <c r="L26" s="113"/>
      <c r="M26" s="113"/>
      <c r="N26" s="113"/>
      <c r="O26" s="113"/>
      <c r="P26" s="113"/>
      <c r="Q26" s="126"/>
      <c r="R26" s="95"/>
    </row>
    <row r="27" spans="2:21" ht="16">
      <c r="B27" s="95"/>
      <c r="C27" s="117"/>
      <c r="D27" s="113"/>
      <c r="E27" s="113"/>
      <c r="F27" s="113"/>
      <c r="G27" s="114"/>
      <c r="H27" s="113"/>
      <c r="I27" s="113"/>
      <c r="J27" s="117"/>
      <c r="K27" s="113"/>
      <c r="L27" s="113"/>
      <c r="M27" s="113"/>
      <c r="N27" s="113"/>
      <c r="O27" s="113"/>
      <c r="P27" s="113"/>
      <c r="Q27" s="126"/>
      <c r="R27" s="95"/>
    </row>
    <row r="28" spans="2:21" ht="60" customHeight="1">
      <c r="B28" s="95"/>
      <c r="C28" s="117"/>
      <c r="D28" s="113"/>
      <c r="E28" s="113"/>
      <c r="F28" s="113"/>
      <c r="G28" s="114"/>
      <c r="H28" s="113"/>
      <c r="I28" s="113"/>
      <c r="J28" s="117"/>
      <c r="K28" s="100"/>
      <c r="L28" s="100"/>
      <c r="M28" s="100"/>
      <c r="N28" s="100"/>
      <c r="O28" s="101">
        <f>+U28</f>
        <v>1</v>
      </c>
      <c r="P28" s="100"/>
      <c r="Q28" s="127" t="s">
        <v>2328</v>
      </c>
      <c r="R28" s="102"/>
      <c r="S28" s="147"/>
      <c r="T28" s="146" t="s">
        <v>579</v>
      </c>
      <c r="U28" s="145">
        <f>+VLOOKUP($T28,Dinámicas!$E$3:$F$36,2,FALSE)</f>
        <v>1</v>
      </c>
    </row>
    <row r="29" spans="2:21" ht="50.15" customHeight="1">
      <c r="B29" s="95"/>
      <c r="C29" s="117"/>
      <c r="D29" s="113"/>
      <c r="E29" s="113"/>
      <c r="F29" s="113"/>
      <c r="G29" s="114"/>
      <c r="H29" s="113"/>
      <c r="I29" s="113"/>
      <c r="J29" s="117"/>
      <c r="K29" s="103" t="s">
        <v>2329</v>
      </c>
      <c r="L29" s="104"/>
      <c r="M29" s="105">
        <f>+U29</f>
        <v>3</v>
      </c>
      <c r="N29" s="104"/>
      <c r="O29" s="106"/>
      <c r="P29" s="100"/>
      <c r="Q29" s="128"/>
      <c r="R29" s="107"/>
      <c r="S29" s="148"/>
      <c r="T29" s="146" t="s">
        <v>963</v>
      </c>
      <c r="U29" s="145">
        <f>+VLOOKUP($T29,Dinámicas!$E$3:$F$36,2,FALSE)</f>
        <v>3</v>
      </c>
    </row>
    <row r="30" spans="2:21" ht="50.15" customHeight="1">
      <c r="B30" s="95"/>
      <c r="C30" s="117"/>
      <c r="D30" s="113"/>
      <c r="E30" s="113"/>
      <c r="F30" s="113"/>
      <c r="G30" s="114"/>
      <c r="H30" s="113"/>
      <c r="I30" s="113"/>
      <c r="J30" s="117"/>
      <c r="K30" s="108"/>
      <c r="L30" s="104"/>
      <c r="M30" s="109"/>
      <c r="N30" s="104"/>
      <c r="O30" s="110">
        <f>+U30</f>
        <v>3</v>
      </c>
      <c r="P30" s="100"/>
      <c r="Q30" s="127" t="s">
        <v>2330</v>
      </c>
      <c r="R30" s="102"/>
      <c r="S30" s="147"/>
      <c r="T30" s="146" t="s">
        <v>314</v>
      </c>
      <c r="U30" s="145">
        <f>+VLOOKUP($T30,Dinámicas!$E$3:$F$36,2,FALSE)</f>
        <v>3</v>
      </c>
    </row>
    <row r="31" spans="2:21" ht="75.650000000000006" customHeight="1">
      <c r="B31" s="95"/>
      <c r="C31" s="117"/>
      <c r="D31" s="113"/>
      <c r="E31" s="113"/>
      <c r="F31" s="113"/>
      <c r="G31" s="114"/>
      <c r="H31" s="113"/>
      <c r="I31" s="113"/>
      <c r="J31" s="117"/>
      <c r="K31" s="103" t="s">
        <v>2331</v>
      </c>
      <c r="L31" s="104"/>
      <c r="M31" s="105">
        <f>+U31</f>
        <v>22</v>
      </c>
      <c r="N31" s="104"/>
      <c r="O31" s="106"/>
      <c r="P31" s="100"/>
      <c r="Q31" s="129"/>
      <c r="R31" s="111"/>
      <c r="S31" s="149"/>
      <c r="T31" s="146" t="s">
        <v>326</v>
      </c>
      <c r="U31" s="145">
        <f>+VLOOKUP($T31,Dinámicas!$E$3:$F$36,2,FALSE)</f>
        <v>22</v>
      </c>
    </row>
    <row r="32" spans="2:21" ht="71.150000000000006" customHeight="1">
      <c r="B32" s="95"/>
      <c r="C32" s="117"/>
      <c r="D32" s="113"/>
      <c r="E32" s="113"/>
      <c r="F32" s="113"/>
      <c r="G32" s="114"/>
      <c r="H32" s="113"/>
      <c r="I32" s="113"/>
      <c r="J32" s="117"/>
      <c r="K32" s="108"/>
      <c r="L32" s="104"/>
      <c r="M32" s="109"/>
      <c r="N32" s="104"/>
      <c r="O32" s="110">
        <f>+U32</f>
        <v>10</v>
      </c>
      <c r="P32" s="100"/>
      <c r="Q32" s="127" t="s">
        <v>2332</v>
      </c>
      <c r="R32" s="102"/>
      <c r="S32" s="147"/>
      <c r="T32" s="146" t="s">
        <v>408</v>
      </c>
      <c r="U32" s="145">
        <f>+VLOOKUP($T32,Dinámicas!$E$3:$F$36,2,FALSE)</f>
        <v>10</v>
      </c>
    </row>
    <row r="33" spans="2:28" ht="50.15" customHeight="1">
      <c r="B33" s="95"/>
      <c r="C33" s="117"/>
      <c r="D33" s="113"/>
      <c r="E33" s="113"/>
      <c r="F33" s="113"/>
      <c r="G33" s="114"/>
      <c r="H33" s="113"/>
      <c r="I33" s="113"/>
      <c r="J33" s="117"/>
      <c r="K33" s="103" t="s">
        <v>2333</v>
      </c>
      <c r="L33" s="104"/>
      <c r="M33" s="105">
        <f>+U33</f>
        <v>6</v>
      </c>
      <c r="N33" s="104"/>
      <c r="O33" s="106"/>
      <c r="P33" s="100"/>
      <c r="Q33" s="129"/>
      <c r="R33" s="111"/>
      <c r="S33" s="149"/>
      <c r="T33" s="146" t="s">
        <v>607</v>
      </c>
      <c r="U33" s="145">
        <f>+VLOOKUP($T33,Dinámicas!$E$3:$F$36,2,FALSE)</f>
        <v>6</v>
      </c>
    </row>
    <row r="34" spans="2:28" ht="50.15" customHeight="1">
      <c r="B34" s="95"/>
      <c r="C34" s="117"/>
      <c r="D34" s="113"/>
      <c r="E34" s="113"/>
      <c r="F34" s="113"/>
      <c r="G34" s="114"/>
      <c r="H34" s="113"/>
      <c r="I34" s="113"/>
      <c r="J34" s="117"/>
      <c r="K34" s="112"/>
      <c r="L34" s="104"/>
      <c r="M34" s="109"/>
      <c r="N34" s="104"/>
      <c r="O34" s="110">
        <f>+U34</f>
        <v>46</v>
      </c>
      <c r="P34" s="100"/>
      <c r="Q34" s="127" t="s">
        <v>2334</v>
      </c>
      <c r="R34" s="102"/>
      <c r="S34" s="147"/>
      <c r="T34" s="146" t="s">
        <v>596</v>
      </c>
      <c r="U34" s="145">
        <f>+VLOOKUP($T34,Dinámicas!$E$3:$F$36,2,FALSE)</f>
        <v>46</v>
      </c>
    </row>
    <row r="35" spans="2:28" ht="50.15" customHeight="1">
      <c r="B35" s="95"/>
      <c r="C35" s="117"/>
      <c r="D35" s="113"/>
      <c r="E35" s="113"/>
      <c r="F35" s="113"/>
      <c r="G35" s="114"/>
      <c r="H35" s="113"/>
      <c r="I35" s="113"/>
      <c r="J35" s="117"/>
      <c r="K35" s="103" t="s">
        <v>2335</v>
      </c>
      <c r="L35" s="104"/>
      <c r="M35" s="105">
        <f>+U35</f>
        <v>2</v>
      </c>
      <c r="N35" s="104"/>
      <c r="O35" s="106"/>
      <c r="P35" s="100"/>
      <c r="Q35" s="129"/>
      <c r="R35" s="111"/>
      <c r="S35" s="149"/>
      <c r="T35" s="146" t="s">
        <v>732</v>
      </c>
      <c r="U35" s="145">
        <f>+VLOOKUP($T35,Dinámicas!$E$3:$F$36,2,FALSE)</f>
        <v>2</v>
      </c>
    </row>
    <row r="36" spans="2:28" ht="50.15" customHeight="1">
      <c r="B36" s="95"/>
      <c r="C36" s="121"/>
      <c r="D36" s="113"/>
      <c r="E36" s="113"/>
      <c r="F36" s="113"/>
      <c r="G36" s="114"/>
      <c r="H36" s="113"/>
      <c r="I36" s="113"/>
      <c r="J36" s="115"/>
      <c r="K36" s="108"/>
      <c r="L36" s="104"/>
      <c r="M36" s="109"/>
      <c r="N36" s="104"/>
      <c r="O36" s="110">
        <f>+U36</f>
        <v>3</v>
      </c>
      <c r="P36" s="100"/>
      <c r="Q36" s="127" t="s">
        <v>2336</v>
      </c>
      <c r="R36" s="102"/>
      <c r="S36" s="147"/>
      <c r="T36" s="146" t="s">
        <v>366</v>
      </c>
      <c r="U36" s="145">
        <f>+VLOOKUP($T36,Dinámicas!$E$3:$F$36,2,FALSE)</f>
        <v>3</v>
      </c>
    </row>
    <row r="37" spans="2:28" ht="50.15" customHeight="1">
      <c r="B37" s="95"/>
      <c r="C37" s="121"/>
      <c r="D37" s="113"/>
      <c r="E37" s="113"/>
      <c r="F37" s="113"/>
      <c r="G37" s="114"/>
      <c r="H37" s="113"/>
      <c r="I37" s="113"/>
      <c r="J37" s="115"/>
      <c r="K37" s="103" t="s">
        <v>2337</v>
      </c>
      <c r="L37" s="104"/>
      <c r="M37" s="105">
        <f>+U37</f>
        <v>25</v>
      </c>
      <c r="N37" s="104"/>
      <c r="O37" s="106"/>
      <c r="P37" s="100"/>
      <c r="Q37" s="129"/>
      <c r="R37" s="111"/>
      <c r="S37" s="149"/>
      <c r="T37" s="146" t="s">
        <v>119</v>
      </c>
      <c r="U37" s="145">
        <f>+VLOOKUP($T37,Dinámicas!$E$3:$F$36,2,FALSE)</f>
        <v>25</v>
      </c>
    </row>
    <row r="38" spans="2:28" ht="50.15" customHeight="1">
      <c r="B38" s="95"/>
      <c r="C38" s="121"/>
      <c r="D38" s="95"/>
      <c r="E38" s="95"/>
      <c r="F38" s="95"/>
      <c r="G38" s="96"/>
      <c r="H38" s="95"/>
      <c r="I38" s="95"/>
      <c r="J38" s="115"/>
      <c r="K38" s="108"/>
      <c r="L38" s="100"/>
      <c r="M38" s="100"/>
      <c r="N38" s="100"/>
      <c r="O38" s="101">
        <f>+U38</f>
        <v>8</v>
      </c>
      <c r="P38" s="100"/>
      <c r="Q38" s="127" t="s">
        <v>2338</v>
      </c>
      <c r="R38" s="102"/>
      <c r="S38" s="147"/>
      <c r="T38" s="146" t="s">
        <v>763</v>
      </c>
      <c r="U38" s="145">
        <f>+VLOOKUP($T38,Dinámicas!$E$3:$F$36,2,FALSE)</f>
        <v>8</v>
      </c>
    </row>
    <row r="39" spans="2:28" ht="50.15" customHeight="1">
      <c r="B39" s="113"/>
      <c r="C39" s="130"/>
      <c r="D39" s="113"/>
      <c r="E39" s="113"/>
      <c r="F39" s="113"/>
      <c r="G39" s="114"/>
      <c r="H39" s="113"/>
      <c r="I39" s="113"/>
      <c r="J39" s="113"/>
      <c r="K39" s="123"/>
      <c r="L39" s="123"/>
      <c r="M39" s="123"/>
      <c r="N39" s="123"/>
      <c r="O39" s="123"/>
      <c r="P39" s="123"/>
      <c r="Q39" s="125"/>
      <c r="R39" s="113"/>
    </row>
    <row r="40" spans="2:28" ht="16">
      <c r="B40" s="95"/>
      <c r="C40" s="95"/>
      <c r="D40" s="95"/>
      <c r="E40" s="95"/>
      <c r="F40" s="95"/>
      <c r="G40" s="96"/>
      <c r="H40" s="95"/>
      <c r="I40" s="95"/>
      <c r="J40" s="95"/>
      <c r="K40" s="95"/>
      <c r="L40" s="95"/>
      <c r="M40" s="95"/>
      <c r="N40" s="95"/>
      <c r="O40" s="95"/>
      <c r="P40" s="95"/>
      <c r="Q40" s="95"/>
      <c r="R40" s="95"/>
      <c r="W40" s="131" t="s">
        <v>2339</v>
      </c>
      <c r="X40" t="s">
        <v>228</v>
      </c>
    </row>
    <row r="41" spans="2:28" ht="31.5">
      <c r="C41" s="133"/>
      <c r="D41" s="133"/>
      <c r="E41" s="133"/>
      <c r="F41" s="133"/>
      <c r="G41" s="134"/>
      <c r="H41" s="133"/>
      <c r="I41" s="133"/>
      <c r="J41" s="133"/>
      <c r="K41" s="135"/>
      <c r="L41" s="136"/>
      <c r="M41" s="136"/>
      <c r="N41" s="136"/>
      <c r="O41" s="137"/>
      <c r="P41" s="136"/>
      <c r="Q41" s="138"/>
      <c r="R41" s="138"/>
      <c r="S41" s="138"/>
      <c r="W41" s="131" t="s">
        <v>80</v>
      </c>
      <c r="X41" s="171" t="s">
        <v>2313</v>
      </c>
    </row>
    <row r="42" spans="2:28" ht="40.4" customHeight="1"/>
    <row r="43" spans="2:28" ht="62">
      <c r="I43" s="353" t="s">
        <v>2314</v>
      </c>
      <c r="J43" s="354"/>
      <c r="K43" s="157" t="s">
        <v>2313</v>
      </c>
      <c r="L43" s="158"/>
      <c r="M43" s="353" t="s">
        <v>1567</v>
      </c>
      <c r="N43" s="356"/>
      <c r="O43" s="162"/>
      <c r="P43" s="95"/>
      <c r="W43" s="131" t="s">
        <v>2211</v>
      </c>
      <c r="X43" s="166" t="s">
        <v>2340</v>
      </c>
      <c r="Y43" s="168" t="s">
        <v>79</v>
      </c>
      <c r="Z43" s="167" t="s">
        <v>2341</v>
      </c>
    </row>
    <row r="44" spans="2:28" ht="21">
      <c r="I44" s="95"/>
      <c r="J44" s="95"/>
      <c r="K44" s="95"/>
      <c r="L44" s="95"/>
      <c r="M44" s="95"/>
      <c r="N44" s="95"/>
      <c r="O44" s="121"/>
      <c r="P44" s="95"/>
      <c r="Q44" s="95"/>
      <c r="T44" s="140" t="s">
        <v>80</v>
      </c>
      <c r="U44" s="141"/>
      <c r="W44" s="132" t="s">
        <v>142</v>
      </c>
      <c r="X44" s="77" t="e">
        <f>+VLOOKUP($W44,Proyectos!$G$2:$AB$295,7,FALSE)</f>
        <v>#N/A</v>
      </c>
      <c r="Y44" s="176" t="e">
        <f>+VLOOKUP($W44,Proyectos!$G$2:$AB$295,11,FALSE)</f>
        <v>#N/A</v>
      </c>
      <c r="Z44" s="250" t="e">
        <f>+VLOOKUP($W44,Proyectos!$G$2:$AB$295,15,FALSE)</f>
        <v>#N/A</v>
      </c>
      <c r="AB44" s="93" t="e">
        <f>+CONCATENATE(W44," | ","Atraso: ",TEXT(Y44,"0%")," | ","Terminación: ",TEXT(Z44,"dd/mm/yyyy"))</f>
        <v>#N/A</v>
      </c>
    </row>
    <row r="45" spans="2:28" ht="63">
      <c r="D45" s="156" t="s">
        <v>2342</v>
      </c>
      <c r="I45" s="352">
        <f>+VLOOKUP(I$43,$T$45:$U$47,2,FALSE)</f>
        <v>109</v>
      </c>
      <c r="J45" s="352"/>
      <c r="K45" s="159">
        <f>+VLOOKUP(K$43,$T$45:$U$47,2,FALSE)</f>
        <v>10</v>
      </c>
      <c r="L45" s="160"/>
      <c r="M45" s="355">
        <f>+VLOOKUP(M$43,$T$45:$U$47,2,FALSE)</f>
        <v>30</v>
      </c>
      <c r="N45" s="355"/>
      <c r="O45" s="161"/>
      <c r="P45" s="95"/>
      <c r="Q45" s="95"/>
      <c r="T45" s="142" t="s">
        <v>2313</v>
      </c>
      <c r="U45" s="143">
        <f>+VLOOKUP($T45,Dinámicas!$H$4:$I$6,2,FALSE)</f>
        <v>10</v>
      </c>
      <c r="W45" s="181" t="s">
        <v>386</v>
      </c>
      <c r="X45" s="77" t="e">
        <f>+VLOOKUP($W45,Proyectos!$G$2:$AB$295,7,FALSE)</f>
        <v>#N/A</v>
      </c>
      <c r="Y45" s="176" t="e">
        <f>+VLOOKUP($W45,Proyectos!$G$2:$AB$295,11,FALSE)</f>
        <v>#N/A</v>
      </c>
      <c r="Z45" s="250" t="e">
        <f>+VLOOKUP($W45,Proyectos!$G$2:$AB$295,15,FALSE)</f>
        <v>#N/A</v>
      </c>
      <c r="AB45" s="93" t="e">
        <f t="shared" ref="AB45:AB64" si="0">+CONCATENATE(W45," | ","Atraso: ",TEXT(Y45,"0%")," | ","Terminación: ",TEXT(Z45,"dd/mm/yyyy"))</f>
        <v>#N/A</v>
      </c>
    </row>
    <row r="46" spans="2:28" ht="63">
      <c r="I46" s="95"/>
      <c r="J46" s="95"/>
      <c r="K46" s="95"/>
      <c r="L46" s="95"/>
      <c r="M46" s="95"/>
      <c r="N46" s="95"/>
      <c r="O46" s="161"/>
      <c r="P46" s="95"/>
      <c r="Q46" s="95"/>
      <c r="T46" s="142" t="s">
        <v>1567</v>
      </c>
      <c r="U46" s="143">
        <f>+VLOOKUP($T46,Dinámicas!$H$4:$I$6,2,FALSE)</f>
        <v>30</v>
      </c>
      <c r="W46" s="132" t="s">
        <v>1008</v>
      </c>
      <c r="X46" s="77" t="e">
        <f>+VLOOKUP($W46,Proyectos!$G$2:$AB$295,7,FALSE)</f>
        <v>#N/A</v>
      </c>
      <c r="Y46" s="176" t="e">
        <f>+VLOOKUP($W46,Proyectos!$G$2:$AB$295,11,FALSE)</f>
        <v>#N/A</v>
      </c>
      <c r="Z46" s="250" t="e">
        <f>+VLOOKUP($W46,Proyectos!$G$2:$AB$295,15,FALSE)</f>
        <v>#N/A</v>
      </c>
      <c r="AB46" s="93" t="e">
        <f t="shared" si="0"/>
        <v>#N/A</v>
      </c>
    </row>
    <row r="47" spans="2:28" ht="63">
      <c r="D47" s="156" t="s">
        <v>2343</v>
      </c>
      <c r="I47" s="352">
        <f>+VLOOKUP(I$43,$T$50:$U$52,2,FALSE)</f>
        <v>28</v>
      </c>
      <c r="J47" s="352"/>
      <c r="K47" s="159">
        <f>+VLOOKUP(K$43,$T$50:$U$52,2,FALSE)</f>
        <v>10</v>
      </c>
      <c r="L47" s="160"/>
      <c r="M47" s="355">
        <f>+VLOOKUP(M$43,$T$50:$U$52,2,FALSE)</f>
        <v>1</v>
      </c>
      <c r="N47" s="355"/>
      <c r="O47" s="163"/>
      <c r="P47" s="95"/>
      <c r="Q47" s="95"/>
      <c r="T47" s="142" t="s">
        <v>2314</v>
      </c>
      <c r="U47" s="143">
        <f>+VLOOKUP($T47,Dinámicas!$H$4:$I$6,2,FALSE)</f>
        <v>109</v>
      </c>
      <c r="W47" s="132" t="s">
        <v>357</v>
      </c>
      <c r="X47" s="77" t="e">
        <f>+VLOOKUP($W47,Proyectos!$G$2:$AB$295,7,FALSE)</f>
        <v>#N/A</v>
      </c>
      <c r="Y47" s="176" t="e">
        <f>+VLOOKUP($W47,Proyectos!$G$2:$AB$295,11,FALSE)</f>
        <v>#N/A</v>
      </c>
      <c r="Z47" s="250" t="e">
        <f>+VLOOKUP($W47,Proyectos!$G$2:$AB$295,15,FALSE)</f>
        <v>#N/A</v>
      </c>
      <c r="AB47" s="93" t="e">
        <f t="shared" si="0"/>
        <v>#N/A</v>
      </c>
    </row>
    <row r="48" spans="2:28" ht="16">
      <c r="I48" s="95"/>
      <c r="J48" s="95"/>
      <c r="K48" s="95"/>
      <c r="L48" s="95"/>
      <c r="M48" s="95"/>
      <c r="N48" s="95"/>
      <c r="O48" s="95"/>
      <c r="P48" s="95"/>
      <c r="Q48" s="95">
        <v>2</v>
      </c>
      <c r="U48" s="93"/>
      <c r="W48" s="132" t="s">
        <v>1091</v>
      </c>
      <c r="X48" s="77" t="e">
        <f>+VLOOKUP($W48,Proyectos!$G$2:$AB$295,7,FALSE)</f>
        <v>#N/A</v>
      </c>
      <c r="Y48" s="176" t="e">
        <f>+VLOOKUP($W48,Proyectos!$G$2:$AB$295,11,FALSE)</f>
        <v>#N/A</v>
      </c>
      <c r="Z48" s="250" t="e">
        <f>+VLOOKUP($W48,Proyectos!$G$2:$AB$295,15,FALSE)</f>
        <v>#N/A</v>
      </c>
      <c r="AB48" s="93" t="e">
        <f t="shared" si="0"/>
        <v>#N/A</v>
      </c>
    </row>
    <row r="49" spans="9:28" ht="22.5">
      <c r="I49" s="95"/>
      <c r="J49" s="95"/>
      <c r="K49" s="100"/>
      <c r="L49" s="346"/>
      <c r="M49" s="346"/>
      <c r="N49" s="346"/>
      <c r="O49" s="95"/>
      <c r="P49" s="95"/>
      <c r="Q49" s="95"/>
      <c r="T49" s="140" t="s">
        <v>2344</v>
      </c>
      <c r="U49" s="141"/>
      <c r="W49" s="132" t="s">
        <v>1531</v>
      </c>
      <c r="X49" s="77" t="e">
        <f>+VLOOKUP($W49,Proyectos!$G$2:$AB$295,7,FALSE)</f>
        <v>#N/A</v>
      </c>
      <c r="Y49" s="176" t="e">
        <f>+VLOOKUP($W49,Proyectos!$G$2:$AB$295,11,FALSE)</f>
        <v>#N/A</v>
      </c>
      <c r="Z49" s="250" t="e">
        <f>+VLOOKUP($W49,Proyectos!$G$2:$AB$295,15,FALSE)</f>
        <v>#N/A</v>
      </c>
      <c r="AB49" s="93" t="e">
        <f t="shared" si="0"/>
        <v>#N/A</v>
      </c>
    </row>
    <row r="50" spans="9:28" ht="23.5">
      <c r="J50" s="116"/>
      <c r="K50" s="164"/>
      <c r="L50" s="343"/>
      <c r="M50" s="344"/>
      <c r="N50" s="344"/>
      <c r="O50" s="95"/>
      <c r="P50" s="95"/>
      <c r="Q50" s="95"/>
      <c r="T50" s="142" t="s">
        <v>2313</v>
      </c>
      <c r="U50" s="143">
        <f>+VLOOKUP($T50,Dinámicas!$H$10:$I$19,2,FALSE)</f>
        <v>10</v>
      </c>
      <c r="W50" s="132" t="s">
        <v>547</v>
      </c>
      <c r="X50" s="77" t="e">
        <f>+VLOOKUP($W50,Proyectos!$G$2:$AB$295,7,FALSE)</f>
        <v>#N/A</v>
      </c>
      <c r="Y50" s="176" t="e">
        <f>+VLOOKUP($W50,Proyectos!$G$2:$AB$295,11,FALSE)</f>
        <v>#N/A</v>
      </c>
      <c r="Z50" s="250" t="e">
        <f>+VLOOKUP($W50,Proyectos!$G$2:$AB$295,15,FALSE)</f>
        <v>#N/A</v>
      </c>
      <c r="AB50" s="93" t="e">
        <f t="shared" si="0"/>
        <v>#N/A</v>
      </c>
    </row>
    <row r="51" spans="9:28" ht="23.5">
      <c r="J51" s="95"/>
      <c r="K51" s="100"/>
      <c r="L51" s="345"/>
      <c r="M51" s="346"/>
      <c r="N51" s="346"/>
      <c r="O51" s="95"/>
      <c r="P51" s="95"/>
      <c r="Q51" s="95"/>
      <c r="T51" s="142" t="s">
        <v>1567</v>
      </c>
      <c r="U51" s="143">
        <f>+VLOOKUP($T51,Dinámicas!$H$10:$I$19,2,FALSE)</f>
        <v>1</v>
      </c>
      <c r="W51" s="132" t="s">
        <v>2213</v>
      </c>
      <c r="X51" s="77" t="e">
        <f>+VLOOKUP($W51,Proyectos!$G$2:$AB$295,7,FALSE)</f>
        <v>#N/A</v>
      </c>
      <c r="Y51" s="176" t="e">
        <f>+VLOOKUP($W51,Proyectos!$G$2:$AB$295,11,FALSE)</f>
        <v>#N/A</v>
      </c>
      <c r="Z51" s="250" t="e">
        <f>+VLOOKUP($W51,Proyectos!$G$2:$AB$295,15,FALSE)</f>
        <v>#N/A</v>
      </c>
      <c r="AB51" s="93" t="e">
        <f t="shared" si="0"/>
        <v>#N/A</v>
      </c>
    </row>
    <row r="52" spans="9:28" ht="23.5">
      <c r="J52" s="95"/>
      <c r="K52" s="100"/>
      <c r="L52" s="345"/>
      <c r="M52" s="346"/>
      <c r="N52" s="346"/>
      <c r="O52" s="95"/>
      <c r="P52" s="95"/>
      <c r="Q52" s="95"/>
      <c r="T52" s="142" t="s">
        <v>2314</v>
      </c>
      <c r="U52" s="143">
        <f>+VLOOKUP($T52,Dinámicas!$H$10:$I$19,2,FALSE)</f>
        <v>28</v>
      </c>
      <c r="W52"/>
      <c r="X52" s="77" t="e">
        <f>+VLOOKUP($W52,Proyectos!$G$2:$AB$295,7,FALSE)</f>
        <v>#N/A</v>
      </c>
      <c r="Y52" s="176" t="e">
        <f>+VLOOKUP($W52,Proyectos!$G$2:$AB$295,11,FALSE)</f>
        <v>#N/A</v>
      </c>
      <c r="Z52" s="250" t="e">
        <f>+VLOOKUP($W52,Proyectos!$G$2:$AB$295,15,FALSE)</f>
        <v>#N/A</v>
      </c>
      <c r="AB52" s="93" t="e">
        <f t="shared" si="0"/>
        <v>#N/A</v>
      </c>
    </row>
    <row r="53" spans="9:28" ht="23.5">
      <c r="J53" s="95"/>
      <c r="K53" s="100"/>
      <c r="L53" s="165"/>
      <c r="M53" s="165"/>
      <c r="N53" s="165"/>
      <c r="T53" s="142"/>
      <c r="U53" s="143"/>
      <c r="W53"/>
      <c r="X53" s="77" t="e">
        <f>+VLOOKUP($W53,Proyectos!$G$2:$AB$295,7,FALSE)</f>
        <v>#N/A</v>
      </c>
      <c r="Y53" s="176" t="e">
        <f>+VLOOKUP($W53,Proyectos!$G$2:$AB$295,11,FALSE)</f>
        <v>#N/A</v>
      </c>
      <c r="Z53" s="250" t="e">
        <f>+VLOOKUP($W53,Proyectos!$G$2:$AB$295,15,FALSE)</f>
        <v>#N/A</v>
      </c>
      <c r="AB53" s="93" t="e">
        <f t="shared" si="0"/>
        <v>#N/A</v>
      </c>
    </row>
    <row r="54" spans="9:28" ht="22.5">
      <c r="J54" s="95"/>
      <c r="K54" s="100"/>
      <c r="L54" s="165"/>
      <c r="M54" s="165"/>
      <c r="N54" s="165"/>
      <c r="W54"/>
      <c r="X54" s="77" t="e">
        <f>+VLOOKUP($W54,Proyectos!$G$2:$AB$295,7,FALSE)</f>
        <v>#N/A</v>
      </c>
      <c r="Y54" s="176" t="e">
        <f>+VLOOKUP($W54,Proyectos!$G$2:$AB$295,11,FALSE)</f>
        <v>#N/A</v>
      </c>
      <c r="Z54" s="250" t="e">
        <f>+VLOOKUP($W54,Proyectos!$G$2:$AB$295,15,FALSE)</f>
        <v>#N/A</v>
      </c>
      <c r="AB54" s="93" t="e">
        <f t="shared" si="0"/>
        <v>#N/A</v>
      </c>
    </row>
    <row r="55" spans="9:28" ht="22.5">
      <c r="J55" s="95"/>
      <c r="K55" s="100"/>
      <c r="L55" s="165"/>
      <c r="M55" s="165"/>
      <c r="N55" s="165"/>
      <c r="W55"/>
      <c r="X55" s="77" t="e">
        <f>+VLOOKUP($W55,Proyectos!$G$2:$AB$295,7,FALSE)</f>
        <v>#N/A</v>
      </c>
      <c r="Y55" s="176" t="e">
        <f>+VLOOKUP($W55,Proyectos!$G$2:$AB$295,11,FALSE)</f>
        <v>#N/A</v>
      </c>
      <c r="Z55" s="250" t="e">
        <f>+VLOOKUP($W55,Proyectos!$G$2:$AB$295,15,FALSE)</f>
        <v>#N/A</v>
      </c>
      <c r="AB55" s="93" t="e">
        <f t="shared" si="0"/>
        <v>#N/A</v>
      </c>
    </row>
    <row r="56" spans="9:28" ht="22.5">
      <c r="J56" s="95"/>
      <c r="K56" s="100"/>
      <c r="L56" s="165"/>
      <c r="M56" s="165"/>
      <c r="N56" s="165"/>
      <c r="W56"/>
      <c r="X56" s="77" t="e">
        <f>+VLOOKUP($W56,Proyectos!$G$2:$AB$295,7,FALSE)</f>
        <v>#N/A</v>
      </c>
      <c r="Y56" s="176" t="e">
        <f>+VLOOKUP($W56,Proyectos!$G$2:$AB$295,11,FALSE)</f>
        <v>#N/A</v>
      </c>
      <c r="Z56" s="250" t="e">
        <f>+VLOOKUP($W56,Proyectos!$G$2:$AB$295,15,FALSE)</f>
        <v>#N/A</v>
      </c>
      <c r="AB56" s="93" t="e">
        <f t="shared" si="0"/>
        <v>#N/A</v>
      </c>
    </row>
    <row r="57" spans="9:28" ht="22.5">
      <c r="J57" s="95"/>
      <c r="K57" s="100"/>
      <c r="L57" s="165"/>
      <c r="M57" s="165"/>
      <c r="N57" s="165"/>
      <c r="W57"/>
      <c r="X57" s="77" t="e">
        <f>+VLOOKUP($W57,Proyectos!$G$2:$AB$295,7,FALSE)</f>
        <v>#N/A</v>
      </c>
      <c r="Y57" s="176" t="e">
        <f>+VLOOKUP($W57,Proyectos!$G$2:$AB$295,11,FALSE)</f>
        <v>#N/A</v>
      </c>
      <c r="Z57" s="250" t="e">
        <f>+VLOOKUP($W57,Proyectos!$G$2:$AB$295,15,FALSE)</f>
        <v>#N/A</v>
      </c>
      <c r="AB57" s="93" t="e">
        <f t="shared" si="0"/>
        <v>#N/A</v>
      </c>
    </row>
    <row r="58" spans="9:28" ht="22.5">
      <c r="J58" s="95"/>
      <c r="K58" s="100"/>
      <c r="L58" s="165"/>
      <c r="M58" s="165"/>
      <c r="N58" s="165"/>
      <c r="W58"/>
      <c r="X58" s="77" t="e">
        <f>+VLOOKUP($W58,Proyectos!$G$2:$AB$295,7,FALSE)</f>
        <v>#N/A</v>
      </c>
      <c r="Y58" s="176" t="e">
        <f>+VLOOKUP($W58,Proyectos!$G$2:$AB$295,11,FALSE)</f>
        <v>#N/A</v>
      </c>
      <c r="Z58" s="250" t="e">
        <f>+VLOOKUP($W58,Proyectos!$G$2:$AB$295,15,FALSE)</f>
        <v>#N/A</v>
      </c>
      <c r="AB58" s="93" t="e">
        <f t="shared" si="0"/>
        <v>#N/A</v>
      </c>
    </row>
    <row r="59" spans="9:28" ht="22.5">
      <c r="J59" s="95"/>
      <c r="K59" s="100"/>
      <c r="L59" s="165"/>
      <c r="M59" s="165"/>
      <c r="N59" s="165"/>
      <c r="W59"/>
      <c r="X59" s="77" t="e">
        <f>+VLOOKUP($W59,Proyectos!$G$2:$AB$295,7,FALSE)</f>
        <v>#N/A</v>
      </c>
      <c r="Y59" s="176" t="e">
        <f>+VLOOKUP($W59,Proyectos!$G$2:$AB$295,11,FALSE)</f>
        <v>#N/A</v>
      </c>
      <c r="Z59" s="250" t="e">
        <f>+VLOOKUP($W59,Proyectos!$G$2:$AB$295,15,FALSE)</f>
        <v>#N/A</v>
      </c>
      <c r="AB59" s="93" t="e">
        <f t="shared" si="0"/>
        <v>#N/A</v>
      </c>
    </row>
    <row r="60" spans="9:28" ht="22.5">
      <c r="J60" s="95"/>
      <c r="K60" s="100"/>
      <c r="L60" s="165"/>
      <c r="M60" s="165"/>
      <c r="N60" s="165"/>
      <c r="W60"/>
      <c r="X60" s="77" t="e">
        <f>+VLOOKUP($W60,Proyectos!$G$2:$AB$295,7,FALSE)</f>
        <v>#N/A</v>
      </c>
      <c r="Y60" s="176" t="e">
        <f>+VLOOKUP($W60,Proyectos!$G$2:$AB$295,11,FALSE)</f>
        <v>#N/A</v>
      </c>
      <c r="Z60" s="250" t="e">
        <f>+VLOOKUP($W60,Proyectos!$G$2:$AB$295,15,FALSE)</f>
        <v>#N/A</v>
      </c>
      <c r="AB60" s="93" t="e">
        <f t="shared" si="0"/>
        <v>#N/A</v>
      </c>
    </row>
    <row r="61" spans="9:28" ht="22.5">
      <c r="J61" s="95"/>
      <c r="K61" s="100"/>
      <c r="L61" s="165"/>
      <c r="M61" s="165"/>
      <c r="N61" s="165"/>
      <c r="W61"/>
      <c r="X61" s="77" t="e">
        <f>+VLOOKUP($W61,Proyectos!$G$2:$AB$295,7,FALSE)</f>
        <v>#N/A</v>
      </c>
      <c r="Y61" s="176" t="e">
        <f>+VLOOKUP($W61,Proyectos!$G$2:$AB$295,11,FALSE)</f>
        <v>#N/A</v>
      </c>
      <c r="Z61" s="250" t="e">
        <f>+VLOOKUP($W61,Proyectos!$G$2:$AB$295,15,FALSE)</f>
        <v>#N/A</v>
      </c>
      <c r="AB61" s="93" t="e">
        <f t="shared" si="0"/>
        <v>#N/A</v>
      </c>
    </row>
    <row r="62" spans="9:28" ht="22.5">
      <c r="J62" s="95"/>
      <c r="K62" s="100"/>
      <c r="L62" s="165"/>
      <c r="M62" s="165"/>
      <c r="N62" s="165"/>
      <c r="W62"/>
      <c r="X62" s="77" t="e">
        <f>+VLOOKUP($W62,Proyectos!$G$2:$AB$295,7,FALSE)</f>
        <v>#N/A</v>
      </c>
      <c r="Y62" s="176" t="e">
        <f>+VLOOKUP($W62,Proyectos!$G$2:$AB$295,11,FALSE)</f>
        <v>#N/A</v>
      </c>
      <c r="Z62" s="250" t="e">
        <f>+VLOOKUP($W62,Proyectos!$G$2:$AB$295,15,FALSE)</f>
        <v>#N/A</v>
      </c>
      <c r="AB62" s="93" t="e">
        <f t="shared" si="0"/>
        <v>#N/A</v>
      </c>
    </row>
    <row r="63" spans="9:28" ht="22.5">
      <c r="J63" s="95"/>
      <c r="K63" s="100"/>
      <c r="L63" s="165"/>
      <c r="M63" s="165"/>
      <c r="N63" s="165"/>
      <c r="W63"/>
      <c r="X63" s="77" t="e">
        <f>+VLOOKUP($W63,Proyectos!$G$2:$AB$295,7,FALSE)</f>
        <v>#N/A</v>
      </c>
      <c r="Y63" s="176" t="e">
        <f>+VLOOKUP($W63,Proyectos!$G$2:$AB$295,11,FALSE)</f>
        <v>#N/A</v>
      </c>
      <c r="Z63" s="250" t="e">
        <f>+VLOOKUP($W63,Proyectos!$G$2:$AB$295,15,FALSE)</f>
        <v>#N/A</v>
      </c>
      <c r="AB63" s="93" t="e">
        <f t="shared" si="0"/>
        <v>#N/A</v>
      </c>
    </row>
    <row r="64" spans="9:28" ht="22.5">
      <c r="J64" s="95"/>
      <c r="K64" s="100"/>
      <c r="L64" s="165"/>
      <c r="M64" s="165"/>
      <c r="N64" s="165"/>
      <c r="W64"/>
      <c r="X64" s="77" t="e">
        <f>+VLOOKUP($W64,Proyectos!$G$2:$AB$295,7,FALSE)</f>
        <v>#N/A</v>
      </c>
      <c r="Y64" s="176" t="e">
        <f>+VLOOKUP($W64,Proyectos!$G$2:$AB$295,11,FALSE)</f>
        <v>#N/A</v>
      </c>
      <c r="Z64" s="250" t="e">
        <f>+VLOOKUP($W64,Proyectos!$G$2:$AB$295,15,FALSE)</f>
        <v>#N/A</v>
      </c>
      <c r="AB64" s="93" t="e">
        <f t="shared" si="0"/>
        <v>#N/A</v>
      </c>
    </row>
    <row r="65" spans="3:26" ht="22.5">
      <c r="J65" s="95"/>
      <c r="K65" s="100"/>
      <c r="L65" s="165"/>
      <c r="M65" s="165"/>
      <c r="N65" s="165"/>
      <c r="W65"/>
      <c r="X65" s="77"/>
      <c r="Y65" s="176"/>
    </row>
    <row r="66" spans="3:26" ht="22.5">
      <c r="J66" s="95"/>
      <c r="K66" s="100"/>
      <c r="L66" s="165"/>
      <c r="M66" s="165"/>
      <c r="N66" s="165"/>
      <c r="W66"/>
      <c r="X66" s="77"/>
      <c r="Y66" s="176"/>
    </row>
    <row r="67" spans="3:26" ht="22.5">
      <c r="J67" s="95"/>
      <c r="K67" s="100"/>
      <c r="L67" s="165"/>
      <c r="M67" s="165"/>
      <c r="N67" s="165"/>
      <c r="W67"/>
      <c r="X67" s="77"/>
      <c r="Y67" s="176"/>
    </row>
    <row r="68" spans="3:26" ht="22.5">
      <c r="J68" s="95"/>
      <c r="K68" s="100"/>
      <c r="L68" s="165"/>
      <c r="M68" s="165"/>
      <c r="N68" s="165"/>
      <c r="W68"/>
    </row>
    <row r="69" spans="3:26" ht="22.5">
      <c r="J69" s="95"/>
      <c r="K69" s="100"/>
      <c r="L69" s="347"/>
      <c r="M69" s="347"/>
      <c r="N69" s="348"/>
    </row>
    <row r="70" spans="3:26" ht="16">
      <c r="C70" s="95"/>
      <c r="D70" s="95"/>
      <c r="E70" s="95"/>
      <c r="F70" s="95"/>
      <c r="G70" s="96"/>
      <c r="H70" s="95"/>
      <c r="I70" s="95"/>
      <c r="J70" s="95"/>
      <c r="K70" s="95"/>
      <c r="L70" s="95"/>
      <c r="M70" s="95"/>
      <c r="N70" s="95"/>
      <c r="O70" s="95"/>
      <c r="P70" s="95"/>
      <c r="Q70" s="95"/>
      <c r="R70" s="95"/>
    </row>
    <row r="71" spans="3:26" ht="11.15" customHeight="1">
      <c r="C71" s="133"/>
      <c r="D71" s="133"/>
      <c r="E71" s="133"/>
      <c r="F71" s="133"/>
      <c r="G71" s="134"/>
      <c r="H71" s="133"/>
      <c r="I71" s="133"/>
      <c r="J71" s="133"/>
      <c r="K71" s="135"/>
      <c r="L71" s="136"/>
      <c r="M71" s="136"/>
      <c r="N71" s="136"/>
      <c r="O71" s="137"/>
      <c r="P71" s="136"/>
      <c r="Q71" s="138"/>
      <c r="R71" s="138"/>
      <c r="S71" s="138"/>
      <c r="T71" s="138"/>
      <c r="U71" s="138"/>
      <c r="V71" s="138"/>
      <c r="W71" s="138"/>
      <c r="X71" s="173"/>
      <c r="Y71" s="174"/>
      <c r="Z71" s="175"/>
    </row>
    <row r="72" spans="3:26" ht="40.4" customHeight="1">
      <c r="G72" s="93"/>
      <c r="U72" s="93"/>
    </row>
    <row r="73" spans="3:26" ht="40.4" customHeight="1">
      <c r="G73" s="93"/>
      <c r="T73" s="153" t="s">
        <v>2345</v>
      </c>
      <c r="U73" s="93"/>
    </row>
    <row r="74" spans="3:26" ht="26.5">
      <c r="G74" s="93"/>
      <c r="T74" s="155">
        <f>+W75</f>
        <v>5</v>
      </c>
      <c r="U74" s="93"/>
      <c r="W74" s="131" t="s">
        <v>87</v>
      </c>
      <c r="X74" s="171" t="s">
        <v>1568</v>
      </c>
    </row>
    <row r="75" spans="3:26" ht="21">
      <c r="G75" s="93"/>
      <c r="U75" s="93"/>
      <c r="W75" s="154">
        <f>+COUNTA(W77:W81)</f>
        <v>5</v>
      </c>
    </row>
    <row r="76" spans="3:26" ht="16">
      <c r="G76" s="93"/>
      <c r="U76" s="93"/>
      <c r="W76" s="131" t="s">
        <v>2211</v>
      </c>
      <c r="X76" s="171"/>
    </row>
    <row r="77" spans="3:26" ht="16">
      <c r="G77" s="93"/>
      <c r="U77" s="93"/>
      <c r="W77" s="132" t="s">
        <v>142</v>
      </c>
      <c r="X77" s="171"/>
    </row>
    <row r="78" spans="3:26" ht="16">
      <c r="G78" s="93"/>
      <c r="U78" s="93"/>
      <c r="W78" s="132" t="s">
        <v>1473</v>
      </c>
      <c r="X78" s="171"/>
    </row>
    <row r="79" spans="3:26" ht="16">
      <c r="H79" s="94"/>
      <c r="I79" s="94"/>
      <c r="J79" s="94"/>
      <c r="K79" s="94"/>
      <c r="L79" s="94"/>
      <c r="M79" s="94"/>
      <c r="N79" s="94"/>
      <c r="O79" s="94"/>
      <c r="P79" s="94"/>
      <c r="Q79" s="94"/>
      <c r="R79" s="94"/>
      <c r="S79" s="94"/>
      <c r="W79" s="132" t="s">
        <v>1486</v>
      </c>
      <c r="X79" s="171"/>
      <c r="Y79" s="172"/>
    </row>
    <row r="80" spans="3:26" ht="16">
      <c r="H80" s="94"/>
      <c r="I80" s="94"/>
      <c r="J80" s="94"/>
      <c r="K80" s="94"/>
      <c r="L80" s="94"/>
      <c r="M80" s="94"/>
      <c r="N80" s="94"/>
      <c r="O80" s="94"/>
      <c r="P80" s="94"/>
      <c r="Q80" s="94"/>
      <c r="R80" s="94"/>
      <c r="S80" s="94"/>
      <c r="W80" s="132" t="s">
        <v>1492</v>
      </c>
      <c r="X80" s="171"/>
      <c r="Y80" s="172"/>
    </row>
    <row r="81" spans="3:28" ht="16">
      <c r="H81" s="94"/>
      <c r="I81" s="94"/>
      <c r="J81" s="94"/>
      <c r="K81" s="94"/>
      <c r="L81" s="94"/>
      <c r="M81" s="94"/>
      <c r="N81" s="94"/>
      <c r="O81" s="94"/>
      <c r="P81" s="94"/>
      <c r="Q81" s="94"/>
      <c r="R81" s="94"/>
      <c r="S81" s="94"/>
      <c r="W81" s="132" t="s">
        <v>1497</v>
      </c>
      <c r="X81" s="171"/>
      <c r="Y81" s="172"/>
    </row>
    <row r="82" spans="3:28" ht="16">
      <c r="H82" s="94"/>
      <c r="I82" s="94"/>
      <c r="J82" s="94"/>
      <c r="K82" s="94"/>
      <c r="L82" s="94"/>
      <c r="M82" s="94"/>
      <c r="N82" s="94"/>
      <c r="O82" s="94"/>
      <c r="P82" s="94"/>
      <c r="Q82" s="94"/>
      <c r="R82" s="94"/>
      <c r="S82" s="94"/>
      <c r="W82" s="132" t="s">
        <v>2346</v>
      </c>
      <c r="X82" s="171"/>
      <c r="Y82" s="172"/>
    </row>
    <row r="83" spans="3:28" ht="16">
      <c r="H83" s="94"/>
      <c r="I83" s="94"/>
      <c r="J83" s="94"/>
      <c r="K83" s="94"/>
      <c r="L83" s="94"/>
      <c r="M83" s="94"/>
      <c r="N83" s="94"/>
      <c r="O83" s="94"/>
      <c r="P83" s="94"/>
      <c r="Q83" s="94"/>
      <c r="R83" s="94"/>
      <c r="S83" s="94"/>
      <c r="W83" s="132" t="s">
        <v>581</v>
      </c>
      <c r="X83" s="171"/>
      <c r="Y83" s="172"/>
    </row>
    <row r="84" spans="3:28" ht="16">
      <c r="H84" s="94"/>
      <c r="I84" s="94"/>
      <c r="J84" s="94"/>
      <c r="K84" s="94"/>
      <c r="L84" s="94"/>
      <c r="M84" s="94"/>
      <c r="N84" s="94"/>
      <c r="O84" s="94"/>
      <c r="P84" s="94"/>
      <c r="Q84" s="94"/>
      <c r="R84" s="94"/>
      <c r="S84" s="94"/>
      <c r="W84" s="132" t="s">
        <v>1523</v>
      </c>
      <c r="X84" s="171"/>
      <c r="Y84" s="172"/>
    </row>
    <row r="85" spans="3:28" ht="16">
      <c r="H85" s="94"/>
      <c r="I85" s="94"/>
      <c r="J85" s="94"/>
      <c r="K85" s="94"/>
      <c r="L85" s="94"/>
      <c r="M85" s="94"/>
      <c r="N85" s="94"/>
      <c r="O85" s="94"/>
      <c r="P85" s="94"/>
      <c r="Q85" s="94"/>
      <c r="R85" s="94"/>
      <c r="S85" s="94"/>
      <c r="W85" s="132" t="s">
        <v>2213</v>
      </c>
      <c r="X85" s="171"/>
      <c r="Y85" s="172"/>
    </row>
    <row r="86" spans="3:28" ht="16">
      <c r="C86" s="95"/>
      <c r="D86" s="95"/>
      <c r="E86" s="95"/>
      <c r="F86" s="95"/>
      <c r="G86" s="96"/>
      <c r="H86" s="95"/>
      <c r="I86" s="95"/>
      <c r="J86" s="95"/>
      <c r="K86" s="95"/>
      <c r="L86" s="95"/>
      <c r="M86" s="95"/>
      <c r="N86" s="95"/>
      <c r="O86" s="95"/>
      <c r="P86" s="95"/>
      <c r="Q86" s="95"/>
      <c r="R86" s="95"/>
    </row>
    <row r="87" spans="3:28" ht="11.15" customHeight="1">
      <c r="C87" s="133"/>
      <c r="D87" s="133"/>
      <c r="E87" s="133"/>
      <c r="F87" s="133"/>
      <c r="G87" s="134"/>
      <c r="H87" s="133"/>
      <c r="I87" s="133"/>
      <c r="J87" s="133"/>
      <c r="K87" s="135"/>
      <c r="L87" s="136"/>
      <c r="M87" s="136"/>
      <c r="N87" s="136"/>
      <c r="O87" s="137"/>
      <c r="P87" s="136"/>
      <c r="Q87" s="138"/>
      <c r="R87" s="138"/>
      <c r="S87" s="138"/>
      <c r="T87" s="138"/>
      <c r="U87" s="138"/>
      <c r="V87" s="138"/>
      <c r="W87" s="138"/>
      <c r="X87" s="173"/>
      <c r="Y87" s="174"/>
      <c r="Z87" s="175"/>
    </row>
    <row r="88" spans="3:28" ht="40.4" customHeight="1">
      <c r="G88" s="93"/>
      <c r="U88" s="93"/>
    </row>
    <row r="89" spans="3:28" ht="16">
      <c r="H89" s="94"/>
      <c r="I89" s="94"/>
      <c r="J89" s="94"/>
      <c r="K89" s="94"/>
      <c r="L89" s="94"/>
      <c r="M89" s="94"/>
      <c r="N89" s="94"/>
      <c r="O89" s="94"/>
      <c r="P89" s="94"/>
      <c r="Q89" s="94"/>
      <c r="R89" s="94"/>
      <c r="S89" s="94"/>
      <c r="W89"/>
      <c r="X89" s="171"/>
      <c r="Y89" s="172"/>
    </row>
    <row r="90" spans="3:28" ht="16">
      <c r="H90" s="94"/>
      <c r="I90" s="94"/>
      <c r="J90" s="94"/>
      <c r="K90" s="94"/>
      <c r="L90" s="94"/>
      <c r="M90" s="94"/>
      <c r="N90" s="94"/>
      <c r="O90" s="94"/>
      <c r="P90" s="94"/>
      <c r="Q90" s="94"/>
      <c r="R90" s="94"/>
      <c r="S90" s="94"/>
      <c r="W90"/>
      <c r="X90" s="171"/>
      <c r="Y90" s="172"/>
    </row>
    <row r="91" spans="3:28" ht="16">
      <c r="H91" s="94"/>
      <c r="I91" s="94"/>
      <c r="J91" s="94"/>
      <c r="K91" s="94"/>
      <c r="L91" s="94"/>
      <c r="M91" s="94"/>
      <c r="N91" s="94"/>
      <c r="O91" s="94"/>
      <c r="P91" s="94"/>
      <c r="Q91" s="94"/>
      <c r="R91" s="94"/>
      <c r="S91" s="94"/>
      <c r="W91"/>
      <c r="X91" s="171"/>
      <c r="Y91" s="172"/>
    </row>
    <row r="92" spans="3:28" ht="26.5">
      <c r="H92" s="94"/>
      <c r="I92" s="94"/>
      <c r="J92" s="94"/>
      <c r="K92" s="94"/>
      <c r="L92" s="94"/>
      <c r="M92" s="94"/>
      <c r="N92" s="94"/>
      <c r="O92" s="94"/>
      <c r="P92" s="94"/>
      <c r="Q92" s="94"/>
      <c r="R92" s="94"/>
      <c r="S92" s="94"/>
      <c r="T92" s="153" t="s">
        <v>2347</v>
      </c>
    </row>
    <row r="93" spans="3:28" ht="26.5">
      <c r="H93" s="94"/>
      <c r="I93" s="94"/>
      <c r="J93" s="94"/>
      <c r="K93" s="94"/>
      <c r="L93" s="94"/>
      <c r="M93" s="94"/>
      <c r="N93" s="94"/>
      <c r="O93" s="94"/>
      <c r="P93" s="94"/>
      <c r="Q93" s="94"/>
      <c r="R93" s="94"/>
      <c r="S93" s="94"/>
      <c r="T93" s="155">
        <f>+W94</f>
        <v>7</v>
      </c>
      <c r="W93" s="131" t="s">
        <v>2340</v>
      </c>
      <c r="X93" t="s">
        <v>534</v>
      </c>
    </row>
    <row r="94" spans="3:28" ht="21">
      <c r="H94" s="94"/>
      <c r="I94" s="94"/>
      <c r="J94" s="94"/>
      <c r="K94" s="94"/>
      <c r="L94" s="94"/>
      <c r="M94" s="94"/>
      <c r="N94" s="94"/>
      <c r="O94" s="94"/>
      <c r="P94" s="94"/>
      <c r="Q94" s="94"/>
      <c r="R94" s="94"/>
      <c r="S94" s="94"/>
      <c r="W94" s="154">
        <f>+COUNTA(W96:W102)</f>
        <v>7</v>
      </c>
    </row>
    <row r="95" spans="3:28" ht="62">
      <c r="W95" s="131" t="s">
        <v>2211</v>
      </c>
      <c r="X95" s="166" t="s">
        <v>2340</v>
      </c>
      <c r="Y95" s="168" t="s">
        <v>79</v>
      </c>
      <c r="Z95" s="178" t="s">
        <v>2348</v>
      </c>
    </row>
    <row r="96" spans="3:28" ht="16">
      <c r="W96" s="132" t="s">
        <v>1020</v>
      </c>
      <c r="X96" s="77" t="e">
        <f>+VLOOKUP($W96,Proyectos!$G$2:$AB$295,7,FALSE)</f>
        <v>#N/A</v>
      </c>
      <c r="Y96" s="176" t="e">
        <f>+VLOOKUP($W96,Proyectos!$G$2:$AB$295,11,FALSE)</f>
        <v>#N/A</v>
      </c>
      <c r="Z96" s="249" t="e">
        <f>+VLOOKUP($W96,Proyectos!$G$2:$AB$295,15,FALSE)</f>
        <v>#N/A</v>
      </c>
      <c r="AB96" s="93" t="e">
        <f>+CONCATENATE(W96," | ","Atraso: ",TEXT(Y96,"0%")," | ","Terminación: ",TEXT(Z96,"dd/mm/yyyy"))</f>
        <v>#N/A</v>
      </c>
    </row>
    <row r="97" spans="23:28" ht="16">
      <c r="W97" s="132" t="s">
        <v>1036</v>
      </c>
      <c r="X97" s="77" t="e">
        <f>+VLOOKUP($W97,Proyectos!$G$2:$AB$295,7,FALSE)</f>
        <v>#N/A</v>
      </c>
      <c r="Y97" s="176" t="e">
        <f>+VLOOKUP($W97,Proyectos!$G$2:$AB$295,11,FALSE)</f>
        <v>#N/A</v>
      </c>
      <c r="Z97" s="249" t="e">
        <f>+VLOOKUP($W97,Proyectos!$G$2:$AB$295,15,FALSE)</f>
        <v>#N/A</v>
      </c>
      <c r="AB97" s="93" t="e">
        <f t="shared" ref="AB97:AB102" si="1">+CONCATENATE(W97," | ","Atraso: ",TEXT(Y97,"0%")," | ","Terminación: ",TEXT(Z97,"dd/mm/yyyy"))</f>
        <v>#N/A</v>
      </c>
    </row>
    <row r="98" spans="23:28" ht="16">
      <c r="W98" s="132" t="s">
        <v>1052</v>
      </c>
      <c r="X98" s="77" t="e">
        <f>+VLOOKUP($W98,Proyectos!$G$2:$AB$295,7,FALSE)</f>
        <v>#N/A</v>
      </c>
      <c r="Y98" s="176" t="e">
        <f>+VLOOKUP($W98,Proyectos!$G$2:$AB$295,11,FALSE)</f>
        <v>#N/A</v>
      </c>
      <c r="Z98" s="249" t="e">
        <f>+VLOOKUP($W98,Proyectos!$G$2:$AB$295,15,FALSE)</f>
        <v>#N/A</v>
      </c>
      <c r="AB98" s="93" t="e">
        <f t="shared" si="1"/>
        <v>#N/A</v>
      </c>
    </row>
    <row r="99" spans="23:28" ht="16">
      <c r="W99" s="132" t="s">
        <v>142</v>
      </c>
      <c r="X99" s="77" t="e">
        <f>+VLOOKUP($W99,Proyectos!$G$2:$AB$295,7,FALSE)</f>
        <v>#N/A</v>
      </c>
      <c r="Y99" s="176" t="e">
        <f>+VLOOKUP($W99,Proyectos!$G$2:$AB$295,11,FALSE)</f>
        <v>#N/A</v>
      </c>
      <c r="Z99" s="249" t="e">
        <f>+VLOOKUP($W99,Proyectos!$G$2:$AB$295,15,FALSE)</f>
        <v>#N/A</v>
      </c>
      <c r="AB99" s="93" t="e">
        <f t="shared" si="1"/>
        <v>#N/A</v>
      </c>
    </row>
    <row r="100" spans="23:28" ht="16">
      <c r="W100" s="132" t="s">
        <v>185</v>
      </c>
      <c r="X100" s="77" t="e">
        <f>+VLOOKUP($W100,Proyectos!$G$2:$AB$295,7,FALSE)</f>
        <v>#N/A</v>
      </c>
      <c r="Y100" s="176" t="e">
        <f>+VLOOKUP($W100,Proyectos!$G$2:$AB$295,11,FALSE)</f>
        <v>#N/A</v>
      </c>
      <c r="Z100" s="249" t="e">
        <f>+VLOOKUP($W100,Proyectos!$G$2:$AB$295,15,FALSE)</f>
        <v>#N/A</v>
      </c>
      <c r="AB100" s="93" t="e">
        <f t="shared" si="1"/>
        <v>#N/A</v>
      </c>
    </row>
    <row r="101" spans="23:28" ht="16">
      <c r="W101" s="132" t="s">
        <v>598</v>
      </c>
      <c r="X101" s="77" t="e">
        <f>+VLOOKUP($W101,Proyectos!$G$2:$AB$295,7,FALSE)</f>
        <v>#N/A</v>
      </c>
      <c r="Y101" s="176" t="e">
        <f>+VLOOKUP($W101,Proyectos!$G$2:$AB$295,11,FALSE)</f>
        <v>#N/A</v>
      </c>
      <c r="Z101" s="249" t="e">
        <f>+VLOOKUP($W101,Proyectos!$G$2:$AB$295,15,FALSE)</f>
        <v>#N/A</v>
      </c>
      <c r="AB101" s="93" t="e">
        <f t="shared" si="1"/>
        <v>#N/A</v>
      </c>
    </row>
    <row r="102" spans="23:28" ht="16">
      <c r="W102" s="132" t="s">
        <v>1516</v>
      </c>
      <c r="X102" s="77" t="e">
        <f>+VLOOKUP($W102,Proyectos!$G$2:$AB$295,7,FALSE)</f>
        <v>#N/A</v>
      </c>
      <c r="Y102" s="176" t="e">
        <f>+VLOOKUP($W102,Proyectos!$G$2:$AB$295,11,FALSE)</f>
        <v>#N/A</v>
      </c>
      <c r="Z102" s="249" t="e">
        <f>+VLOOKUP($W102,Proyectos!$G$2:$AB$295,15,FALSE)</f>
        <v>#N/A</v>
      </c>
      <c r="AB102" s="93" t="e">
        <f t="shared" si="1"/>
        <v>#N/A</v>
      </c>
    </row>
    <row r="103" spans="23:28" ht="16">
      <c r="W103" s="132" t="s">
        <v>2213</v>
      </c>
      <c r="X103" s="171"/>
      <c r="Y103" s="172"/>
    </row>
    <row r="104" spans="23:28" ht="16">
      <c r="W104"/>
      <c r="X104" s="171"/>
      <c r="Y104" s="172"/>
    </row>
    <row r="105" spans="23:28" ht="16">
      <c r="W105"/>
    </row>
    <row r="106" spans="23:28" ht="16">
      <c r="W106"/>
    </row>
    <row r="107" spans="23:28" ht="16">
      <c r="W107"/>
    </row>
    <row r="108" spans="23:28" ht="16">
      <c r="W108"/>
    </row>
    <row r="109" spans="23:28" ht="16">
      <c r="W109"/>
    </row>
    <row r="110" spans="23:28" ht="16">
      <c r="W110"/>
    </row>
    <row r="111" spans="23:28" ht="16">
      <c r="W111"/>
    </row>
    <row r="112" spans="23:28" ht="16">
      <c r="W112"/>
    </row>
    <row r="113" spans="23:23" ht="16">
      <c r="W113"/>
    </row>
    <row r="114" spans="23:23" ht="16">
      <c r="W114"/>
    </row>
    <row r="115" spans="23:23" ht="16">
      <c r="W115"/>
    </row>
    <row r="116" spans="23:23" ht="16">
      <c r="W116"/>
    </row>
    <row r="117" spans="23:23" ht="16">
      <c r="W117"/>
    </row>
    <row r="118" spans="23:23" ht="16">
      <c r="W118"/>
    </row>
    <row r="119" spans="23:23" ht="16">
      <c r="W119"/>
    </row>
    <row r="120" spans="23:23" ht="16">
      <c r="W120"/>
    </row>
    <row r="121" spans="23:23" ht="16">
      <c r="W121"/>
    </row>
    <row r="122" spans="23:23" ht="16">
      <c r="W122"/>
    </row>
    <row r="123" spans="23:23" ht="16">
      <c r="W123"/>
    </row>
    <row r="124" spans="23:23" ht="16">
      <c r="W124"/>
    </row>
    <row r="125" spans="23:23" ht="16">
      <c r="W125"/>
    </row>
    <row r="126" spans="23:23" ht="16">
      <c r="W126"/>
    </row>
    <row r="127" spans="23:23" ht="16">
      <c r="W127"/>
    </row>
    <row r="128" spans="23:23" ht="16">
      <c r="W128"/>
    </row>
    <row r="129" spans="23:23" ht="16">
      <c r="W129"/>
    </row>
    <row r="130" spans="23:23" ht="16">
      <c r="W130"/>
    </row>
    <row r="131" spans="23:23" ht="16">
      <c r="W131"/>
    </row>
    <row r="132" spans="23:23" ht="16">
      <c r="W132"/>
    </row>
    <row r="133" spans="23:23" ht="16">
      <c r="W133"/>
    </row>
    <row r="134" spans="23:23" ht="16">
      <c r="W134"/>
    </row>
    <row r="135" spans="23:23" ht="16">
      <c r="W135"/>
    </row>
    <row r="136" spans="23:23" ht="16">
      <c r="W136"/>
    </row>
    <row r="137" spans="23:23" ht="16">
      <c r="W137"/>
    </row>
    <row r="138" spans="23:23" ht="16">
      <c r="W138"/>
    </row>
    <row r="139" spans="23:23" ht="16">
      <c r="W139"/>
    </row>
    <row r="140" spans="23:23" ht="16">
      <c r="W140"/>
    </row>
    <row r="141" spans="23:23" ht="16">
      <c r="W141"/>
    </row>
    <row r="142" spans="23:23" ht="16">
      <c r="W142"/>
    </row>
    <row r="143" spans="23:23" ht="16">
      <c r="W143"/>
    </row>
    <row r="144" spans="23:23" ht="16">
      <c r="W144"/>
    </row>
    <row r="145" spans="23:23" ht="16">
      <c r="W145"/>
    </row>
    <row r="146" spans="23:23" ht="16">
      <c r="W146"/>
    </row>
    <row r="147" spans="23:23" ht="16">
      <c r="W147"/>
    </row>
    <row r="148" spans="23:23" ht="16">
      <c r="W148"/>
    </row>
    <row r="149" spans="23:23" ht="16">
      <c r="W149"/>
    </row>
    <row r="150" spans="23:23" ht="16">
      <c r="W150"/>
    </row>
    <row r="151" spans="23:23" ht="16">
      <c r="W151"/>
    </row>
    <row r="152" spans="23:23" ht="16">
      <c r="W152"/>
    </row>
    <row r="153" spans="23:23" ht="16">
      <c r="W153"/>
    </row>
    <row r="154" spans="23:23" ht="16">
      <c r="W154"/>
    </row>
    <row r="155" spans="23:23" ht="16">
      <c r="W155"/>
    </row>
    <row r="156" spans="23:23" ht="16">
      <c r="W156"/>
    </row>
    <row r="157" spans="23:23" ht="16">
      <c r="W157"/>
    </row>
    <row r="158" spans="23:23" ht="16">
      <c r="W158"/>
    </row>
    <row r="159" spans="23:23" ht="16">
      <c r="W159"/>
    </row>
    <row r="160" spans="23:23" ht="16">
      <c r="W160"/>
    </row>
    <row r="161" spans="23:23" ht="16">
      <c r="W161"/>
    </row>
    <row r="162" spans="23:23" ht="16">
      <c r="W162"/>
    </row>
    <row r="163" spans="23:23" ht="16">
      <c r="W163"/>
    </row>
    <row r="164" spans="23:23" ht="16">
      <c r="W164"/>
    </row>
    <row r="165" spans="23:23" ht="16">
      <c r="W165"/>
    </row>
    <row r="166" spans="23:23" ht="16">
      <c r="W166"/>
    </row>
    <row r="167" spans="23:23" ht="16">
      <c r="W167"/>
    </row>
    <row r="168" spans="23:23" ht="16">
      <c r="W168"/>
    </row>
    <row r="169" spans="23:23" ht="16">
      <c r="W169"/>
    </row>
    <row r="170" spans="23:23" ht="16">
      <c r="W170"/>
    </row>
    <row r="171" spans="23:23" ht="16">
      <c r="W171"/>
    </row>
    <row r="172" spans="23:23" ht="16">
      <c r="W172"/>
    </row>
    <row r="173" spans="23:23" ht="16">
      <c r="W173"/>
    </row>
    <row r="174" spans="23:23" ht="16">
      <c r="W174"/>
    </row>
    <row r="175" spans="23:23" ht="16">
      <c r="W175"/>
    </row>
    <row r="176" spans="23:23" ht="16">
      <c r="W176"/>
    </row>
    <row r="177" spans="23:23" ht="16">
      <c r="W177"/>
    </row>
    <row r="178" spans="23:23" ht="16">
      <c r="W178"/>
    </row>
    <row r="179" spans="23:23" ht="16">
      <c r="W179"/>
    </row>
    <row r="180" spans="23:23" ht="16">
      <c r="W180"/>
    </row>
    <row r="181" spans="23:23" ht="16">
      <c r="W181"/>
    </row>
    <row r="182" spans="23:23" ht="16">
      <c r="W182"/>
    </row>
    <row r="183" spans="23:23" ht="16">
      <c r="W183"/>
    </row>
    <row r="184" spans="23:23" ht="16">
      <c r="W184"/>
    </row>
    <row r="185" spans="23:23" ht="16">
      <c r="W185"/>
    </row>
    <row r="186" spans="23:23" ht="16">
      <c r="W186"/>
    </row>
    <row r="187" spans="23:23" ht="16">
      <c r="W187"/>
    </row>
    <row r="188" spans="23:23" ht="16">
      <c r="W188"/>
    </row>
    <row r="189" spans="23:23" ht="16">
      <c r="W189"/>
    </row>
    <row r="190" spans="23:23" ht="16">
      <c r="W190"/>
    </row>
    <row r="191" spans="23:23" ht="16">
      <c r="W191"/>
    </row>
    <row r="192" spans="23:23" ht="16">
      <c r="W192"/>
    </row>
    <row r="193" spans="23:23" ht="16">
      <c r="W193"/>
    </row>
    <row r="194" spans="23:23" ht="16">
      <c r="W194"/>
    </row>
    <row r="195" spans="23:23" ht="16">
      <c r="W195"/>
    </row>
    <row r="196" spans="23:23" ht="16">
      <c r="W196"/>
    </row>
    <row r="197" spans="23:23" ht="16">
      <c r="W197"/>
    </row>
    <row r="198" spans="23:23" ht="16">
      <c r="W198"/>
    </row>
    <row r="199" spans="23:23" ht="16">
      <c r="W199"/>
    </row>
    <row r="200" spans="23:23" ht="16">
      <c r="W200"/>
    </row>
    <row r="201" spans="23:23" ht="16">
      <c r="W201"/>
    </row>
    <row r="202" spans="23:23" ht="16">
      <c r="W202"/>
    </row>
    <row r="203" spans="23:23" ht="16">
      <c r="W203"/>
    </row>
    <row r="204" spans="23:23" ht="16">
      <c r="W204"/>
    </row>
    <row r="205" spans="23:23" ht="16">
      <c r="W205"/>
    </row>
    <row r="206" spans="23:23" ht="16">
      <c r="W206"/>
    </row>
    <row r="207" spans="23:23" ht="16">
      <c r="W207"/>
    </row>
  </sheetData>
  <mergeCells count="17">
    <mergeCell ref="D8:H13"/>
    <mergeCell ref="D14:H14"/>
    <mergeCell ref="L49:N49"/>
    <mergeCell ref="F24:H24"/>
    <mergeCell ref="I45:J45"/>
    <mergeCell ref="I47:J47"/>
    <mergeCell ref="I43:J43"/>
    <mergeCell ref="M45:N45"/>
    <mergeCell ref="M47:N47"/>
    <mergeCell ref="M43:N43"/>
    <mergeCell ref="F18:H18"/>
    <mergeCell ref="F21:H21"/>
    <mergeCell ref="L50:N50"/>
    <mergeCell ref="L51:N51"/>
    <mergeCell ref="L52:N52"/>
    <mergeCell ref="L69:N69"/>
    <mergeCell ref="F16:H16"/>
  </mergeCell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6920-C6BF-467B-A762-3EFEE7B04B41}">
  <dimension ref="B2:F194"/>
  <sheetViews>
    <sheetView workbookViewId="0">
      <pane xSplit="3" ySplit="3" topLeftCell="D74" activePane="bottomRight" state="frozen"/>
      <selection pane="topRight" activeCell="D1" sqref="D1"/>
      <selection pane="bottomLeft" activeCell="A3" sqref="A3"/>
      <selection pane="bottomRight" activeCell="C11" sqref="C11"/>
    </sheetView>
  </sheetViews>
  <sheetFormatPr baseColWidth="10" defaultColWidth="11.08203125" defaultRowHeight="16"/>
  <cols>
    <col min="1" max="1" width="1.58203125" style="254" customWidth="1"/>
    <col min="2" max="2" width="11.08203125" style="254"/>
    <col min="3" max="3" width="44.08203125" style="260" customWidth="1"/>
    <col min="4" max="4" width="16.08203125" style="255" customWidth="1"/>
    <col min="5" max="5" width="16.08203125" style="257" customWidth="1"/>
    <col min="6" max="6" width="70.08203125" style="259" customWidth="1"/>
    <col min="7" max="16384" width="11.08203125" style="254"/>
  </cols>
  <sheetData>
    <row r="2" spans="2:6" s="256" customFormat="1" ht="15">
      <c r="B2" s="357" t="s">
        <v>2349</v>
      </c>
      <c r="C2" s="357"/>
      <c r="D2" s="357"/>
      <c r="E2" s="357"/>
      <c r="F2" s="357"/>
    </row>
    <row r="3" spans="2:6" s="256" customFormat="1" ht="25">
      <c r="B3" s="261" t="s">
        <v>2350</v>
      </c>
      <c r="C3" s="262" t="s">
        <v>67</v>
      </c>
      <c r="D3" s="261" t="s">
        <v>75</v>
      </c>
      <c r="E3" s="263" t="s">
        <v>85</v>
      </c>
      <c r="F3" s="261" t="s">
        <v>114</v>
      </c>
    </row>
    <row r="4" spans="2:6" s="258" customFormat="1" ht="11.5">
      <c r="B4" s="264" t="s">
        <v>405</v>
      </c>
      <c r="C4" s="265" t="s">
        <v>471</v>
      </c>
      <c r="D4" s="266" t="str">
        <f>+VLOOKUP($C4,'Proyectos Base digitable'!$G$2:$BB$325,9,FALSE)</f>
        <v>Entregado</v>
      </c>
      <c r="E4" s="269">
        <f>+VLOOKUP($C4,'Proyectos Base digitable'!$G$2:$BB$325,19,FALSE)</f>
        <v>45540</v>
      </c>
      <c r="F4" s="267" t="str">
        <f>+VLOOKUP($C4,'Proyectos Base digitable'!$G$2:$BB$325,46,FALSE)</f>
        <v>impulso economico mediante incremento de turistas en la zona</v>
      </c>
    </row>
    <row r="5" spans="2:6" s="258" customFormat="1" ht="11.5">
      <c r="B5" s="264" t="s">
        <v>405</v>
      </c>
      <c r="C5" s="265" t="s">
        <v>492</v>
      </c>
      <c r="D5" s="266" t="str">
        <f>+VLOOKUP($C5,'Proyectos Base digitable'!$G$2:$BB$325,9,FALSE)</f>
        <v>En_Ejecución</v>
      </c>
      <c r="E5" s="269">
        <f>+VLOOKUP($C5,'Proyectos Base digitable'!$G$2:$BB$325,19,FALSE)</f>
        <v>45991</v>
      </c>
      <c r="F5" s="267" t="str">
        <f>+VLOOKUP($C5,'Proyectos Base digitable'!$G$2:$BB$325,46,FALSE)</f>
        <v>mejoramiento de sanidad en espacio publico</v>
      </c>
    </row>
    <row r="6" spans="2:6" s="258" customFormat="1" ht="11.5">
      <c r="B6" s="264" t="s">
        <v>976</v>
      </c>
      <c r="C6" s="265" t="s">
        <v>1064</v>
      </c>
      <c r="D6" s="266" t="str">
        <f>+VLOOKUP($C6,'Proyectos Base digitable'!$G$2:$BB$325,9,FALSE)</f>
        <v>Entregado</v>
      </c>
      <c r="E6" s="268">
        <f>+VLOOKUP($C6,'Proyectos Base digitable'!$G$2:$BB$325,19,FALSE)</f>
        <v>45473</v>
      </c>
      <c r="F6" s="267">
        <f>+VLOOKUP($C6,'Proyectos Base digitable'!$G$2:$BB$325,46,FALSE)</f>
        <v>0</v>
      </c>
    </row>
    <row r="7" spans="2:6" s="258" customFormat="1" ht="11.5">
      <c r="B7" s="264" t="s">
        <v>405</v>
      </c>
      <c r="C7" s="265" t="s">
        <v>629</v>
      </c>
      <c r="D7" s="266" t="str">
        <f>+VLOOKUP($C7,'Proyectos Base digitable'!$G$2:$BB$325,9,FALSE)</f>
        <v>En_Ejecución</v>
      </c>
      <c r="E7" s="268">
        <f>+VLOOKUP($C7,'Proyectos Base digitable'!$G$2:$BB$325,22,FALSE)</f>
        <v>0</v>
      </c>
      <c r="F7" s="267"/>
    </row>
    <row r="8" spans="2:6" s="258" customFormat="1" ht="46">
      <c r="B8" s="264" t="s">
        <v>405</v>
      </c>
      <c r="C8" s="265" t="s">
        <v>456</v>
      </c>
      <c r="D8" s="266" t="str">
        <f>+VLOOKUP($C8,'Proyectos Base digitable'!$G$2:$BB$325,9,FALSE)</f>
        <v>Terminado</v>
      </c>
      <c r="E8" s="268">
        <v>45503</v>
      </c>
      <c r="F8" s="267" t="str">
        <f>+VLOOKUP($C8,'Proyectos Base digitable'!$G$2:$BB$325,46,FALSE)</f>
        <v>rehabilitar la playa y convertirla en un 
espacio de intercambio cultural y social, con diferentes usos, que favorezcan la economía del sector y 
que revitalicen el borde costero del atlántico y lo integren con la ciudad.</v>
      </c>
    </row>
    <row r="9" spans="2:6" s="258" customFormat="1" ht="11.5">
      <c r="B9" s="264" t="s">
        <v>1471</v>
      </c>
      <c r="C9" s="265" t="s">
        <v>1492</v>
      </c>
      <c r="D9" s="266" t="str">
        <f>+VLOOKUP($C9,'Proyectos Base digitable'!$G$2:$BB$325,9,FALSE)</f>
        <v>Terminado</v>
      </c>
      <c r="E9" s="268">
        <v>45503</v>
      </c>
      <c r="F9" s="267">
        <f>+VLOOKUP($C9,'Proyectos Base digitable'!$G$2:$BB$325,46,FALSE)</f>
        <v>0</v>
      </c>
    </row>
    <row r="10" spans="2:6" s="258" customFormat="1" ht="11.5">
      <c r="B10" s="264" t="s">
        <v>116</v>
      </c>
      <c r="C10" s="265" t="s">
        <v>357</v>
      </c>
      <c r="D10" s="266" t="str">
        <f>+VLOOKUP($C10,'Proyectos Base digitable'!$G$2:$BB$325,9,FALSE)</f>
        <v>En_Ejecución</v>
      </c>
      <c r="E10" s="268">
        <f>+VLOOKUP($C10,'Proyectos Base digitable'!$G$2:$BB$325,19,FALSE)</f>
        <v>45597</v>
      </c>
      <c r="F10" s="267">
        <f>+VLOOKUP($C10,'Proyectos Base digitable'!$G$2:$BB$325,46,FALSE)</f>
        <v>0</v>
      </c>
    </row>
    <row r="11" spans="2:6" s="258" customFormat="1" ht="46">
      <c r="B11" s="264" t="s">
        <v>405</v>
      </c>
      <c r="C11" s="265" t="s">
        <v>469</v>
      </c>
      <c r="D11" s="266" t="str">
        <f>+VLOOKUP($C11,'Proyectos Base digitable'!$G$2:$BB$325,9,FALSE)</f>
        <v>Terminado</v>
      </c>
      <c r="E11" s="268">
        <f>+VLOOKUP($C11,'Proyectos Base digitable'!$G$2:$BB$325,19,FALSE)</f>
        <v>45596</v>
      </c>
      <c r="F11" s="267" t="str">
        <f>+VLOOKUP($C11,'Proyectos Base digitable'!$G$2:$BB$325,46,FALSE)</f>
        <v>rehabilitar la playa y convertirla en un 
espacio de intercambio cultural y social, con diferentes usos, que favorezcan la economía del sector y 
que revitalicen el borde costero del atlántico y lo integren con la ciudad.</v>
      </c>
    </row>
    <row r="12" spans="2:6" s="258" customFormat="1" ht="11.5">
      <c r="B12" s="264" t="s">
        <v>405</v>
      </c>
      <c r="C12" s="265" t="s">
        <v>581</v>
      </c>
      <c r="D12" s="266" t="str">
        <f>+VLOOKUP($C12,'Proyectos Base digitable'!$G$2:$BB$325,9,FALSE)</f>
        <v>En_Ejecución</v>
      </c>
      <c r="E12" s="268">
        <f>+VLOOKUP($C12,'Proyectos Base digitable'!$G$2:$BB$325,19,FALSE)</f>
        <v>45930</v>
      </c>
      <c r="F12" s="267">
        <f>+VLOOKUP($C12,'Proyectos Base digitable'!$G$2:$BB$325,46,FALSE)</f>
        <v>0</v>
      </c>
    </row>
    <row r="13" spans="2:6" s="258" customFormat="1" ht="11.5">
      <c r="B13" s="264" t="s">
        <v>405</v>
      </c>
      <c r="C13" s="265" t="s">
        <v>624</v>
      </c>
      <c r="D13" s="266" t="str">
        <f>+VLOOKUP($C13,'Proyectos Base digitable'!$G$2:$BB$325,9,FALSE)</f>
        <v>En_Ejecución</v>
      </c>
      <c r="E13" s="268">
        <f>+VLOOKUP($C13,'Proyectos Base digitable'!$G$2:$BB$325,22,FALSE)</f>
        <v>0</v>
      </c>
      <c r="F13" s="267"/>
    </row>
    <row r="14" spans="2:6" s="258" customFormat="1" ht="11.5">
      <c r="B14" s="264" t="s">
        <v>1471</v>
      </c>
      <c r="C14" s="265" t="s">
        <v>1486</v>
      </c>
      <c r="D14" s="266" t="str">
        <f>+VLOOKUP($C14,'Proyectos Base digitable'!$G$2:$BB$325,9,FALSE)</f>
        <v>Terminado</v>
      </c>
      <c r="E14" s="268" t="str">
        <f>+VLOOKUP($C14,'Proyectos Base digitable'!$G$2:$BB$325,22,FALSE)</f>
        <v>No</v>
      </c>
      <c r="F14" s="267">
        <f>+VLOOKUP($C14,'Proyectos Base digitable'!$G$2:$BB$325,46,FALSE)</f>
        <v>0</v>
      </c>
    </row>
    <row r="15" spans="2:6" s="258" customFormat="1" ht="11.5">
      <c r="B15" s="264" t="s">
        <v>1573</v>
      </c>
      <c r="C15" s="265" t="s">
        <v>1597</v>
      </c>
      <c r="D15" s="266" t="str">
        <f>+VLOOKUP($C15,'Proyectos Base digitable'!$G$2:$BB$325,9,FALSE)</f>
        <v>Terminado</v>
      </c>
      <c r="E15" s="268">
        <f>+VLOOKUP($C15,'Proyectos Base digitable'!$G$2:$BB$325,19,FALSE)</f>
        <v>45657</v>
      </c>
      <c r="F15" s="267">
        <f>+VLOOKUP($C15,'Proyectos Base digitable'!$G$2:$BB$325,46,FALSE)</f>
        <v>0</v>
      </c>
    </row>
    <row r="16" spans="2:6" s="258" customFormat="1" ht="11.5">
      <c r="B16" s="264" t="s">
        <v>1573</v>
      </c>
      <c r="C16" s="265" t="s">
        <v>1605</v>
      </c>
      <c r="D16" s="266" t="str">
        <f>+VLOOKUP($C16,'Proyectos Base digitable'!$G$2:$BB$325,9,FALSE)</f>
        <v>Terminado</v>
      </c>
      <c r="E16" s="268">
        <f>+VLOOKUP($C16,'Proyectos Base digitable'!$G$2:$BB$325,19,FALSE)</f>
        <v>45657</v>
      </c>
      <c r="F16" s="267">
        <f>+VLOOKUP($C16,'Proyectos Base digitable'!$G$2:$BB$325,46,FALSE)</f>
        <v>0</v>
      </c>
    </row>
    <row r="17" spans="2:6" s="258" customFormat="1" ht="11.5">
      <c r="B17" s="264" t="s">
        <v>1573</v>
      </c>
      <c r="C17" s="265" t="s">
        <v>1609</v>
      </c>
      <c r="D17" s="266" t="str">
        <f>+VLOOKUP($C17,'Proyectos Base digitable'!$G$2:$BB$325,9,FALSE)</f>
        <v>Terminado</v>
      </c>
      <c r="E17" s="268">
        <f>+VLOOKUP($C17,'Proyectos Base digitable'!$G$2:$BB$325,19,FALSE)</f>
        <v>45657</v>
      </c>
      <c r="F17" s="267">
        <f>+VLOOKUP($C17,'Proyectos Base digitable'!$G$2:$BB$325,46,FALSE)</f>
        <v>0</v>
      </c>
    </row>
    <row r="18" spans="2:6" s="258" customFormat="1" ht="11.5">
      <c r="B18" s="264" t="s">
        <v>405</v>
      </c>
      <c r="C18" s="265" t="s">
        <v>634</v>
      </c>
      <c r="D18" s="266" t="str">
        <f>+VLOOKUP($C18,'Proyectos Base digitable'!$G$2:$BB$325,9,FALSE)</f>
        <v>En_Ejecución</v>
      </c>
      <c r="E18" s="268">
        <f>+VLOOKUP($C18,'Proyectos Base digitable'!$G$2:$BB$325,22,FALSE)</f>
        <v>0</v>
      </c>
      <c r="F18" s="267"/>
    </row>
    <row r="19" spans="2:6" s="258" customFormat="1" ht="11.5">
      <c r="B19" s="264" t="s">
        <v>405</v>
      </c>
      <c r="C19" s="265" t="s">
        <v>640</v>
      </c>
      <c r="D19" s="266" t="str">
        <f>+VLOOKUP($C19,'Proyectos Base digitable'!$G$2:$BB$325,9,FALSE)</f>
        <v>En_Ejecución</v>
      </c>
      <c r="E19" s="268">
        <f>+VLOOKUP($C19,'Proyectos Base digitable'!$G$2:$BB$325,22,FALSE)</f>
        <v>0</v>
      </c>
      <c r="F19" s="267"/>
    </row>
    <row r="20" spans="2:6" s="258" customFormat="1" ht="11.5">
      <c r="B20" s="264" t="s">
        <v>1502</v>
      </c>
      <c r="C20" s="265" t="s">
        <v>1548</v>
      </c>
      <c r="D20" s="266" t="str">
        <f>+VLOOKUP($C20,'Proyectos Base digitable'!$G$2:$BB$325,9,FALSE)</f>
        <v>Terminado</v>
      </c>
      <c r="E20" s="268">
        <f>+VLOOKUP($C20,'Proyectos Base digitable'!$G$2:$BB$325,19,FALSE)</f>
        <v>45534</v>
      </c>
      <c r="F20" s="267">
        <f>+VLOOKUP($C20,'Proyectos Base digitable'!$G$2:$BB$325,46,FALSE)</f>
        <v>0</v>
      </c>
    </row>
    <row r="21" spans="2:6" s="258" customFormat="1" ht="11.5">
      <c r="B21" s="264" t="s">
        <v>405</v>
      </c>
      <c r="C21" s="265" t="s">
        <v>609</v>
      </c>
      <c r="D21" s="266" t="str">
        <f>+VLOOKUP($C21,'Proyectos Base digitable'!$G$2:$BB$325,9,FALSE)</f>
        <v>En_Ejecución</v>
      </c>
      <c r="E21" s="268">
        <f>+VLOOKUP($C21,'Proyectos Base digitable'!$G$2:$BB$325,22,FALSE)</f>
        <v>0</v>
      </c>
      <c r="F21" s="267"/>
    </row>
    <row r="22" spans="2:6" s="258" customFormat="1" ht="11.5">
      <c r="B22" s="264" t="s">
        <v>1573</v>
      </c>
      <c r="C22" s="265" t="s">
        <v>1592</v>
      </c>
      <c r="D22" s="266" t="str">
        <f>+VLOOKUP($C22,'Proyectos Base digitable'!$G$2:$BB$325,9,FALSE)</f>
        <v>Terminado</v>
      </c>
      <c r="E22" s="268">
        <f>+VLOOKUP($C22,'Proyectos Base digitable'!$G$2:$BB$325,19,FALSE)</f>
        <v>45657</v>
      </c>
      <c r="F22" s="267">
        <f>+VLOOKUP($C22,'Proyectos Base digitable'!$G$2:$BB$325,46,FALSE)</f>
        <v>0</v>
      </c>
    </row>
    <row r="23" spans="2:6" s="258" customFormat="1" ht="11.5">
      <c r="B23" s="264" t="s">
        <v>1573</v>
      </c>
      <c r="C23" s="265" t="s">
        <v>1586</v>
      </c>
      <c r="D23" s="266" t="str">
        <f>+VLOOKUP($C23,'Proyectos Base digitable'!$G$2:$BB$325,9,FALSE)</f>
        <v>Terminado</v>
      </c>
      <c r="E23" s="268">
        <f>+VLOOKUP($C23,'Proyectos Base digitable'!$G$2:$BB$325,19,FALSE)</f>
        <v>45657</v>
      </c>
      <c r="F23" s="267">
        <f>+VLOOKUP($C23,'Proyectos Base digitable'!$G$2:$BB$325,46,FALSE)</f>
        <v>0</v>
      </c>
    </row>
    <row r="24" spans="2:6" s="258" customFormat="1" ht="11.5">
      <c r="B24" s="264" t="s">
        <v>1573</v>
      </c>
      <c r="C24" s="265" t="s">
        <v>1601</v>
      </c>
      <c r="D24" s="266" t="str">
        <f>+VLOOKUP($C24,'Proyectos Base digitable'!$G$2:$BB$325,9,FALSE)</f>
        <v>Terminado</v>
      </c>
      <c r="E24" s="268">
        <f>+VLOOKUP($C24,'Proyectos Base digitable'!$G$2:$BB$325,19,FALSE)</f>
        <v>45657</v>
      </c>
      <c r="F24" s="267"/>
    </row>
    <row r="25" spans="2:6" s="258" customFormat="1" ht="11.5">
      <c r="B25" s="264" t="s">
        <v>1471</v>
      </c>
      <c r="C25" s="265" t="s">
        <v>1473</v>
      </c>
      <c r="D25" s="266" t="str">
        <f>+VLOOKUP($C25,'Proyectos Base digitable'!$G$2:$BB$325,9,FALSE)</f>
        <v>En_Ejecución</v>
      </c>
      <c r="E25" s="268" t="str">
        <f>+VLOOKUP($C25,'Proyectos Base digitable'!$G$2:$BB$325,22,FALSE)</f>
        <v>No</v>
      </c>
      <c r="F25" s="267">
        <f>+VLOOKUP($C25,'Proyectos Base digitable'!$G$2:$BB$325,46,FALSE)</f>
        <v>0</v>
      </c>
    </row>
    <row r="26" spans="2:6" s="258" customFormat="1" ht="11.5">
      <c r="B26" s="264" t="s">
        <v>1573</v>
      </c>
      <c r="C26" s="265" t="s">
        <v>1613</v>
      </c>
      <c r="D26" s="266" t="str">
        <f>+VLOOKUP($C26,'Proyectos Base digitable'!$G$2:$BB$325,9,FALSE)</f>
        <v>En_Ejecución</v>
      </c>
      <c r="E26" s="268">
        <f>+VLOOKUP($C26,'Proyectos Base digitable'!$G$2:$BB$325,19,FALSE)</f>
        <v>45657</v>
      </c>
      <c r="F26" s="267"/>
    </row>
    <row r="27" spans="2:6" s="258" customFormat="1" ht="11.5">
      <c r="B27" s="264" t="s">
        <v>1471</v>
      </c>
      <c r="C27" s="265" t="s">
        <v>1497</v>
      </c>
      <c r="D27" s="266" t="str">
        <f>+VLOOKUP($C27,'Proyectos Base digitable'!$G$2:$BB$325,9,FALSE)</f>
        <v>Terminado</v>
      </c>
      <c r="E27" s="268" t="str">
        <f>+VLOOKUP($C27,'Proyectos Base digitable'!$G$2:$BB$325,22,FALSE)</f>
        <v>No</v>
      </c>
      <c r="F27" s="267">
        <f>+VLOOKUP($C27,'Proyectos Base digitable'!$G$2:$BB$325,46,FALSE)</f>
        <v>0</v>
      </c>
    </row>
    <row r="28" spans="2:6" s="258" customFormat="1" ht="11.5">
      <c r="B28" s="264" t="s">
        <v>405</v>
      </c>
      <c r="C28" s="265" t="s">
        <v>438</v>
      </c>
      <c r="D28" s="266" t="str">
        <f>+VLOOKUP($C28,'Proyectos Base digitable'!$G$2:$BB$325,9,FALSE)</f>
        <v>Terminado</v>
      </c>
      <c r="E28" s="268">
        <f>+VLOOKUP($C28,'Proyectos Base digitable'!$G$2:$BB$325,19,FALSE)</f>
        <v>45565</v>
      </c>
      <c r="F28" s="267" t="str">
        <f>+VLOOKUP($C28,'Proyectos Base digitable'!$G$2:$BB$325,46,FALSE)</f>
        <v>Pontencializar la vocación turistica del sector.</v>
      </c>
    </row>
    <row r="29" spans="2:6" s="258" customFormat="1" ht="11.5">
      <c r="B29" s="264" t="s">
        <v>405</v>
      </c>
      <c r="C29" s="265" t="s">
        <v>598</v>
      </c>
      <c r="D29" s="266" t="str">
        <f>+VLOOKUP($C29,'Proyectos Base digitable'!$G$2:$BB$325,9,FALSE)</f>
        <v>Entregado</v>
      </c>
      <c r="E29" s="268">
        <f>+VLOOKUP($C29,'Proyectos Base digitable'!$G$2:$BB$325,19,FALSE)</f>
        <v>45616</v>
      </c>
      <c r="F29" s="267">
        <f>+VLOOKUP($C29,'Proyectos Base digitable'!$G$2:$BB$325,46,FALSE)</f>
        <v>0</v>
      </c>
    </row>
    <row r="30" spans="2:6" s="258" customFormat="1" ht="11.5">
      <c r="B30" s="264" t="s">
        <v>976</v>
      </c>
      <c r="C30" s="265" t="s">
        <v>1008</v>
      </c>
      <c r="D30" s="266" t="str">
        <f>+VLOOKUP($C30,'Proyectos Base digitable'!$G$2:$BB$325,9,FALSE)</f>
        <v>Terminado</v>
      </c>
      <c r="E30" s="268">
        <f>+VLOOKUP($C30,'Proyectos Base digitable'!$G$2:$BB$325,19,FALSE)</f>
        <v>45777</v>
      </c>
      <c r="F30" s="267">
        <f>+VLOOKUP($C30,'Proyectos Base digitable'!$G$2:$BB$325,46,FALSE)</f>
        <v>0</v>
      </c>
    </row>
    <row r="31" spans="2:6" s="258" customFormat="1" ht="11.5">
      <c r="B31" s="264" t="s">
        <v>976</v>
      </c>
      <c r="C31" s="265" t="s">
        <v>993</v>
      </c>
      <c r="D31" s="266" t="str">
        <f>+VLOOKUP($C31,'Proyectos Base digitable'!$G$2:$BB$325,9,FALSE)</f>
        <v>Terminado</v>
      </c>
      <c r="E31" s="268">
        <f>+VLOOKUP($C31,'Proyectos Base digitable'!$G$2:$BB$325,19,FALSE)</f>
        <v>45777</v>
      </c>
      <c r="F31" s="267">
        <f>+VLOOKUP($C31,'Proyectos Base digitable'!$G$2:$BB$325,46,FALSE)</f>
        <v>0</v>
      </c>
    </row>
    <row r="32" spans="2:6" s="258" customFormat="1" ht="11.5">
      <c r="B32" s="264" t="s">
        <v>405</v>
      </c>
      <c r="C32" s="265" t="s">
        <v>734</v>
      </c>
      <c r="D32" s="266" t="str">
        <f>+VLOOKUP($C32,'Proyectos Base digitable'!$G$2:$BB$325,9,FALSE)</f>
        <v>Terminado</v>
      </c>
      <c r="E32" s="268">
        <f>+VLOOKUP($C32,'Proyectos Base digitable'!$G$2:$BB$325,19,FALSE)</f>
        <v>45657</v>
      </c>
      <c r="F32" s="267"/>
    </row>
    <row r="33" spans="2:6" s="258" customFormat="1" ht="11.5">
      <c r="B33" s="264" t="s">
        <v>405</v>
      </c>
      <c r="C33" s="265" t="s">
        <v>747</v>
      </c>
      <c r="D33" s="266" t="str">
        <f>+VLOOKUP($C33,'Proyectos Base digitable'!$G$2:$BB$325,9,FALSE)</f>
        <v>Terminado</v>
      </c>
      <c r="E33" s="268">
        <f>+VLOOKUP($C33,'Proyectos Base digitable'!$G$2:$BB$325,19,FALSE)</f>
        <v>45657</v>
      </c>
      <c r="F33" s="267"/>
    </row>
    <row r="34" spans="2:6" s="258" customFormat="1" ht="11.5">
      <c r="B34" s="264" t="s">
        <v>976</v>
      </c>
      <c r="C34" s="265" t="s">
        <v>1148</v>
      </c>
      <c r="D34" s="266" t="str">
        <f>+VLOOKUP($C34,'Proyectos Base digitable'!$G$2:$BB$325,9,FALSE)</f>
        <v>En_Ejecución</v>
      </c>
      <c r="E34" s="268" t="str">
        <f>+VLOOKUP($C34,'Proyectos Base digitable'!$G$2:$BB$325,22,FALSE)</f>
        <v>Si</v>
      </c>
      <c r="F34" s="267">
        <f>+VLOOKUP($C34,'Proyectos Base digitable'!$G$2:$BB$325,46,FALSE)</f>
        <v>0</v>
      </c>
    </row>
    <row r="35" spans="2:6" s="258" customFormat="1" ht="23">
      <c r="B35" s="264" t="s">
        <v>976</v>
      </c>
      <c r="C35" s="265" t="s">
        <v>1091</v>
      </c>
      <c r="D35" s="266" t="str">
        <f>+VLOOKUP($C35,'Proyectos Base digitable'!$G$2:$BB$325,9,FALSE)</f>
        <v>En_Ejecución</v>
      </c>
      <c r="E35" s="271" t="s">
        <v>2351</v>
      </c>
      <c r="F35" s="267">
        <f>+VLOOKUP($C35,'Proyectos Base digitable'!$G$2:$BB$325,46,FALSE)</f>
        <v>0</v>
      </c>
    </row>
    <row r="36" spans="2:6" s="258" customFormat="1" ht="11.5">
      <c r="B36" s="264" t="s">
        <v>405</v>
      </c>
      <c r="C36" s="265" t="s">
        <v>427</v>
      </c>
      <c r="D36" s="270" t="str">
        <f>+VLOOKUP($C36,'Proyectos Base digitable'!$G$2:$BB$325,9,FALSE)</f>
        <v>Terminado</v>
      </c>
      <c r="E36" s="270" t="s">
        <v>534</v>
      </c>
      <c r="F36" s="267" t="str">
        <f>+VLOOKUP($C36,'Proyectos Base digitable'!$G$2:$BB$325,46,FALSE)</f>
        <v xml:space="preserve">Desarrollar una zona de esparcimiento público y de encuentro con la naturaleza. </v>
      </c>
    </row>
    <row r="42" spans="2:6">
      <c r="B42" s="357" t="s">
        <v>2352</v>
      </c>
      <c r="C42" s="357"/>
      <c r="D42" s="357"/>
      <c r="E42" s="357"/>
      <c r="F42" s="357"/>
    </row>
    <row r="43" spans="2:6" ht="25">
      <c r="B43" s="261" t="s">
        <v>2350</v>
      </c>
      <c r="C43" s="262" t="s">
        <v>67</v>
      </c>
      <c r="D43" s="261" t="s">
        <v>75</v>
      </c>
      <c r="E43" s="263" t="s">
        <v>85</v>
      </c>
      <c r="F43" s="261" t="s">
        <v>114</v>
      </c>
    </row>
    <row r="44" spans="2:6">
      <c r="B44" s="264" t="s">
        <v>1573</v>
      </c>
      <c r="C44" s="265" t="s">
        <v>1700</v>
      </c>
      <c r="D44" s="266" t="str">
        <f>+VLOOKUP($C44,'Proyectos Base digitable'!$G$2:$BB$325,9,FALSE)</f>
        <v>Terminado</v>
      </c>
      <c r="E44" s="268">
        <f>+VLOOKUP($C44,'Proyectos Base digitable'!$G$2:$BB$325,19,FALSE)</f>
        <v>45492</v>
      </c>
      <c r="F44" s="267"/>
    </row>
    <row r="45" spans="2:6">
      <c r="B45" s="264" t="s">
        <v>1573</v>
      </c>
      <c r="C45" s="265" t="s">
        <v>1706</v>
      </c>
      <c r="D45" s="266" t="str">
        <f>+VLOOKUP($C45,'Proyectos Base digitable'!$G$2:$BB$325,9,FALSE)</f>
        <v>Terminado</v>
      </c>
      <c r="E45" s="268">
        <f>+VLOOKUP($C45,'Proyectos Base digitable'!$G$2:$BB$325,19,FALSE)</f>
        <v>45495</v>
      </c>
      <c r="F45" s="267"/>
    </row>
    <row r="46" spans="2:6">
      <c r="B46" s="264" t="s">
        <v>405</v>
      </c>
      <c r="C46" s="265" t="s">
        <v>829</v>
      </c>
      <c r="D46" s="266" t="str">
        <f>+VLOOKUP($C46,'Proyectos Base digitable'!$G$2:$BB$325,9,FALSE)</f>
        <v>Terminado</v>
      </c>
      <c r="E46" s="268">
        <f>+VLOOKUP($C46,'Proyectos Base digitable'!$G$2:$BB$325,19,FALSE)</f>
        <v>45500</v>
      </c>
      <c r="F46" s="267"/>
    </row>
    <row r="47" spans="2:6">
      <c r="B47" s="264" t="s">
        <v>1912</v>
      </c>
      <c r="C47" s="265" t="s">
        <v>1914</v>
      </c>
      <c r="D47" s="266" t="str">
        <f>+VLOOKUP($C47,'Proyectos Base digitable'!$G$2:$BB$325,9,FALSE)</f>
        <v>En_Ejecución</v>
      </c>
      <c r="E47" s="268">
        <f>+VLOOKUP($C47,'Proyectos Base digitable'!$G$2:$BB$325,19,FALSE)</f>
        <v>45611</v>
      </c>
      <c r="F47" s="267"/>
    </row>
    <row r="48" spans="2:6">
      <c r="B48" s="264" t="s">
        <v>116</v>
      </c>
      <c r="C48" s="265" t="s">
        <v>343</v>
      </c>
      <c r="D48" s="266" t="str">
        <f>+VLOOKUP($C48,'Proyectos Base digitable'!$G$2:$BB$325,9,FALSE)</f>
        <v>Terminado</v>
      </c>
      <c r="E48" s="268">
        <f>+VLOOKUP($C48,'Proyectos Base digitable'!$G$2:$BB$325,19,FALSE)</f>
        <v>45504</v>
      </c>
      <c r="F48" s="267"/>
    </row>
    <row r="49" spans="2:6">
      <c r="B49" s="264" t="s">
        <v>405</v>
      </c>
      <c r="C49" s="265" t="s">
        <v>121</v>
      </c>
      <c r="D49" s="266" t="e">
        <f>+VLOOKUP($C49,'Proyectos Base digitable'!$G$2:$BB$325,9,FALSE)</f>
        <v>#N/A</v>
      </c>
      <c r="E49" s="268" t="e">
        <f>+VLOOKUP($C49,'Proyectos Base digitable'!$G$2:$BB$325,19,FALSE)</f>
        <v>#N/A</v>
      </c>
      <c r="F49" s="267"/>
    </row>
    <row r="50" spans="2:6">
      <c r="B50" s="264" t="s">
        <v>405</v>
      </c>
      <c r="C50" s="265" t="s">
        <v>153</v>
      </c>
      <c r="D50" s="266" t="e">
        <f>+VLOOKUP($C50,'Proyectos Base digitable'!$G$2:$BB$325,9,FALSE)</f>
        <v>#N/A</v>
      </c>
      <c r="E50" s="268" t="e">
        <f>+VLOOKUP($C50,'Proyectos Base digitable'!$G$2:$BB$325,19,FALSE)</f>
        <v>#N/A</v>
      </c>
      <c r="F50" s="267"/>
    </row>
    <row r="51" spans="2:6">
      <c r="B51" s="264" t="s">
        <v>405</v>
      </c>
      <c r="C51" s="265" t="s">
        <v>162</v>
      </c>
      <c r="D51" s="266" t="e">
        <f>+VLOOKUP($C51,'Proyectos Base digitable'!$G$2:$BB$325,9,FALSE)</f>
        <v>#N/A</v>
      </c>
      <c r="E51" s="268" t="e">
        <f>+VLOOKUP($C51,'Proyectos Base digitable'!$G$2:$BB$325,19,FALSE)</f>
        <v>#N/A</v>
      </c>
      <c r="F51" s="267"/>
    </row>
    <row r="52" spans="2:6">
      <c r="B52" s="264" t="s">
        <v>405</v>
      </c>
      <c r="C52" s="265" t="s">
        <v>171</v>
      </c>
      <c r="D52" s="266" t="e">
        <f>+VLOOKUP($C52,'Proyectos Base digitable'!$G$2:$BB$325,9,FALSE)</f>
        <v>#N/A</v>
      </c>
      <c r="E52" s="268" t="e">
        <f>+VLOOKUP($C52,'Proyectos Base digitable'!$G$2:$BB$325,19,FALSE)</f>
        <v>#N/A</v>
      </c>
      <c r="F52" s="267"/>
    </row>
    <row r="53" spans="2:6">
      <c r="B53" s="264" t="s">
        <v>405</v>
      </c>
      <c r="C53" s="265" t="s">
        <v>178</v>
      </c>
      <c r="D53" s="266" t="e">
        <f>+VLOOKUP($C53,'Proyectos Base digitable'!$G$2:$BB$325,9,FALSE)</f>
        <v>#N/A</v>
      </c>
      <c r="E53" s="268" t="e">
        <f>+VLOOKUP($C53,'Proyectos Base digitable'!$G$2:$BB$325,19,FALSE)</f>
        <v>#N/A</v>
      </c>
      <c r="F53" s="267"/>
    </row>
    <row r="54" spans="2:6">
      <c r="B54" s="264" t="s">
        <v>405</v>
      </c>
      <c r="C54" s="265" t="s">
        <v>192</v>
      </c>
      <c r="D54" s="266" t="e">
        <f>+VLOOKUP($C54,'Proyectos Base digitable'!$G$2:$BB$325,9,FALSE)</f>
        <v>#N/A</v>
      </c>
      <c r="E54" s="268" t="e">
        <f>+VLOOKUP($C54,'Proyectos Base digitable'!$G$2:$BB$325,19,FALSE)</f>
        <v>#N/A</v>
      </c>
      <c r="F54" s="267"/>
    </row>
    <row r="55" spans="2:6">
      <c r="B55" s="264" t="s">
        <v>405</v>
      </c>
      <c r="C55" s="265" t="s">
        <v>199</v>
      </c>
      <c r="D55" s="266" t="e">
        <f>+VLOOKUP($C55,'Proyectos Base digitable'!$G$2:$BB$325,9,FALSE)</f>
        <v>#N/A</v>
      </c>
      <c r="E55" s="268" t="e">
        <f>+VLOOKUP($C55,'Proyectos Base digitable'!$G$2:$BB$325,19,FALSE)</f>
        <v>#N/A</v>
      </c>
      <c r="F55" s="267"/>
    </row>
    <row r="56" spans="2:6">
      <c r="B56" s="264" t="s">
        <v>405</v>
      </c>
      <c r="C56" s="265" t="s">
        <v>206</v>
      </c>
      <c r="D56" s="266" t="e">
        <f>+VLOOKUP($C56,'Proyectos Base digitable'!$G$2:$BB$325,9,FALSE)</f>
        <v>#N/A</v>
      </c>
      <c r="E56" s="268" t="e">
        <f>+VLOOKUP($C56,'Proyectos Base digitable'!$G$2:$BB$325,19,FALSE)</f>
        <v>#N/A</v>
      </c>
      <c r="F56" s="267"/>
    </row>
    <row r="57" spans="2:6">
      <c r="B57" s="264" t="s">
        <v>405</v>
      </c>
      <c r="C57" s="265" t="s">
        <v>212</v>
      </c>
      <c r="D57" s="266" t="e">
        <f>+VLOOKUP($C57,'Proyectos Base digitable'!$G$2:$BB$325,9,FALSE)</f>
        <v>#N/A</v>
      </c>
      <c r="E57" s="268" t="e">
        <f>+VLOOKUP($C57,'Proyectos Base digitable'!$G$2:$BB$325,19,FALSE)</f>
        <v>#N/A</v>
      </c>
      <c r="F57" s="267"/>
    </row>
    <row r="58" spans="2:6">
      <c r="B58" s="264" t="s">
        <v>405</v>
      </c>
      <c r="C58" s="265" t="s">
        <v>749</v>
      </c>
      <c r="D58" s="266" t="str">
        <f>+VLOOKUP($C58,'Proyectos Base digitable'!$G$2:$BB$325,9,FALSE)</f>
        <v>Terminado</v>
      </c>
      <c r="E58" s="268">
        <f>+VLOOKUP($C58,'Proyectos Base digitable'!$G$2:$BB$325,19,FALSE)</f>
        <v>45565</v>
      </c>
      <c r="F58" s="267"/>
    </row>
    <row r="59" spans="2:6">
      <c r="B59" s="264" t="s">
        <v>1502</v>
      </c>
      <c r="C59" s="265" t="s">
        <v>1531</v>
      </c>
      <c r="D59" s="266" t="str">
        <f>+VLOOKUP($C59,'Proyectos Base digitable'!$G$2:$BB$325,9,FALSE)</f>
        <v>Terminado</v>
      </c>
      <c r="E59" s="268">
        <f>+VLOOKUP($C59,'Proyectos Base digitable'!$G$2:$BB$325,19,FALSE)</f>
        <v>45583</v>
      </c>
      <c r="F59" s="267"/>
    </row>
    <row r="60" spans="2:6">
      <c r="B60" s="264" t="s">
        <v>116</v>
      </c>
      <c r="C60" s="265" t="s">
        <v>328</v>
      </c>
      <c r="D60" s="266" t="str">
        <f>+VLOOKUP($C60,'Proyectos Base digitable'!$G$2:$BB$325,9,FALSE)</f>
        <v>En_Ejecución</v>
      </c>
      <c r="E60" s="268">
        <f>+VLOOKUP($C60,'Proyectos Base digitable'!$G$2:$BB$325,19,FALSE)</f>
        <v>45657</v>
      </c>
      <c r="F60" s="267"/>
    </row>
    <row r="61" spans="2:6">
      <c r="B61" s="264" t="s">
        <v>405</v>
      </c>
      <c r="C61" s="265" t="s">
        <v>645</v>
      </c>
      <c r="D61" s="266" t="str">
        <f>+VLOOKUP($C61,'Proyectos Base digitable'!$G$2:$BB$325,9,FALSE)</f>
        <v>En_Ejecución</v>
      </c>
      <c r="E61" s="268">
        <f>+VLOOKUP($C61,'Proyectos Base digitable'!$G$2:$BB$325,19,FALSE)</f>
        <v>45930</v>
      </c>
      <c r="F61" s="267"/>
    </row>
    <row r="62" spans="2:6">
      <c r="B62" s="264" t="s">
        <v>405</v>
      </c>
      <c r="C62" s="265" t="s">
        <v>651</v>
      </c>
      <c r="D62" s="266" t="str">
        <f>+VLOOKUP($C62,'Proyectos Base digitable'!$G$2:$BB$325,9,FALSE)</f>
        <v>En_Ejecución</v>
      </c>
      <c r="E62" s="268">
        <f>+VLOOKUP($C62,'Proyectos Base digitable'!$G$2:$BB$325,19,FALSE)</f>
        <v>45930</v>
      </c>
      <c r="F62" s="267"/>
    </row>
    <row r="63" spans="2:6">
      <c r="B63" s="264" t="s">
        <v>405</v>
      </c>
      <c r="C63" s="265" t="s">
        <v>656</v>
      </c>
      <c r="D63" s="266" t="str">
        <f>+VLOOKUP($C63,'Proyectos Base digitable'!$G$2:$BB$325,9,FALSE)</f>
        <v>En_Ejecución</v>
      </c>
      <c r="E63" s="268">
        <f>+VLOOKUP($C63,'Proyectos Base digitable'!$G$2:$BB$325,19,FALSE)</f>
        <v>45930</v>
      </c>
      <c r="F63" s="267"/>
    </row>
    <row r="64" spans="2:6">
      <c r="B64" s="264" t="s">
        <v>405</v>
      </c>
      <c r="C64" s="265" t="s">
        <v>660</v>
      </c>
      <c r="D64" s="266" t="str">
        <f>+VLOOKUP($C64,'Proyectos Base digitable'!$G$2:$BB$325,9,FALSE)</f>
        <v>En_Ejecución</v>
      </c>
      <c r="E64" s="268">
        <f>+VLOOKUP($C64,'Proyectos Base digitable'!$G$2:$BB$325,19,FALSE)</f>
        <v>45930</v>
      </c>
      <c r="F64" s="267"/>
    </row>
    <row r="65" spans="2:6">
      <c r="B65" s="264" t="s">
        <v>405</v>
      </c>
      <c r="C65" s="265" t="s">
        <v>665</v>
      </c>
      <c r="D65" s="266" t="str">
        <f>+VLOOKUP($C65,'Proyectos Base digitable'!$G$2:$BB$325,9,FALSE)</f>
        <v>En_Ejecución</v>
      </c>
      <c r="E65" s="268">
        <f>+VLOOKUP($C65,'Proyectos Base digitable'!$G$2:$BB$325,19,FALSE)</f>
        <v>45930</v>
      </c>
      <c r="F65" s="267"/>
    </row>
    <row r="66" spans="2:6">
      <c r="B66" s="264" t="s">
        <v>405</v>
      </c>
      <c r="C66" s="265" t="s">
        <v>670</v>
      </c>
      <c r="D66" s="266" t="str">
        <f>+VLOOKUP($C66,'Proyectos Base digitable'!$G$2:$BB$325,9,FALSE)</f>
        <v>En_Ejecución</v>
      </c>
      <c r="E66" s="268">
        <f>+VLOOKUP($C66,'Proyectos Base digitable'!$G$2:$BB$325,19,FALSE)</f>
        <v>45930</v>
      </c>
      <c r="F66" s="267"/>
    </row>
    <row r="67" spans="2:6">
      <c r="B67" s="264" t="s">
        <v>405</v>
      </c>
      <c r="C67" s="265" t="s">
        <v>2353</v>
      </c>
      <c r="D67" s="266" t="e">
        <f>+VLOOKUP($C67,'Proyectos Base digitable'!$G$2:$BB$325,9,FALSE)</f>
        <v>#N/A</v>
      </c>
      <c r="E67" s="268" t="e">
        <f>+VLOOKUP($C67,'Proyectos Base digitable'!$G$2:$BB$325,19,FALSE)</f>
        <v>#N/A</v>
      </c>
      <c r="F67" s="267"/>
    </row>
    <row r="68" spans="2:6">
      <c r="B68" s="264" t="s">
        <v>405</v>
      </c>
      <c r="C68" s="265" t="s">
        <v>2354</v>
      </c>
      <c r="D68" s="266" t="e">
        <f>+VLOOKUP($C68,'Proyectos Base digitable'!$G$2:$BB$325,9,FALSE)</f>
        <v>#N/A</v>
      </c>
      <c r="E68" s="268" t="e">
        <f>+VLOOKUP($C68,'Proyectos Base digitable'!$G$2:$BB$325,19,FALSE)</f>
        <v>#N/A</v>
      </c>
      <c r="F68" s="267"/>
    </row>
    <row r="69" spans="2:6">
      <c r="B69" s="264" t="s">
        <v>405</v>
      </c>
      <c r="C69" s="265" t="s">
        <v>2355</v>
      </c>
      <c r="D69" s="266" t="e">
        <f>+VLOOKUP($C69,'Proyectos Base digitable'!$G$2:$BB$325,9,FALSE)</f>
        <v>#N/A</v>
      </c>
      <c r="E69" s="268" t="e">
        <f>+VLOOKUP($C69,'Proyectos Base digitable'!$G$2:$BB$325,19,FALSE)</f>
        <v>#N/A</v>
      </c>
      <c r="F69" s="267"/>
    </row>
    <row r="70" spans="2:6">
      <c r="B70" s="264" t="s">
        <v>405</v>
      </c>
      <c r="C70" s="265" t="s">
        <v>2356</v>
      </c>
      <c r="D70" s="266" t="e">
        <f>+VLOOKUP($C70,'Proyectos Base digitable'!$G$2:$BB$325,9,FALSE)</f>
        <v>#N/A</v>
      </c>
      <c r="E70" s="268" t="e">
        <f>+VLOOKUP($C70,'Proyectos Base digitable'!$G$2:$BB$325,19,FALSE)</f>
        <v>#N/A</v>
      </c>
      <c r="F70" s="267"/>
    </row>
    <row r="71" spans="2:6">
      <c r="B71" s="264" t="s">
        <v>405</v>
      </c>
      <c r="C71" s="265" t="s">
        <v>2357</v>
      </c>
      <c r="D71" s="266" t="e">
        <f>+VLOOKUP($C71,'Proyectos Base digitable'!$G$2:$BB$325,9,FALSE)</f>
        <v>#N/A</v>
      </c>
      <c r="E71" s="268" t="e">
        <f>+VLOOKUP($C71,'Proyectos Base digitable'!$G$2:$BB$325,19,FALSE)</f>
        <v>#N/A</v>
      </c>
      <c r="F71" s="267"/>
    </row>
    <row r="72" spans="2:6">
      <c r="B72" s="264" t="s">
        <v>405</v>
      </c>
      <c r="C72" s="265" t="s">
        <v>2358</v>
      </c>
      <c r="D72" s="266" t="e">
        <f>+VLOOKUP($C72,'Proyectos Base digitable'!$G$2:$BB$325,9,FALSE)</f>
        <v>#N/A</v>
      </c>
      <c r="E72" s="268" t="e">
        <f>+VLOOKUP($C72,'Proyectos Base digitable'!$G$2:$BB$325,19,FALSE)</f>
        <v>#N/A</v>
      </c>
      <c r="F72" s="267"/>
    </row>
    <row r="73" spans="2:6">
      <c r="B73" s="264" t="s">
        <v>405</v>
      </c>
      <c r="C73" s="265" t="s">
        <v>2359</v>
      </c>
      <c r="D73" s="266" t="e">
        <f>+VLOOKUP($C73,'Proyectos Base digitable'!$G$2:$BB$325,9,FALSE)</f>
        <v>#N/A</v>
      </c>
      <c r="E73" s="268" t="e">
        <f>+VLOOKUP($C73,'Proyectos Base digitable'!$G$2:$BB$325,19,FALSE)</f>
        <v>#N/A</v>
      </c>
      <c r="F73" s="267"/>
    </row>
    <row r="74" spans="2:6">
      <c r="B74" s="264" t="s">
        <v>405</v>
      </c>
      <c r="C74" s="265" t="s">
        <v>2360</v>
      </c>
      <c r="D74" s="266" t="e">
        <f>+VLOOKUP($C74,'Proyectos Base digitable'!$G$2:$BB$325,9,FALSE)</f>
        <v>#N/A</v>
      </c>
      <c r="E74" s="268" t="e">
        <f>+VLOOKUP($C74,'Proyectos Base digitable'!$G$2:$BB$325,19,FALSE)</f>
        <v>#N/A</v>
      </c>
      <c r="F74" s="267"/>
    </row>
    <row r="75" spans="2:6">
      <c r="B75" s="264" t="s">
        <v>405</v>
      </c>
      <c r="C75" s="265" t="s">
        <v>2361</v>
      </c>
      <c r="D75" s="266" t="e">
        <f>+VLOOKUP($C75,'Proyectos Base digitable'!$G$2:$BB$325,9,FALSE)</f>
        <v>#N/A</v>
      </c>
      <c r="E75" s="268" t="e">
        <f>+VLOOKUP($C75,'Proyectos Base digitable'!$G$2:$BB$325,19,FALSE)</f>
        <v>#N/A</v>
      </c>
      <c r="F75" s="267"/>
    </row>
    <row r="76" spans="2:6">
      <c r="B76" s="264" t="s">
        <v>405</v>
      </c>
      <c r="C76" s="265" t="s">
        <v>2362</v>
      </c>
      <c r="D76" s="266" t="e">
        <f>+VLOOKUP($C76,'Proyectos Base digitable'!$G$2:$BB$325,9,FALSE)</f>
        <v>#N/A</v>
      </c>
      <c r="E76" s="268" t="e">
        <f>+VLOOKUP($C76,'Proyectos Base digitable'!$G$2:$BB$325,19,FALSE)</f>
        <v>#N/A</v>
      </c>
      <c r="F76" s="267"/>
    </row>
    <row r="77" spans="2:6">
      <c r="B77" s="264" t="s">
        <v>405</v>
      </c>
      <c r="C77" s="265" t="s">
        <v>2363</v>
      </c>
      <c r="D77" s="266" t="e">
        <f>+VLOOKUP($C77,'Proyectos Base digitable'!$G$2:$BB$325,9,FALSE)</f>
        <v>#N/A</v>
      </c>
      <c r="E77" s="268" t="e">
        <f>+VLOOKUP($C77,'Proyectos Base digitable'!$G$2:$BB$325,19,FALSE)</f>
        <v>#N/A</v>
      </c>
      <c r="F77" s="267"/>
    </row>
    <row r="78" spans="2:6">
      <c r="B78" s="264" t="s">
        <v>405</v>
      </c>
      <c r="C78" s="265" t="s">
        <v>2364</v>
      </c>
      <c r="D78" s="266" t="e">
        <f>+VLOOKUP($C78,'Proyectos Base digitable'!$G$2:$BB$325,9,FALSE)</f>
        <v>#N/A</v>
      </c>
      <c r="E78" s="268" t="e">
        <f>+VLOOKUP($C78,'Proyectos Base digitable'!$G$2:$BB$325,19,FALSE)</f>
        <v>#N/A</v>
      </c>
      <c r="F78" s="267"/>
    </row>
    <row r="79" spans="2:6">
      <c r="B79" s="264" t="s">
        <v>405</v>
      </c>
      <c r="C79" s="265" t="s">
        <v>2365</v>
      </c>
      <c r="D79" s="266" t="e">
        <f>+VLOOKUP($C79,'Proyectos Base digitable'!$G$2:$BB$325,9,FALSE)</f>
        <v>#N/A</v>
      </c>
      <c r="E79" s="268" t="e">
        <f>+VLOOKUP($C79,'Proyectos Base digitable'!$G$2:$BB$325,19,FALSE)</f>
        <v>#N/A</v>
      </c>
      <c r="F79" s="267"/>
    </row>
    <row r="80" spans="2:6">
      <c r="B80" s="264" t="s">
        <v>405</v>
      </c>
      <c r="C80" s="265" t="s">
        <v>2366</v>
      </c>
      <c r="D80" s="266" t="e">
        <f>+VLOOKUP($C80,'Proyectos Base digitable'!$G$2:$BB$325,9,FALSE)</f>
        <v>#N/A</v>
      </c>
      <c r="E80" s="268" t="e">
        <f>+VLOOKUP($C80,'Proyectos Base digitable'!$G$2:$BB$325,19,FALSE)</f>
        <v>#N/A</v>
      </c>
      <c r="F80" s="267"/>
    </row>
    <row r="81" spans="2:6">
      <c r="B81" s="264" t="s">
        <v>405</v>
      </c>
      <c r="C81" s="265" t="s">
        <v>2367</v>
      </c>
      <c r="D81" s="266" t="e">
        <f>+VLOOKUP($C81,'Proyectos Base digitable'!$G$2:$BB$325,9,FALSE)</f>
        <v>#N/A</v>
      </c>
      <c r="E81" s="268" t="e">
        <f>+VLOOKUP($C81,'Proyectos Base digitable'!$G$2:$BB$325,19,FALSE)</f>
        <v>#N/A</v>
      </c>
      <c r="F81" s="267"/>
    </row>
    <row r="82" spans="2:6">
      <c r="B82" s="264" t="s">
        <v>405</v>
      </c>
      <c r="C82" s="265" t="s">
        <v>2368</v>
      </c>
      <c r="D82" s="266" t="e">
        <f>+VLOOKUP($C82,'Proyectos Base digitable'!$G$2:$BB$325,9,FALSE)</f>
        <v>#N/A</v>
      </c>
      <c r="E82" s="268" t="e">
        <f>+VLOOKUP($C82,'Proyectos Base digitable'!$G$2:$BB$325,19,FALSE)</f>
        <v>#N/A</v>
      </c>
      <c r="F82" s="267"/>
    </row>
    <row r="83" spans="2:6">
      <c r="B83" s="264" t="s">
        <v>405</v>
      </c>
      <c r="C83" s="265" t="s">
        <v>2369</v>
      </c>
      <c r="D83" s="266" t="e">
        <f>+VLOOKUP($C83,'Proyectos Base digitable'!$G$2:$BB$325,9,FALSE)</f>
        <v>#N/A</v>
      </c>
      <c r="E83" s="268" t="e">
        <f>+VLOOKUP($C83,'Proyectos Base digitable'!$G$2:$BB$325,19,FALSE)</f>
        <v>#N/A</v>
      </c>
      <c r="F83" s="267"/>
    </row>
    <row r="84" spans="2:6">
      <c r="B84" s="264" t="s">
        <v>405</v>
      </c>
      <c r="C84" s="265" t="s">
        <v>2370</v>
      </c>
      <c r="D84" s="266" t="e">
        <f>+VLOOKUP($C84,'Proyectos Base digitable'!$G$2:$BB$325,9,FALSE)</f>
        <v>#N/A</v>
      </c>
      <c r="E84" s="268" t="e">
        <f>+VLOOKUP($C84,'Proyectos Base digitable'!$G$2:$BB$325,19,FALSE)</f>
        <v>#N/A</v>
      </c>
      <c r="F84" s="267"/>
    </row>
    <row r="85" spans="2:6">
      <c r="B85" s="264" t="s">
        <v>405</v>
      </c>
      <c r="C85" s="265" t="s">
        <v>2371</v>
      </c>
      <c r="D85" s="266" t="e">
        <f>+VLOOKUP($C85,'Proyectos Base digitable'!$G$2:$BB$325,9,FALSE)</f>
        <v>#N/A</v>
      </c>
      <c r="E85" s="268" t="e">
        <f>+VLOOKUP($C85,'Proyectos Base digitable'!$G$2:$BB$325,19,FALSE)</f>
        <v>#N/A</v>
      </c>
      <c r="F85" s="267"/>
    </row>
    <row r="86" spans="2:6">
      <c r="B86" s="264" t="s">
        <v>405</v>
      </c>
      <c r="C86" s="265" t="s">
        <v>2372</v>
      </c>
      <c r="D86" s="266" t="e">
        <f>+VLOOKUP($C86,'Proyectos Base digitable'!$G$2:$BB$325,9,FALSE)</f>
        <v>#N/A</v>
      </c>
      <c r="E86" s="268" t="e">
        <f>+VLOOKUP($C86,'Proyectos Base digitable'!$G$2:$BB$325,19,FALSE)</f>
        <v>#N/A</v>
      </c>
      <c r="F86" s="267"/>
    </row>
    <row r="87" spans="2:6">
      <c r="B87" s="264" t="s">
        <v>405</v>
      </c>
      <c r="C87" s="265" t="s">
        <v>2373</v>
      </c>
      <c r="D87" s="266" t="e">
        <f>+VLOOKUP($C87,'Proyectos Base digitable'!$G$2:$BB$325,9,FALSE)</f>
        <v>#N/A</v>
      </c>
      <c r="E87" s="268" t="e">
        <f>+VLOOKUP($C87,'Proyectos Base digitable'!$G$2:$BB$325,19,FALSE)</f>
        <v>#N/A</v>
      </c>
      <c r="F87" s="267"/>
    </row>
    <row r="88" spans="2:6">
      <c r="B88" s="264" t="s">
        <v>405</v>
      </c>
      <c r="C88" s="265" t="s">
        <v>2374</v>
      </c>
      <c r="D88" s="266" t="e">
        <f>+VLOOKUP($C88,'Proyectos Base digitable'!$G$2:$BB$325,9,FALSE)</f>
        <v>#N/A</v>
      </c>
      <c r="E88" s="268" t="e">
        <f>+VLOOKUP($C88,'Proyectos Base digitable'!$G$2:$BB$325,19,FALSE)</f>
        <v>#N/A</v>
      </c>
      <c r="F88" s="267"/>
    </row>
    <row r="89" spans="2:6">
      <c r="B89" s="264" t="s">
        <v>405</v>
      </c>
      <c r="C89" s="265" t="s">
        <v>2375</v>
      </c>
      <c r="D89" s="266" t="e">
        <f>+VLOOKUP($C89,'Proyectos Base digitable'!$G$2:$BB$325,9,FALSE)</f>
        <v>#N/A</v>
      </c>
      <c r="E89" s="268" t="e">
        <f>+VLOOKUP($C89,'Proyectos Base digitable'!$G$2:$BB$325,19,FALSE)</f>
        <v>#N/A</v>
      </c>
      <c r="F89" s="267"/>
    </row>
    <row r="90" spans="2:6">
      <c r="B90" s="264" t="s">
        <v>405</v>
      </c>
      <c r="C90" s="265" t="s">
        <v>2376</v>
      </c>
      <c r="D90" s="266" t="e">
        <f>+VLOOKUP($C90,'Proyectos Base digitable'!$G$2:$BB$325,9,FALSE)</f>
        <v>#N/A</v>
      </c>
      <c r="E90" s="268" t="e">
        <f>+VLOOKUP($C90,'Proyectos Base digitable'!$G$2:$BB$325,19,FALSE)</f>
        <v>#N/A</v>
      </c>
      <c r="F90" s="267"/>
    </row>
    <row r="91" spans="2:6">
      <c r="B91" s="264" t="s">
        <v>405</v>
      </c>
      <c r="C91" s="265" t="s">
        <v>2377</v>
      </c>
      <c r="D91" s="266" t="e">
        <f>+VLOOKUP($C91,'Proyectos Base digitable'!$G$2:$BB$325,9,FALSE)</f>
        <v>#N/A</v>
      </c>
      <c r="E91" s="268" t="e">
        <f>+VLOOKUP($C91,'Proyectos Base digitable'!$G$2:$BB$325,19,FALSE)</f>
        <v>#N/A</v>
      </c>
      <c r="F91" s="267"/>
    </row>
    <row r="92" spans="2:6">
      <c r="B92" s="264" t="s">
        <v>405</v>
      </c>
      <c r="C92" s="265" t="s">
        <v>2378</v>
      </c>
      <c r="D92" s="266" t="e">
        <f>+VLOOKUP($C92,'Proyectos Base digitable'!$G$2:$BB$325,9,FALSE)</f>
        <v>#N/A</v>
      </c>
      <c r="E92" s="268" t="e">
        <f>+VLOOKUP($C92,'Proyectos Base digitable'!$G$2:$BB$325,19,FALSE)</f>
        <v>#N/A</v>
      </c>
      <c r="F92" s="267"/>
    </row>
    <row r="93" spans="2:6">
      <c r="B93" s="264" t="s">
        <v>405</v>
      </c>
      <c r="C93" s="265" t="s">
        <v>2379</v>
      </c>
      <c r="D93" s="266" t="e">
        <f>+VLOOKUP($C93,'Proyectos Base digitable'!$G$2:$BB$325,9,FALSE)</f>
        <v>#N/A</v>
      </c>
      <c r="E93" s="268" t="e">
        <f>+VLOOKUP($C93,'Proyectos Base digitable'!$G$2:$BB$325,19,FALSE)</f>
        <v>#N/A</v>
      </c>
      <c r="F93" s="267"/>
    </row>
    <row r="94" spans="2:6">
      <c r="B94" s="264" t="s">
        <v>405</v>
      </c>
      <c r="C94" s="265" t="s">
        <v>2380</v>
      </c>
      <c r="D94" s="266" t="e">
        <f>+VLOOKUP($C94,'Proyectos Base digitable'!$G$2:$BB$325,9,FALSE)</f>
        <v>#N/A</v>
      </c>
      <c r="E94" s="268" t="e">
        <f>+VLOOKUP($C94,'Proyectos Base digitable'!$G$2:$BB$325,19,FALSE)</f>
        <v>#N/A</v>
      </c>
      <c r="F94" s="267"/>
    </row>
    <row r="95" spans="2:6">
      <c r="B95" s="264" t="s">
        <v>405</v>
      </c>
      <c r="C95" s="265" t="s">
        <v>2381</v>
      </c>
      <c r="D95" s="266" t="e">
        <f>+VLOOKUP($C95,'Proyectos Base digitable'!$G$2:$BB$325,9,FALSE)</f>
        <v>#N/A</v>
      </c>
      <c r="E95" s="268" t="e">
        <f>+VLOOKUP($C95,'Proyectos Base digitable'!$G$2:$BB$325,19,FALSE)</f>
        <v>#N/A</v>
      </c>
      <c r="F95" s="267"/>
    </row>
    <row r="96" spans="2:6">
      <c r="B96" s="264" t="s">
        <v>405</v>
      </c>
      <c r="C96" s="265" t="s">
        <v>2382</v>
      </c>
      <c r="D96" s="266" t="e">
        <f>+VLOOKUP($C96,'Proyectos Base digitable'!$G$2:$BB$325,9,FALSE)</f>
        <v>#N/A</v>
      </c>
      <c r="E96" s="268" t="e">
        <f>+VLOOKUP($C96,'Proyectos Base digitable'!$G$2:$BB$325,19,FALSE)</f>
        <v>#N/A</v>
      </c>
      <c r="F96" s="267"/>
    </row>
    <row r="97" spans="2:6">
      <c r="B97" s="264" t="s">
        <v>405</v>
      </c>
      <c r="C97" s="265" t="s">
        <v>2383</v>
      </c>
      <c r="D97" s="266" t="e">
        <f>+VLOOKUP($C97,'Proyectos Base digitable'!$G$2:$BB$325,9,FALSE)</f>
        <v>#N/A</v>
      </c>
      <c r="E97" s="268" t="e">
        <f>+VLOOKUP($C97,'Proyectos Base digitable'!$G$2:$BB$325,19,FALSE)</f>
        <v>#N/A</v>
      </c>
      <c r="F97" s="267"/>
    </row>
    <row r="98" spans="2:6">
      <c r="B98" s="264" t="s">
        <v>405</v>
      </c>
      <c r="C98" s="265" t="s">
        <v>2384</v>
      </c>
      <c r="D98" s="266" t="e">
        <f>+VLOOKUP($C98,'Proyectos Base digitable'!$G$2:$BB$325,9,FALSE)</f>
        <v>#N/A</v>
      </c>
      <c r="E98" s="268" t="e">
        <f>+VLOOKUP($C98,'Proyectos Base digitable'!$G$2:$BB$325,19,FALSE)</f>
        <v>#N/A</v>
      </c>
      <c r="F98" s="267"/>
    </row>
    <row r="99" spans="2:6">
      <c r="B99" s="264" t="s">
        <v>405</v>
      </c>
      <c r="C99" s="265" t="s">
        <v>2385</v>
      </c>
      <c r="D99" s="266" t="e">
        <f>+VLOOKUP($C99,'Proyectos Base digitable'!$G$2:$BB$325,9,FALSE)</f>
        <v>#N/A</v>
      </c>
      <c r="E99" s="268" t="e">
        <f>+VLOOKUP($C99,'Proyectos Base digitable'!$G$2:$BB$325,19,FALSE)</f>
        <v>#N/A</v>
      </c>
      <c r="F99" s="267"/>
    </row>
    <row r="100" spans="2:6">
      <c r="B100" s="264" t="s">
        <v>405</v>
      </c>
      <c r="C100" s="265" t="s">
        <v>2386</v>
      </c>
      <c r="D100" s="266" t="e">
        <f>+VLOOKUP($C100,'Proyectos Base digitable'!$G$2:$BB$325,9,FALSE)</f>
        <v>#N/A</v>
      </c>
      <c r="E100" s="268" t="e">
        <f>+VLOOKUP($C100,'Proyectos Base digitable'!$G$2:$BB$325,19,FALSE)</f>
        <v>#N/A</v>
      </c>
      <c r="F100" s="267"/>
    </row>
    <row r="101" spans="2:6">
      <c r="B101" s="264" t="s">
        <v>405</v>
      </c>
      <c r="C101" s="265" t="s">
        <v>2387</v>
      </c>
      <c r="D101" s="266" t="e">
        <f>+VLOOKUP($C101,'Proyectos Base digitable'!$G$2:$BB$325,9,FALSE)</f>
        <v>#N/A</v>
      </c>
      <c r="E101" s="268" t="e">
        <f>+VLOOKUP($C101,'Proyectos Base digitable'!$G$2:$BB$325,19,FALSE)</f>
        <v>#N/A</v>
      </c>
      <c r="F101" s="267"/>
    </row>
    <row r="102" spans="2:6">
      <c r="B102" s="264" t="s">
        <v>405</v>
      </c>
      <c r="C102" s="265" t="s">
        <v>2388</v>
      </c>
      <c r="D102" s="266" t="e">
        <f>+VLOOKUP($C102,'Proyectos Base digitable'!$G$2:$BB$325,9,FALSE)</f>
        <v>#N/A</v>
      </c>
      <c r="E102" s="268" t="e">
        <f>+VLOOKUP($C102,'Proyectos Base digitable'!$G$2:$BB$325,19,FALSE)</f>
        <v>#N/A</v>
      </c>
      <c r="F102" s="267"/>
    </row>
    <row r="103" spans="2:6">
      <c r="B103" s="264" t="s">
        <v>405</v>
      </c>
      <c r="C103" s="265" t="s">
        <v>2389</v>
      </c>
      <c r="D103" s="266" t="e">
        <f>+VLOOKUP($C103,'Proyectos Base digitable'!$G$2:$BB$325,9,FALSE)</f>
        <v>#N/A</v>
      </c>
      <c r="E103" s="268" t="e">
        <f>+VLOOKUP($C103,'Proyectos Base digitable'!$G$2:$BB$325,19,FALSE)</f>
        <v>#N/A</v>
      </c>
      <c r="F103" s="267"/>
    </row>
    <row r="104" spans="2:6">
      <c r="B104" s="264" t="s">
        <v>405</v>
      </c>
      <c r="C104" s="265" t="s">
        <v>2390</v>
      </c>
      <c r="D104" s="266" t="e">
        <f>+VLOOKUP($C104,'Proyectos Base digitable'!$G$2:$BB$325,9,FALSE)</f>
        <v>#N/A</v>
      </c>
      <c r="E104" s="268" t="e">
        <f>+VLOOKUP($C104,'Proyectos Base digitable'!$G$2:$BB$325,19,FALSE)</f>
        <v>#N/A</v>
      </c>
      <c r="F104" s="267"/>
    </row>
    <row r="105" spans="2:6">
      <c r="B105" s="264" t="s">
        <v>405</v>
      </c>
      <c r="C105" s="265" t="s">
        <v>2391</v>
      </c>
      <c r="D105" s="266" t="e">
        <f>+VLOOKUP($C105,'Proyectos Base digitable'!$G$2:$BB$325,9,FALSE)</f>
        <v>#N/A</v>
      </c>
      <c r="E105" s="268" t="e">
        <f>+VLOOKUP($C105,'Proyectos Base digitable'!$G$2:$BB$325,19,FALSE)</f>
        <v>#N/A</v>
      </c>
      <c r="F105" s="267"/>
    </row>
    <row r="106" spans="2:6">
      <c r="B106" s="264" t="s">
        <v>405</v>
      </c>
      <c r="C106" s="265" t="s">
        <v>2392</v>
      </c>
      <c r="D106" s="266" t="e">
        <f>+VLOOKUP($C106,'Proyectos Base digitable'!$G$2:$BB$325,9,FALSE)</f>
        <v>#N/A</v>
      </c>
      <c r="E106" s="268" t="e">
        <f>+VLOOKUP($C106,'Proyectos Base digitable'!$G$2:$BB$325,19,FALSE)</f>
        <v>#N/A</v>
      </c>
      <c r="F106" s="267"/>
    </row>
    <row r="107" spans="2:6">
      <c r="B107" s="264" t="s">
        <v>405</v>
      </c>
      <c r="C107" s="265" t="s">
        <v>2393</v>
      </c>
      <c r="D107" s="266" t="e">
        <f>+VLOOKUP($C107,'Proyectos Base digitable'!$G$2:$BB$325,9,FALSE)</f>
        <v>#N/A</v>
      </c>
      <c r="E107" s="268" t="e">
        <f>+VLOOKUP($C107,'Proyectos Base digitable'!$G$2:$BB$325,19,FALSE)</f>
        <v>#N/A</v>
      </c>
      <c r="F107" s="267"/>
    </row>
    <row r="108" spans="2:6">
      <c r="B108" s="264" t="s">
        <v>405</v>
      </c>
      <c r="C108" s="265" t="s">
        <v>2394</v>
      </c>
      <c r="D108" s="266" t="e">
        <f>+VLOOKUP($C108,'Proyectos Base digitable'!$G$2:$BB$325,9,FALSE)</f>
        <v>#N/A</v>
      </c>
      <c r="E108" s="268" t="e">
        <f>+VLOOKUP($C108,'Proyectos Base digitable'!$G$2:$BB$325,19,FALSE)</f>
        <v>#N/A</v>
      </c>
      <c r="F108" s="267"/>
    </row>
    <row r="109" spans="2:6">
      <c r="B109" s="264" t="s">
        <v>405</v>
      </c>
      <c r="C109" s="265" t="s">
        <v>2395</v>
      </c>
      <c r="D109" s="266" t="e">
        <f>+VLOOKUP($C109,'Proyectos Base digitable'!$G$2:$BB$325,9,FALSE)</f>
        <v>#N/A</v>
      </c>
      <c r="E109" s="268" t="e">
        <f>+VLOOKUP($C109,'Proyectos Base digitable'!$G$2:$BB$325,19,FALSE)</f>
        <v>#N/A</v>
      </c>
      <c r="F109" s="267"/>
    </row>
    <row r="110" spans="2:6">
      <c r="B110" s="264" t="s">
        <v>405</v>
      </c>
      <c r="C110" s="265" t="s">
        <v>2396</v>
      </c>
      <c r="D110" s="266" t="e">
        <f>+VLOOKUP($C110,'Proyectos Base digitable'!$G$2:$BB$325,9,FALSE)</f>
        <v>#N/A</v>
      </c>
      <c r="E110" s="268" t="e">
        <f>+VLOOKUP($C110,'Proyectos Base digitable'!$G$2:$BB$325,19,FALSE)</f>
        <v>#N/A</v>
      </c>
      <c r="F110" s="267"/>
    </row>
    <row r="111" spans="2:6">
      <c r="B111" s="264" t="s">
        <v>405</v>
      </c>
      <c r="C111" s="265" t="s">
        <v>2397</v>
      </c>
      <c r="D111" s="266" t="e">
        <f>+VLOOKUP($C111,'Proyectos Base digitable'!$G$2:$BB$325,9,FALSE)</f>
        <v>#N/A</v>
      </c>
      <c r="E111" s="268" t="e">
        <f>+VLOOKUP($C111,'Proyectos Base digitable'!$G$2:$BB$325,19,FALSE)</f>
        <v>#N/A</v>
      </c>
      <c r="F111" s="267"/>
    </row>
    <row r="112" spans="2:6">
      <c r="B112" s="264" t="s">
        <v>405</v>
      </c>
      <c r="C112" s="265" t="s">
        <v>2398</v>
      </c>
      <c r="D112" s="266" t="e">
        <f>+VLOOKUP($C112,'Proyectos Base digitable'!$G$2:$BB$325,9,FALSE)</f>
        <v>#N/A</v>
      </c>
      <c r="E112" s="268" t="e">
        <f>+VLOOKUP($C112,'Proyectos Base digitable'!$G$2:$BB$325,19,FALSE)</f>
        <v>#N/A</v>
      </c>
      <c r="F112" s="267"/>
    </row>
    <row r="113" spans="2:6">
      <c r="B113" s="264" t="s">
        <v>405</v>
      </c>
      <c r="C113" s="265" t="s">
        <v>2399</v>
      </c>
      <c r="D113" s="266" t="e">
        <f>+VLOOKUP($C113,'Proyectos Base digitable'!$G$2:$BB$325,9,FALSE)</f>
        <v>#N/A</v>
      </c>
      <c r="E113" s="268" t="e">
        <f>+VLOOKUP($C113,'Proyectos Base digitable'!$G$2:$BB$325,19,FALSE)</f>
        <v>#N/A</v>
      </c>
      <c r="F113" s="267"/>
    </row>
    <row r="114" spans="2:6">
      <c r="B114" s="264" t="s">
        <v>405</v>
      </c>
      <c r="C114" s="265" t="s">
        <v>2400</v>
      </c>
      <c r="D114" s="266" t="e">
        <f>+VLOOKUP($C114,'Proyectos Base digitable'!$G$2:$BB$325,9,FALSE)</f>
        <v>#N/A</v>
      </c>
      <c r="E114" s="268" t="e">
        <f>+VLOOKUP($C114,'Proyectos Base digitable'!$G$2:$BB$325,19,FALSE)</f>
        <v>#N/A</v>
      </c>
      <c r="F114" s="267"/>
    </row>
    <row r="115" spans="2:6">
      <c r="B115" s="264" t="s">
        <v>405</v>
      </c>
      <c r="C115" s="265" t="s">
        <v>2401</v>
      </c>
      <c r="D115" s="266" t="e">
        <f>+VLOOKUP($C115,'Proyectos Base digitable'!$G$2:$BB$325,9,FALSE)</f>
        <v>#N/A</v>
      </c>
      <c r="E115" s="268" t="e">
        <f>+VLOOKUP($C115,'Proyectos Base digitable'!$G$2:$BB$325,19,FALSE)</f>
        <v>#N/A</v>
      </c>
      <c r="F115" s="267"/>
    </row>
    <row r="116" spans="2:6">
      <c r="B116" s="264" t="s">
        <v>405</v>
      </c>
      <c r="C116" s="265" t="s">
        <v>2402</v>
      </c>
      <c r="D116" s="266" t="e">
        <f>+VLOOKUP($C116,'Proyectos Base digitable'!$G$2:$BB$325,9,FALSE)</f>
        <v>#N/A</v>
      </c>
      <c r="E116" s="268" t="e">
        <f>+VLOOKUP($C116,'Proyectos Base digitable'!$G$2:$BB$325,19,FALSE)</f>
        <v>#N/A</v>
      </c>
      <c r="F116" s="267"/>
    </row>
    <row r="117" spans="2:6">
      <c r="B117" s="264" t="s">
        <v>405</v>
      </c>
      <c r="C117" s="265" t="s">
        <v>2403</v>
      </c>
      <c r="D117" s="266" t="e">
        <f>+VLOOKUP($C117,'Proyectos Base digitable'!$G$2:$BB$325,9,FALSE)</f>
        <v>#N/A</v>
      </c>
      <c r="E117" s="268" t="e">
        <f>+VLOOKUP($C117,'Proyectos Base digitable'!$G$2:$BB$325,19,FALSE)</f>
        <v>#N/A</v>
      </c>
      <c r="F117" s="267"/>
    </row>
    <row r="118" spans="2:6">
      <c r="B118" s="264" t="s">
        <v>405</v>
      </c>
      <c r="C118" s="265" t="s">
        <v>2404</v>
      </c>
      <c r="D118" s="266" t="e">
        <f>+VLOOKUP($C118,'Proyectos Base digitable'!$G$2:$BB$325,9,FALSE)</f>
        <v>#N/A</v>
      </c>
      <c r="E118" s="268" t="e">
        <f>+VLOOKUP($C118,'Proyectos Base digitable'!$G$2:$BB$325,19,FALSE)</f>
        <v>#N/A</v>
      </c>
      <c r="F118" s="267"/>
    </row>
    <row r="119" spans="2:6">
      <c r="B119" s="264" t="s">
        <v>405</v>
      </c>
      <c r="C119" s="265" t="s">
        <v>2405</v>
      </c>
      <c r="D119" s="266" t="e">
        <f>+VLOOKUP($C119,'Proyectos Base digitable'!$G$2:$BB$325,9,FALSE)</f>
        <v>#N/A</v>
      </c>
      <c r="E119" s="268" t="e">
        <f>+VLOOKUP($C119,'Proyectos Base digitable'!$G$2:$BB$325,19,FALSE)</f>
        <v>#N/A</v>
      </c>
      <c r="F119" s="267"/>
    </row>
    <row r="120" spans="2:6">
      <c r="B120" s="264" t="s">
        <v>405</v>
      </c>
      <c r="C120" s="265" t="s">
        <v>2406</v>
      </c>
      <c r="D120" s="266" t="e">
        <f>+VLOOKUP($C120,'Proyectos Base digitable'!$G$2:$BB$325,9,FALSE)</f>
        <v>#N/A</v>
      </c>
      <c r="E120" s="268" t="e">
        <f>+VLOOKUP($C120,'Proyectos Base digitable'!$G$2:$BB$325,19,FALSE)</f>
        <v>#N/A</v>
      </c>
      <c r="F120" s="267"/>
    </row>
    <row r="121" spans="2:6">
      <c r="B121" s="264" t="s">
        <v>405</v>
      </c>
      <c r="C121" s="265" t="s">
        <v>2407</v>
      </c>
      <c r="D121" s="266" t="e">
        <f>+VLOOKUP($C121,'Proyectos Base digitable'!$G$2:$BB$325,9,FALSE)</f>
        <v>#N/A</v>
      </c>
      <c r="E121" s="268" t="e">
        <f>+VLOOKUP($C121,'Proyectos Base digitable'!$G$2:$BB$325,19,FALSE)</f>
        <v>#N/A</v>
      </c>
      <c r="F121" s="267"/>
    </row>
    <row r="122" spans="2:6">
      <c r="B122" s="264" t="s">
        <v>405</v>
      </c>
      <c r="C122" s="265" t="s">
        <v>2408</v>
      </c>
      <c r="D122" s="266" t="e">
        <f>+VLOOKUP($C122,'Proyectos Base digitable'!$G$2:$BB$325,9,FALSE)</f>
        <v>#N/A</v>
      </c>
      <c r="E122" s="268" t="e">
        <f>+VLOOKUP($C122,'Proyectos Base digitable'!$G$2:$BB$325,19,FALSE)</f>
        <v>#N/A</v>
      </c>
      <c r="F122" s="267"/>
    </row>
    <row r="123" spans="2:6">
      <c r="B123" s="264" t="s">
        <v>405</v>
      </c>
      <c r="C123" s="265" t="s">
        <v>2409</v>
      </c>
      <c r="D123" s="266" t="e">
        <f>+VLOOKUP($C123,'Proyectos Base digitable'!$G$2:$BB$325,9,FALSE)</f>
        <v>#N/A</v>
      </c>
      <c r="E123" s="268" t="e">
        <f>+VLOOKUP($C123,'Proyectos Base digitable'!$G$2:$BB$325,19,FALSE)</f>
        <v>#N/A</v>
      </c>
      <c r="F123" s="267"/>
    </row>
    <row r="124" spans="2:6">
      <c r="B124" s="264" t="s">
        <v>405</v>
      </c>
      <c r="C124" s="265" t="s">
        <v>2410</v>
      </c>
      <c r="D124" s="266" t="e">
        <f>+VLOOKUP($C124,'Proyectos Base digitable'!$G$2:$BB$325,9,FALSE)</f>
        <v>#N/A</v>
      </c>
      <c r="E124" s="268" t="e">
        <f>+VLOOKUP($C124,'Proyectos Base digitable'!$G$2:$BB$325,19,FALSE)</f>
        <v>#N/A</v>
      </c>
      <c r="F124" s="267"/>
    </row>
    <row r="125" spans="2:6">
      <c r="B125" s="264" t="s">
        <v>405</v>
      </c>
      <c r="C125" s="265" t="s">
        <v>2411</v>
      </c>
      <c r="D125" s="266" t="e">
        <f>+VLOOKUP($C125,'Proyectos Base digitable'!$G$2:$BB$325,9,FALSE)</f>
        <v>#N/A</v>
      </c>
      <c r="E125" s="268" t="e">
        <f>+VLOOKUP($C125,'Proyectos Base digitable'!$G$2:$BB$325,19,FALSE)</f>
        <v>#N/A</v>
      </c>
      <c r="F125" s="267"/>
    </row>
    <row r="126" spans="2:6">
      <c r="B126" s="264" t="s">
        <v>405</v>
      </c>
      <c r="C126" s="265" t="s">
        <v>2412</v>
      </c>
      <c r="D126" s="266" t="e">
        <f>+VLOOKUP($C126,'Proyectos Base digitable'!$G$2:$BB$325,9,FALSE)</f>
        <v>#N/A</v>
      </c>
      <c r="E126" s="268" t="e">
        <f>+VLOOKUP($C126,'Proyectos Base digitable'!$G$2:$BB$325,19,FALSE)</f>
        <v>#N/A</v>
      </c>
      <c r="F126" s="267"/>
    </row>
    <row r="127" spans="2:6">
      <c r="B127" s="264" t="s">
        <v>405</v>
      </c>
      <c r="C127" s="265" t="s">
        <v>2413</v>
      </c>
      <c r="D127" s="266" t="e">
        <f>+VLOOKUP($C127,'Proyectos Base digitable'!$G$2:$BB$325,9,FALSE)</f>
        <v>#N/A</v>
      </c>
      <c r="E127" s="268" t="e">
        <f>+VLOOKUP($C127,'Proyectos Base digitable'!$G$2:$BB$325,19,FALSE)</f>
        <v>#N/A</v>
      </c>
      <c r="F127" s="267"/>
    </row>
    <row r="128" spans="2:6">
      <c r="B128" s="264" t="s">
        <v>405</v>
      </c>
      <c r="C128" s="265" t="s">
        <v>2414</v>
      </c>
      <c r="D128" s="266" t="e">
        <f>+VLOOKUP($C128,'Proyectos Base digitable'!$G$2:$BB$325,9,FALSE)</f>
        <v>#N/A</v>
      </c>
      <c r="E128" s="268" t="e">
        <f>+VLOOKUP($C128,'Proyectos Base digitable'!$G$2:$BB$325,19,FALSE)</f>
        <v>#N/A</v>
      </c>
      <c r="F128" s="267"/>
    </row>
    <row r="129" spans="2:6">
      <c r="B129" s="264" t="s">
        <v>405</v>
      </c>
      <c r="C129" s="265" t="s">
        <v>2415</v>
      </c>
      <c r="D129" s="266" t="e">
        <f>+VLOOKUP($C129,'Proyectos Base digitable'!$G$2:$BB$325,9,FALSE)</f>
        <v>#N/A</v>
      </c>
      <c r="E129" s="268" t="e">
        <f>+VLOOKUP($C129,'Proyectos Base digitable'!$G$2:$BB$325,19,FALSE)</f>
        <v>#N/A</v>
      </c>
      <c r="F129" s="267"/>
    </row>
    <row r="130" spans="2:6">
      <c r="B130" s="264" t="s">
        <v>976</v>
      </c>
      <c r="C130" s="265" t="s">
        <v>1020</v>
      </c>
      <c r="D130" s="266" t="str">
        <f>+VLOOKUP($C130,'Proyectos Base digitable'!$G$2:$BB$325,9,FALSE)</f>
        <v>Suspendido</v>
      </c>
      <c r="E130" s="268">
        <f>+VLOOKUP($C130,'Proyectos Base digitable'!$G$2:$BB$325,19,FALSE)</f>
        <v>44411</v>
      </c>
      <c r="F130" s="267">
        <f>+VLOOKUP($C130,'Proyectos Base digitable'!$G$2:$BB$325,46,FALSE)</f>
        <v>0</v>
      </c>
    </row>
    <row r="131" spans="2:6">
      <c r="B131" s="264" t="s">
        <v>976</v>
      </c>
      <c r="C131" s="265" t="s">
        <v>1036</v>
      </c>
      <c r="D131" s="266" t="str">
        <f>+VLOOKUP($C131,'Proyectos Base digitable'!$G$2:$BB$325,9,FALSE)</f>
        <v>Terminado</v>
      </c>
      <c r="E131" s="268">
        <f>+VLOOKUP($C131,'Proyectos Base digitable'!$G$2:$BB$325,19,FALSE)</f>
        <v>45787</v>
      </c>
      <c r="F131" s="267">
        <f>+VLOOKUP($C131,'Proyectos Base digitable'!$G$2:$BB$325,46,FALSE)</f>
        <v>0</v>
      </c>
    </row>
    <row r="132" spans="2:6">
      <c r="B132" s="264" t="s">
        <v>976</v>
      </c>
      <c r="C132" s="265" t="s">
        <v>1052</v>
      </c>
      <c r="D132" s="266" t="str">
        <f>+VLOOKUP($C132,'Proyectos Base digitable'!$G$2:$BB$325,9,FALSE)</f>
        <v>Suspendido</v>
      </c>
      <c r="E132" s="268">
        <f>+VLOOKUP($C132,'Proyectos Base digitable'!$G$2:$BB$325,19,FALSE)</f>
        <v>44911</v>
      </c>
      <c r="F132" s="267">
        <f>+VLOOKUP($C132,'Proyectos Base digitable'!$G$2:$BB$325,46,FALSE)</f>
        <v>0</v>
      </c>
    </row>
    <row r="133" spans="2:6">
      <c r="B133" s="264" t="s">
        <v>976</v>
      </c>
      <c r="C133" s="265" t="s">
        <v>1108</v>
      </c>
      <c r="D133" s="266" t="str">
        <f>+VLOOKUP($C133,'Proyectos Base digitable'!$G$2:$BB$325,9,FALSE)</f>
        <v>Entregado</v>
      </c>
      <c r="E133" s="268">
        <f>+VLOOKUP($C133,'Proyectos Base digitable'!$G$2:$BB$325,19,FALSE)</f>
        <v>45386</v>
      </c>
      <c r="F133" s="267">
        <f>+VLOOKUP($C133,'Proyectos Base digitable'!$G$2:$BB$325,46,FALSE)</f>
        <v>0</v>
      </c>
    </row>
    <row r="134" spans="2:6">
      <c r="B134" s="264" t="s">
        <v>976</v>
      </c>
      <c r="C134" s="265" t="s">
        <v>1114</v>
      </c>
      <c r="D134" s="266" t="str">
        <f>+VLOOKUP($C134,'Proyectos Base digitable'!$G$2:$BB$325,9,FALSE)</f>
        <v>Terminado</v>
      </c>
      <c r="E134" s="268">
        <f>+VLOOKUP($C134,'Proyectos Base digitable'!$G$2:$BB$325,19,FALSE)</f>
        <v>45604</v>
      </c>
      <c r="F134" s="267">
        <f>+VLOOKUP($C134,'Proyectos Base digitable'!$G$2:$BB$325,46,FALSE)</f>
        <v>0</v>
      </c>
    </row>
    <row r="135" spans="2:6">
      <c r="B135" s="264" t="s">
        <v>976</v>
      </c>
      <c r="C135" s="265" t="s">
        <v>1131</v>
      </c>
      <c r="D135" s="266" t="str">
        <f>+VLOOKUP($C135,'Proyectos Base digitable'!$G$2:$BB$325,9,FALSE)</f>
        <v>En_Ejecución</v>
      </c>
      <c r="E135" s="268">
        <f>+VLOOKUP($C135,'Proyectos Base digitable'!$G$2:$BB$325,19,FALSE)</f>
        <v>45930</v>
      </c>
      <c r="F135" s="267">
        <f>+VLOOKUP($C135,'Proyectos Base digitable'!$G$2:$BB$325,46,FALSE)</f>
        <v>0</v>
      </c>
    </row>
    <row r="136" spans="2:6">
      <c r="B136" s="264" t="s">
        <v>976</v>
      </c>
      <c r="C136" s="265" t="s">
        <v>1139</v>
      </c>
      <c r="D136" s="266" t="str">
        <f>+VLOOKUP($C136,'Proyectos Base digitable'!$G$2:$BB$325,9,FALSE)</f>
        <v>Terminado</v>
      </c>
      <c r="E136" s="268">
        <f>+VLOOKUP($C136,'Proyectos Base digitable'!$G$2:$BB$325,19,FALSE)</f>
        <v>45823</v>
      </c>
      <c r="F136" s="267">
        <f>+VLOOKUP($C136,'Proyectos Base digitable'!$G$2:$BB$325,46,FALSE)</f>
        <v>0</v>
      </c>
    </row>
    <row r="137" spans="2:6">
      <c r="B137" s="264" t="s">
        <v>976</v>
      </c>
      <c r="C137" s="265" t="s">
        <v>1153</v>
      </c>
      <c r="D137" s="266" t="str">
        <f>+VLOOKUP($C137,'Proyectos Base digitable'!$G$2:$BB$325,9,FALSE)</f>
        <v>Terminado</v>
      </c>
      <c r="E137" s="268">
        <f>+VLOOKUP($C137,'Proyectos Base digitable'!$G$2:$BB$325,19,FALSE)</f>
        <v>45823</v>
      </c>
      <c r="F137" s="267">
        <f>+VLOOKUP($C137,'Proyectos Base digitable'!$G$2:$BB$325,46,FALSE)</f>
        <v>0</v>
      </c>
    </row>
    <row r="138" spans="2:6">
      <c r="B138" s="264" t="s">
        <v>976</v>
      </c>
      <c r="C138" s="265" t="s">
        <v>2416</v>
      </c>
      <c r="D138" s="266" t="e">
        <f>+VLOOKUP($C138,'Proyectos Base digitable'!$G$2:$BB$325,9,FALSE)</f>
        <v>#N/A</v>
      </c>
      <c r="E138" s="268" t="e">
        <f>+VLOOKUP($C138,'Proyectos Base digitable'!$G$2:$BB$325,19,FALSE)</f>
        <v>#N/A</v>
      </c>
      <c r="F138" s="267" t="e">
        <f>+VLOOKUP($C138,'Proyectos Base digitable'!$G$2:$BB$325,46,FALSE)</f>
        <v>#N/A</v>
      </c>
    </row>
    <row r="139" spans="2:6">
      <c r="B139" s="264" t="s">
        <v>976</v>
      </c>
      <c r="C139" s="265" t="s">
        <v>1163</v>
      </c>
      <c r="D139" s="266" t="str">
        <f>+VLOOKUP($C139,'Proyectos Base digitable'!$G$2:$BB$325,9,FALSE)</f>
        <v>En_Ejecución</v>
      </c>
      <c r="E139" s="268">
        <f>+VLOOKUP($C139,'Proyectos Base digitable'!$G$2:$BB$325,19,FALSE)</f>
        <v>45869</v>
      </c>
      <c r="F139" s="267">
        <f>+VLOOKUP($C139,'Proyectos Base digitable'!$G$2:$BB$325,46,FALSE)</f>
        <v>0</v>
      </c>
    </row>
    <row r="140" spans="2:6">
      <c r="B140" s="264" t="s">
        <v>976</v>
      </c>
      <c r="C140" s="265" t="s">
        <v>1171</v>
      </c>
      <c r="D140" s="266" t="str">
        <f>+VLOOKUP($C140,'Proyectos Base digitable'!$G$2:$BB$325,9,FALSE)</f>
        <v>Terminado</v>
      </c>
      <c r="E140" s="268">
        <f>+VLOOKUP($C140,'Proyectos Base digitable'!$G$2:$BB$325,19,FALSE)</f>
        <v>45869</v>
      </c>
      <c r="F140" s="267">
        <f>+VLOOKUP($C140,'Proyectos Base digitable'!$G$2:$BB$325,46,FALSE)</f>
        <v>0</v>
      </c>
    </row>
    <row r="141" spans="2:6">
      <c r="B141" s="264" t="s">
        <v>976</v>
      </c>
      <c r="C141" s="265" t="s">
        <v>1176</v>
      </c>
      <c r="D141" s="266" t="str">
        <f>+VLOOKUP($C141,'Proyectos Base digitable'!$G$2:$BB$325,9,FALSE)</f>
        <v>En_Ejecución</v>
      </c>
      <c r="E141" s="268">
        <f>+VLOOKUP($C141,'Proyectos Base digitable'!$G$2:$BB$325,19,FALSE)</f>
        <v>45869</v>
      </c>
      <c r="F141" s="267">
        <f>+VLOOKUP($C141,'Proyectos Base digitable'!$G$2:$BB$325,46,FALSE)</f>
        <v>0</v>
      </c>
    </row>
    <row r="142" spans="2:6">
      <c r="B142" s="264" t="s">
        <v>976</v>
      </c>
      <c r="C142" s="265" t="s">
        <v>1181</v>
      </c>
      <c r="D142" s="266" t="str">
        <f>+VLOOKUP($C142,'Proyectos Base digitable'!$G$2:$BB$325,9,FALSE)</f>
        <v>En_Ejecución</v>
      </c>
      <c r="E142" s="268">
        <f>+VLOOKUP($C142,'Proyectos Base digitable'!$G$2:$BB$325,19,FALSE)</f>
        <v>45657</v>
      </c>
      <c r="F142" s="267">
        <f>+VLOOKUP($C142,'Proyectos Base digitable'!$G$2:$BB$325,46,FALSE)</f>
        <v>0</v>
      </c>
    </row>
    <row r="143" spans="2:6">
      <c r="B143" s="264" t="s">
        <v>976</v>
      </c>
      <c r="C143" s="265" t="s">
        <v>2417</v>
      </c>
      <c r="D143" s="266" t="e">
        <f>+VLOOKUP($C143,'Proyectos Base digitable'!$G$2:$BB$325,9,FALSE)</f>
        <v>#N/A</v>
      </c>
      <c r="E143" s="268" t="e">
        <f>+VLOOKUP($C143,'Proyectos Base digitable'!$G$2:$BB$325,19,FALSE)</f>
        <v>#N/A</v>
      </c>
      <c r="F143" s="267" t="e">
        <f>+VLOOKUP($C143,'Proyectos Base digitable'!$G$2:$BB$325,46,FALSE)</f>
        <v>#N/A</v>
      </c>
    </row>
    <row r="144" spans="2:6">
      <c r="B144" s="264" t="s">
        <v>976</v>
      </c>
      <c r="C144" s="265" t="s">
        <v>2418</v>
      </c>
      <c r="D144" s="266" t="e">
        <f>+VLOOKUP($C144,'Proyectos Base digitable'!$G$2:$BB$325,9,FALSE)</f>
        <v>#N/A</v>
      </c>
      <c r="E144" s="268" t="e">
        <f>+VLOOKUP($C144,'Proyectos Base digitable'!$G$2:$BB$325,19,FALSE)</f>
        <v>#N/A</v>
      </c>
      <c r="F144" s="267" t="e">
        <f>+VLOOKUP($C144,'Proyectos Base digitable'!$G$2:$BB$325,46,FALSE)</f>
        <v>#N/A</v>
      </c>
    </row>
    <row r="145" spans="2:6">
      <c r="B145" s="264" t="s">
        <v>976</v>
      </c>
      <c r="C145" s="265" t="s">
        <v>2419</v>
      </c>
      <c r="D145" s="266" t="e">
        <f>+VLOOKUP($C145,'Proyectos Base digitable'!$G$2:$BB$325,9,FALSE)</f>
        <v>#N/A</v>
      </c>
      <c r="E145" s="268" t="e">
        <f>+VLOOKUP($C145,'Proyectos Base digitable'!$G$2:$BB$325,19,FALSE)</f>
        <v>#N/A</v>
      </c>
      <c r="F145" s="267" t="e">
        <f>+VLOOKUP($C145,'Proyectos Base digitable'!$G$2:$BB$325,46,FALSE)</f>
        <v>#N/A</v>
      </c>
    </row>
    <row r="146" spans="2:6">
      <c r="B146" s="264" t="s">
        <v>976</v>
      </c>
      <c r="C146" s="265" t="s">
        <v>1187</v>
      </c>
      <c r="D146" s="266" t="str">
        <f>+VLOOKUP($C146,'Proyectos Base digitable'!$G$2:$BB$325,9,FALSE)</f>
        <v>En_Ejecución</v>
      </c>
      <c r="E146" s="268">
        <f>+VLOOKUP($C146,'Proyectos Base digitable'!$G$2:$BB$325,19,FALSE)</f>
        <v>45657</v>
      </c>
      <c r="F146" s="267">
        <f>+VLOOKUP($C146,'Proyectos Base digitable'!$G$2:$BB$325,46,FALSE)</f>
        <v>0</v>
      </c>
    </row>
    <row r="147" spans="2:6">
      <c r="B147" s="264" t="s">
        <v>976</v>
      </c>
      <c r="C147" s="265" t="s">
        <v>1191</v>
      </c>
      <c r="D147" s="266" t="str">
        <f>+VLOOKUP($C147,'Proyectos Base digitable'!$G$2:$BB$325,9,FALSE)</f>
        <v>En_Ejecución</v>
      </c>
      <c r="E147" s="268">
        <f>+VLOOKUP($C147,'Proyectos Base digitable'!$G$2:$BB$325,19,FALSE)</f>
        <v>46022</v>
      </c>
      <c r="F147" s="267">
        <f>+VLOOKUP($C147,'Proyectos Base digitable'!$G$2:$BB$325,46,FALSE)</f>
        <v>0</v>
      </c>
    </row>
    <row r="148" spans="2:6">
      <c r="B148" s="264" t="s">
        <v>976</v>
      </c>
      <c r="C148" s="265" t="s">
        <v>1197</v>
      </c>
      <c r="D148" s="266" t="str">
        <f>+VLOOKUP($C148,'Proyectos Base digitable'!$G$2:$BB$325,9,FALSE)</f>
        <v>Terminado</v>
      </c>
      <c r="E148" s="268">
        <f>+VLOOKUP($C148,'Proyectos Base digitable'!$G$2:$BB$325,19,FALSE)</f>
        <v>45868</v>
      </c>
      <c r="F148" s="267">
        <f>+VLOOKUP($C148,'Proyectos Base digitable'!$G$2:$BB$325,46,FALSE)</f>
        <v>0</v>
      </c>
    </row>
    <row r="149" spans="2:6">
      <c r="B149" s="264" t="s">
        <v>976</v>
      </c>
      <c r="C149" s="265" t="s">
        <v>1202</v>
      </c>
      <c r="D149" s="266" t="str">
        <f>+VLOOKUP($C149,'Proyectos Base digitable'!$G$2:$BB$325,9,FALSE)</f>
        <v>En_Ejecución</v>
      </c>
      <c r="E149" s="268">
        <f>+VLOOKUP($C149,'Proyectos Base digitable'!$G$2:$BB$325,19,FALSE)</f>
        <v>45868</v>
      </c>
      <c r="F149" s="267">
        <f>+VLOOKUP($C149,'Proyectos Base digitable'!$G$2:$BB$325,46,FALSE)</f>
        <v>0</v>
      </c>
    </row>
    <row r="150" spans="2:6">
      <c r="B150" s="264" t="s">
        <v>976</v>
      </c>
      <c r="C150" s="265" t="s">
        <v>1207</v>
      </c>
      <c r="D150" s="266" t="str">
        <f>+VLOOKUP($C150,'Proyectos Base digitable'!$G$2:$BB$325,9,FALSE)</f>
        <v>Terminado</v>
      </c>
      <c r="E150" s="268">
        <f>+VLOOKUP($C150,'Proyectos Base digitable'!$G$2:$BB$325,19,FALSE)</f>
        <v>45868</v>
      </c>
      <c r="F150" s="267">
        <f>+VLOOKUP($C150,'Proyectos Base digitable'!$G$2:$BB$325,46,FALSE)</f>
        <v>0</v>
      </c>
    </row>
    <row r="151" spans="2:6">
      <c r="B151" s="264" t="s">
        <v>976</v>
      </c>
      <c r="C151" s="265" t="s">
        <v>1212</v>
      </c>
      <c r="D151" s="266" t="str">
        <f>+VLOOKUP($C151,'Proyectos Base digitable'!$G$2:$BB$325,9,FALSE)</f>
        <v>Terminado</v>
      </c>
      <c r="E151" s="268">
        <f>+VLOOKUP($C151,'Proyectos Base digitable'!$G$2:$BB$325,19,FALSE)</f>
        <v>45856</v>
      </c>
      <c r="F151" s="267">
        <f>+VLOOKUP($C151,'Proyectos Base digitable'!$G$2:$BB$325,46,FALSE)</f>
        <v>0</v>
      </c>
    </row>
    <row r="152" spans="2:6">
      <c r="B152" s="264" t="s">
        <v>976</v>
      </c>
      <c r="C152" s="265" t="s">
        <v>2420</v>
      </c>
      <c r="D152" s="266" t="e">
        <f>+VLOOKUP($C152,'Proyectos Base digitable'!$G$2:$BB$325,9,FALSE)</f>
        <v>#N/A</v>
      </c>
      <c r="E152" s="268" t="e">
        <f>+VLOOKUP($C152,'Proyectos Base digitable'!$G$2:$BB$325,19,FALSE)</f>
        <v>#N/A</v>
      </c>
      <c r="F152" s="267" t="e">
        <f>+VLOOKUP($C152,'Proyectos Base digitable'!$G$2:$BB$325,46,FALSE)</f>
        <v>#N/A</v>
      </c>
    </row>
    <row r="153" spans="2:6">
      <c r="B153" s="264" t="s">
        <v>976</v>
      </c>
      <c r="C153" s="265" t="s">
        <v>1217</v>
      </c>
      <c r="D153" s="266" t="str">
        <f>+VLOOKUP($C153,'Proyectos Base digitable'!$G$2:$BB$325,9,FALSE)</f>
        <v>En_Ejecución</v>
      </c>
      <c r="E153" s="268">
        <f>+VLOOKUP($C153,'Proyectos Base digitable'!$G$2:$BB$325,19,FALSE)</f>
        <v>45657</v>
      </c>
      <c r="F153" s="267">
        <f>+VLOOKUP($C153,'Proyectos Base digitable'!$G$2:$BB$325,46,FALSE)</f>
        <v>0</v>
      </c>
    </row>
    <row r="154" spans="2:6">
      <c r="B154" s="264" t="s">
        <v>976</v>
      </c>
      <c r="C154" s="265" t="s">
        <v>1221</v>
      </c>
      <c r="D154" s="266" t="str">
        <f>+VLOOKUP($C154,'Proyectos Base digitable'!$G$2:$BB$325,9,FALSE)</f>
        <v>En_Ejecución</v>
      </c>
      <c r="E154" s="268">
        <f>+VLOOKUP($C154,'Proyectos Base digitable'!$G$2:$BB$325,19,FALSE)</f>
        <v>45657</v>
      </c>
      <c r="F154" s="267">
        <f>+VLOOKUP($C154,'Proyectos Base digitable'!$G$2:$BB$325,46,FALSE)</f>
        <v>0</v>
      </c>
    </row>
    <row r="155" spans="2:6">
      <c r="B155" s="264" t="s">
        <v>976</v>
      </c>
      <c r="C155" s="265" t="s">
        <v>1225</v>
      </c>
      <c r="D155" s="266" t="str">
        <f>+VLOOKUP($C155,'Proyectos Base digitable'!$G$2:$BB$325,9,FALSE)</f>
        <v>En_Ejecución</v>
      </c>
      <c r="E155" s="268">
        <f>+VLOOKUP($C155,'Proyectos Base digitable'!$G$2:$BB$325,19,FALSE)</f>
        <v>45657</v>
      </c>
      <c r="F155" s="267">
        <f>+VLOOKUP($C155,'Proyectos Base digitable'!$G$2:$BB$325,46,FALSE)</f>
        <v>0</v>
      </c>
    </row>
    <row r="156" spans="2:6">
      <c r="B156" s="264" t="s">
        <v>976</v>
      </c>
      <c r="C156" s="265" t="s">
        <v>1233</v>
      </c>
      <c r="D156" s="266" t="str">
        <f>+VLOOKUP($C156,'Proyectos Base digitable'!$G$2:$BB$325,9,FALSE)</f>
        <v>Terminado</v>
      </c>
      <c r="E156" s="268">
        <f>+VLOOKUP($C156,'Proyectos Base digitable'!$G$2:$BB$325,19,FALSE)</f>
        <v>45633</v>
      </c>
      <c r="F156" s="267">
        <f>+VLOOKUP($C156,'Proyectos Base digitable'!$G$2:$BB$325,46,FALSE)</f>
        <v>0</v>
      </c>
    </row>
    <row r="157" spans="2:6">
      <c r="B157" s="264" t="s">
        <v>976</v>
      </c>
      <c r="C157" s="265" t="s">
        <v>1238</v>
      </c>
      <c r="D157" s="266" t="str">
        <f>+VLOOKUP($C157,'Proyectos Base digitable'!$G$2:$BB$325,9,FALSE)</f>
        <v>En_Ejecución</v>
      </c>
      <c r="E157" s="268">
        <f>+VLOOKUP($C157,'Proyectos Base digitable'!$G$2:$BB$325,19,FALSE)</f>
        <v>45657</v>
      </c>
      <c r="F157" s="267">
        <f>+VLOOKUP($C157,'Proyectos Base digitable'!$G$2:$BB$325,46,FALSE)</f>
        <v>0</v>
      </c>
    </row>
    <row r="158" spans="2:6">
      <c r="B158" s="264" t="s">
        <v>976</v>
      </c>
      <c r="C158" s="265" t="s">
        <v>1241</v>
      </c>
      <c r="D158" s="266" t="str">
        <f>+VLOOKUP($C158,'Proyectos Base digitable'!$G$2:$BB$325,9,FALSE)</f>
        <v>Terminado</v>
      </c>
      <c r="E158" s="268">
        <f>+VLOOKUP($C158,'Proyectos Base digitable'!$G$2:$BB$325,19,FALSE)</f>
        <v>45650</v>
      </c>
      <c r="F158" s="267">
        <f>+VLOOKUP($C158,'Proyectos Base digitable'!$G$2:$BB$325,46,FALSE)</f>
        <v>0</v>
      </c>
    </row>
    <row r="159" spans="2:6">
      <c r="B159" s="264" t="s">
        <v>976</v>
      </c>
      <c r="C159" s="265" t="s">
        <v>1246</v>
      </c>
      <c r="D159" s="266" t="str">
        <f>+VLOOKUP($C159,'Proyectos Base digitable'!$G$2:$BB$325,9,FALSE)</f>
        <v>En_Ejecución</v>
      </c>
      <c r="E159" s="268">
        <f>+VLOOKUP($C159,'Proyectos Base digitable'!$G$2:$BB$325,19,FALSE)</f>
        <v>45657</v>
      </c>
      <c r="F159" s="267">
        <f>+VLOOKUP($C159,'Proyectos Base digitable'!$G$2:$BB$325,46,FALSE)</f>
        <v>0</v>
      </c>
    </row>
    <row r="160" spans="2:6">
      <c r="B160" s="264" t="s">
        <v>976</v>
      </c>
      <c r="C160" s="265" t="s">
        <v>2421</v>
      </c>
      <c r="D160" s="266" t="e">
        <f>+VLOOKUP($C160,'Proyectos Base digitable'!$G$2:$BB$325,9,FALSE)</f>
        <v>#N/A</v>
      </c>
      <c r="E160" s="268" t="e">
        <f>+VLOOKUP($C160,'Proyectos Base digitable'!$G$2:$BB$325,19,FALSE)</f>
        <v>#N/A</v>
      </c>
      <c r="F160" s="267" t="e">
        <f>+VLOOKUP($C160,'Proyectos Base digitable'!$G$2:$BB$325,46,FALSE)</f>
        <v>#N/A</v>
      </c>
    </row>
    <row r="161" spans="2:6">
      <c r="B161" s="264" t="s">
        <v>976</v>
      </c>
      <c r="C161" s="265" t="s">
        <v>1258</v>
      </c>
      <c r="D161" s="266" t="str">
        <f>+VLOOKUP($C161,'Proyectos Base digitable'!$G$2:$BB$325,9,FALSE)</f>
        <v>En_Ejecución</v>
      </c>
      <c r="E161" s="268">
        <f>+VLOOKUP($C161,'Proyectos Base digitable'!$G$2:$BB$325,19,FALSE)</f>
        <v>45869</v>
      </c>
      <c r="F161" s="267">
        <f>+VLOOKUP($C161,'Proyectos Base digitable'!$G$2:$BB$325,46,FALSE)</f>
        <v>0</v>
      </c>
    </row>
    <row r="162" spans="2:6">
      <c r="B162" s="264" t="s">
        <v>976</v>
      </c>
      <c r="C162" s="265" t="s">
        <v>1261</v>
      </c>
      <c r="D162" s="266" t="str">
        <f>+VLOOKUP($C162,'Proyectos Base digitable'!$G$2:$BB$325,9,FALSE)</f>
        <v>Terminado</v>
      </c>
      <c r="E162" s="268">
        <f>+VLOOKUP($C162,'Proyectos Base digitable'!$G$2:$BB$325,19,FALSE)</f>
        <v>45869</v>
      </c>
      <c r="F162" s="267">
        <f>+VLOOKUP($C162,'Proyectos Base digitable'!$G$2:$BB$325,46,FALSE)</f>
        <v>0</v>
      </c>
    </row>
    <row r="163" spans="2:6">
      <c r="B163" s="264" t="s">
        <v>976</v>
      </c>
      <c r="C163" s="265" t="s">
        <v>1266</v>
      </c>
      <c r="D163" s="266" t="str">
        <f>+VLOOKUP($C163,'Proyectos Base digitable'!$G$2:$BB$325,9,FALSE)</f>
        <v>En_Ejecución</v>
      </c>
      <c r="E163" s="268">
        <f>+VLOOKUP($C163,'Proyectos Base digitable'!$G$2:$BB$325,19,FALSE)</f>
        <v>45869</v>
      </c>
      <c r="F163" s="267">
        <f>+VLOOKUP($C163,'Proyectos Base digitable'!$G$2:$BB$325,46,FALSE)</f>
        <v>0</v>
      </c>
    </row>
    <row r="164" spans="2:6">
      <c r="B164" s="264" t="s">
        <v>976</v>
      </c>
      <c r="C164" s="265" t="s">
        <v>1269</v>
      </c>
      <c r="D164" s="266" t="str">
        <f>+VLOOKUP($C164,'Proyectos Base digitable'!$G$2:$BB$325,9,FALSE)</f>
        <v>En_Ejecución</v>
      </c>
      <c r="E164" s="268">
        <f>+VLOOKUP($C164,'Proyectos Base digitable'!$G$2:$BB$325,19,FALSE)</f>
        <v>45869</v>
      </c>
      <c r="F164" s="267">
        <f>+VLOOKUP($C164,'Proyectos Base digitable'!$G$2:$BB$325,46,FALSE)</f>
        <v>0</v>
      </c>
    </row>
    <row r="165" spans="2:6">
      <c r="B165" s="264" t="s">
        <v>976</v>
      </c>
      <c r="C165" s="265" t="s">
        <v>1273</v>
      </c>
      <c r="D165" s="266" t="str">
        <f>+VLOOKUP($C165,'Proyectos Base digitable'!$G$2:$BB$325,9,FALSE)</f>
        <v>Terminado</v>
      </c>
      <c r="E165" s="268">
        <f>+VLOOKUP($C165,'Proyectos Base digitable'!$G$2:$BB$325,19,FALSE)</f>
        <v>45869</v>
      </c>
      <c r="F165" s="267">
        <f>+VLOOKUP($C165,'Proyectos Base digitable'!$G$2:$BB$325,46,FALSE)</f>
        <v>0</v>
      </c>
    </row>
    <row r="166" spans="2:6">
      <c r="B166" s="264" t="s">
        <v>976</v>
      </c>
      <c r="C166" s="265" t="s">
        <v>1277</v>
      </c>
      <c r="D166" s="266" t="str">
        <f>+VLOOKUP($C166,'Proyectos Base digitable'!$G$2:$BB$325,9,FALSE)</f>
        <v>Terminado</v>
      </c>
      <c r="E166" s="268">
        <f>+VLOOKUP($C166,'Proyectos Base digitable'!$G$2:$BB$325,19,FALSE)</f>
        <v>45869</v>
      </c>
      <c r="F166" s="267">
        <f>+VLOOKUP($C166,'Proyectos Base digitable'!$G$2:$BB$325,46,FALSE)</f>
        <v>0</v>
      </c>
    </row>
    <row r="167" spans="2:6">
      <c r="B167" s="264" t="s">
        <v>1502</v>
      </c>
      <c r="C167" s="265" t="s">
        <v>1516</v>
      </c>
      <c r="D167" s="266" t="str">
        <f>+VLOOKUP($C167,'Proyectos Base digitable'!$G$2:$BB$325,9,FALSE)</f>
        <v>En_Ejecución</v>
      </c>
      <c r="E167" s="268">
        <f>+VLOOKUP($C167,'Proyectos Base digitable'!$G$2:$BB$325,19,FALSE)</f>
        <v>46022</v>
      </c>
      <c r="F167" s="267">
        <f>+VLOOKUP($C167,'Proyectos Base digitable'!$G$2:$BB$325,46,FALSE)</f>
        <v>0</v>
      </c>
    </row>
    <row r="168" spans="2:6">
      <c r="B168" s="264" t="s">
        <v>405</v>
      </c>
      <c r="C168" s="265" t="s">
        <v>2422</v>
      </c>
      <c r="D168" s="266" t="e">
        <f>+VLOOKUP($C168,'Proyectos Base digitable'!$G$2:$BB$325,9,FALSE)</f>
        <v>#N/A</v>
      </c>
      <c r="E168" s="268" t="e">
        <f>+VLOOKUP($C168,'Proyectos Base digitable'!$G$2:$BB$325,19,FALSE)</f>
        <v>#N/A</v>
      </c>
      <c r="F168" s="267"/>
    </row>
    <row r="169" spans="2:6">
      <c r="B169" s="264" t="s">
        <v>1502</v>
      </c>
      <c r="C169" s="265" t="s">
        <v>1526</v>
      </c>
      <c r="D169" s="266" t="str">
        <f>+VLOOKUP($C169,'Proyectos Base digitable'!$G$2:$BB$325,9,FALSE)</f>
        <v>Terminado</v>
      </c>
      <c r="E169" s="268">
        <f>+VLOOKUP($C169,'Proyectos Base digitable'!$G$2:$BB$325,19,FALSE)</f>
        <v>45583</v>
      </c>
      <c r="F169" s="267">
        <f>+VLOOKUP($C169,'Proyectos Base digitable'!$G$2:$BB$325,46,FALSE)</f>
        <v>0</v>
      </c>
    </row>
    <row r="170" spans="2:6">
      <c r="B170" s="264" t="s">
        <v>405</v>
      </c>
      <c r="C170" s="265" t="s">
        <v>2423</v>
      </c>
      <c r="D170" s="266" t="e">
        <f>+VLOOKUP($C170,'Proyectos Base digitable'!$G$2:$BB$325,9,FALSE)</f>
        <v>#N/A</v>
      </c>
      <c r="E170" s="268" t="e">
        <f>+VLOOKUP($C170,'Proyectos Base digitable'!$G$2:$BB$325,19,FALSE)</f>
        <v>#N/A</v>
      </c>
      <c r="F170" s="267"/>
    </row>
    <row r="171" spans="2:6">
      <c r="B171" s="264" t="s">
        <v>1502</v>
      </c>
      <c r="C171" s="265" t="s">
        <v>1538</v>
      </c>
      <c r="D171" s="266" t="str">
        <f>+VLOOKUP($C171,'Proyectos Base digitable'!$G$2:$BB$325,9,FALSE)</f>
        <v>En_Ejecución</v>
      </c>
      <c r="E171" s="268">
        <f>+VLOOKUP($C171,'Proyectos Base digitable'!$G$2:$BB$325,19,FALSE)</f>
        <v>45747</v>
      </c>
      <c r="F171" s="267">
        <f>+VLOOKUP($C171,'Proyectos Base digitable'!$G$2:$BB$325,46,FALSE)</f>
        <v>0</v>
      </c>
    </row>
    <row r="172" spans="2:6">
      <c r="B172" s="264" t="s">
        <v>1573</v>
      </c>
      <c r="C172" s="265" t="s">
        <v>1577</v>
      </c>
      <c r="D172" s="266" t="str">
        <f>+VLOOKUP($C172,'Proyectos Base digitable'!$G$2:$BB$325,9,FALSE)</f>
        <v>En_Ejecución</v>
      </c>
      <c r="E172" s="268">
        <f>+VLOOKUP($C172,'Proyectos Base digitable'!$G$2:$BB$325,19,FALSE)</f>
        <v>45657</v>
      </c>
      <c r="F172" s="267">
        <f>+VLOOKUP($C172,'Proyectos Base digitable'!$G$2:$BB$325,46,FALSE)</f>
        <v>0</v>
      </c>
    </row>
    <row r="173" spans="2:6">
      <c r="B173" s="264" t="s">
        <v>1573</v>
      </c>
      <c r="C173" s="265" t="s">
        <v>1617</v>
      </c>
      <c r="D173" s="266" t="str">
        <f>+VLOOKUP($C173,'Proyectos Base digitable'!$G$2:$BB$325,9,FALSE)</f>
        <v>Terminado</v>
      </c>
      <c r="E173" s="268">
        <f>+VLOOKUP($C173,'Proyectos Base digitable'!$G$2:$BB$325,19,FALSE)</f>
        <v>45657</v>
      </c>
      <c r="F173" s="267">
        <f>+VLOOKUP($C173,'Proyectos Base digitable'!$G$2:$BB$325,46,FALSE)</f>
        <v>0</v>
      </c>
    </row>
    <row r="174" spans="2:6">
      <c r="B174" s="264" t="s">
        <v>1573</v>
      </c>
      <c r="C174" s="265" t="s">
        <v>1621</v>
      </c>
      <c r="D174" s="266" t="str">
        <f>+VLOOKUP($C174,'Proyectos Base digitable'!$G$2:$BB$325,9,FALSE)</f>
        <v>Terminado</v>
      </c>
      <c r="E174" s="268">
        <f>+VLOOKUP($C174,'Proyectos Base digitable'!$G$2:$BB$325,19,FALSE)</f>
        <v>45657</v>
      </c>
      <c r="F174" s="267">
        <f>+VLOOKUP($C174,'Proyectos Base digitable'!$G$2:$BB$325,46,FALSE)</f>
        <v>0</v>
      </c>
    </row>
    <row r="175" spans="2:6">
      <c r="B175" s="264" t="s">
        <v>1573</v>
      </c>
      <c r="C175" s="265" t="s">
        <v>1627</v>
      </c>
      <c r="D175" s="266" t="str">
        <f>+VLOOKUP($C175,'Proyectos Base digitable'!$G$2:$BB$325,9,FALSE)</f>
        <v>Terminado</v>
      </c>
      <c r="E175" s="268">
        <f>+VLOOKUP($C175,'Proyectos Base digitable'!$G$2:$BB$325,19,FALSE)</f>
        <v>45657</v>
      </c>
      <c r="F175" s="267">
        <f>+VLOOKUP($C175,'Proyectos Base digitable'!$G$2:$BB$325,46,FALSE)</f>
        <v>0</v>
      </c>
    </row>
    <row r="176" spans="2:6">
      <c r="B176" s="264" t="s">
        <v>1573</v>
      </c>
      <c r="C176" s="265" t="s">
        <v>1630</v>
      </c>
      <c r="D176" s="266" t="str">
        <f>+VLOOKUP($C176,'Proyectos Base digitable'!$G$2:$BB$325,9,FALSE)</f>
        <v>En_Ejecución</v>
      </c>
      <c r="E176" s="268">
        <f>+VLOOKUP($C176,'Proyectos Base digitable'!$G$2:$BB$325,19,FALSE)</f>
        <v>45657</v>
      </c>
      <c r="F176" s="267">
        <f>+VLOOKUP($C176,'Proyectos Base digitable'!$G$2:$BB$325,46,FALSE)</f>
        <v>0</v>
      </c>
    </row>
    <row r="177" spans="2:6">
      <c r="B177" s="264" t="s">
        <v>1573</v>
      </c>
      <c r="C177" s="265" t="s">
        <v>1635</v>
      </c>
      <c r="D177" s="266" t="str">
        <f>+VLOOKUP($C177,'Proyectos Base digitable'!$G$2:$BB$325,9,FALSE)</f>
        <v>En_Ejecución</v>
      </c>
      <c r="E177" s="268">
        <f>+VLOOKUP($C177,'Proyectos Base digitable'!$G$2:$BB$325,19,FALSE)</f>
        <v>45657</v>
      </c>
      <c r="F177" s="267">
        <f>+VLOOKUP($C177,'Proyectos Base digitable'!$G$2:$BB$325,46,FALSE)</f>
        <v>0</v>
      </c>
    </row>
    <row r="178" spans="2:6">
      <c r="B178" s="264" t="s">
        <v>1573</v>
      </c>
      <c r="C178" s="265" t="s">
        <v>1641</v>
      </c>
      <c r="D178" s="266" t="str">
        <f>+VLOOKUP($C178,'Proyectos Base digitable'!$G$2:$BB$325,9,FALSE)</f>
        <v>En_Ejecución</v>
      </c>
      <c r="E178" s="268">
        <f>+VLOOKUP($C178,'Proyectos Base digitable'!$G$2:$BB$325,19,FALSE)</f>
        <v>45657</v>
      </c>
      <c r="F178" s="267">
        <f>+VLOOKUP($C178,'Proyectos Base digitable'!$G$2:$BB$325,46,FALSE)</f>
        <v>0</v>
      </c>
    </row>
    <row r="179" spans="2:6">
      <c r="B179" s="264" t="s">
        <v>1573</v>
      </c>
      <c r="C179" s="265" t="s">
        <v>1646</v>
      </c>
      <c r="D179" s="266" t="str">
        <f>+VLOOKUP($C179,'Proyectos Base digitable'!$G$2:$BB$325,9,FALSE)</f>
        <v>Terminado</v>
      </c>
      <c r="E179" s="268">
        <f>+VLOOKUP($C179,'Proyectos Base digitable'!$G$2:$BB$325,19,FALSE)</f>
        <v>45657</v>
      </c>
      <c r="F179" s="267">
        <f>+VLOOKUP($C179,'Proyectos Base digitable'!$G$2:$BB$325,46,FALSE)</f>
        <v>0</v>
      </c>
    </row>
    <row r="180" spans="2:6">
      <c r="B180" s="264" t="s">
        <v>1573</v>
      </c>
      <c r="C180" s="265" t="s">
        <v>1651</v>
      </c>
      <c r="D180" s="266" t="str">
        <f>+VLOOKUP($C180,'Proyectos Base digitable'!$G$2:$BB$325,9,FALSE)</f>
        <v>Terminado</v>
      </c>
      <c r="E180" s="268">
        <f>+VLOOKUP($C180,'Proyectos Base digitable'!$G$2:$BB$325,19,FALSE)</f>
        <v>45657</v>
      </c>
      <c r="F180" s="267">
        <f>+VLOOKUP($C180,'Proyectos Base digitable'!$G$2:$BB$325,46,FALSE)</f>
        <v>0</v>
      </c>
    </row>
    <row r="181" spans="2:6">
      <c r="B181" s="264" t="s">
        <v>405</v>
      </c>
      <c r="C181" s="265" t="s">
        <v>2424</v>
      </c>
      <c r="D181" s="266" t="e">
        <f>+VLOOKUP($C181,'Proyectos Base digitable'!$G$2:$BB$325,9,FALSE)</f>
        <v>#N/A</v>
      </c>
      <c r="E181" s="268" t="e">
        <f>+VLOOKUP($C181,'Proyectos Base digitable'!$G$2:$BB$325,19,FALSE)</f>
        <v>#N/A</v>
      </c>
      <c r="F181" s="267"/>
    </row>
    <row r="182" spans="2:6">
      <c r="B182" s="264" t="s">
        <v>405</v>
      </c>
      <c r="C182" s="265" t="s">
        <v>2425</v>
      </c>
      <c r="D182" s="266" t="e">
        <f>+VLOOKUP($C182,'Proyectos Base digitable'!$G$2:$BB$325,9,FALSE)</f>
        <v>#N/A</v>
      </c>
      <c r="E182" s="268" t="e">
        <f>+VLOOKUP($C182,'Proyectos Base digitable'!$G$2:$BB$325,19,FALSE)</f>
        <v>#N/A</v>
      </c>
      <c r="F182" s="267"/>
    </row>
    <row r="183" spans="2:6">
      <c r="B183" s="264" t="s">
        <v>405</v>
      </c>
      <c r="C183" s="265" t="s">
        <v>765</v>
      </c>
      <c r="D183" s="266" t="str">
        <f>+VLOOKUP($C183,'Proyectos Base digitable'!$G$2:$BB$325,9,FALSE)</f>
        <v>En_Ejecución</v>
      </c>
      <c r="E183" s="268">
        <f>+VLOOKUP($C183,'Proyectos Base digitable'!$G$2:$BB$325,19,FALSE)</f>
        <v>45961</v>
      </c>
      <c r="F183" s="267"/>
    </row>
    <row r="184" spans="2:6">
      <c r="B184" s="264" t="s">
        <v>405</v>
      </c>
      <c r="C184" s="265" t="s">
        <v>779</v>
      </c>
      <c r="D184" s="266" t="str">
        <f>+VLOOKUP($C184,'Proyectos Base digitable'!$G$2:$BB$325,9,FALSE)</f>
        <v>En_Ejecución</v>
      </c>
      <c r="E184" s="268">
        <f>+VLOOKUP($C184,'Proyectos Base digitable'!$G$2:$BB$325,19,FALSE)</f>
        <v>46022</v>
      </c>
      <c r="F184" s="267"/>
    </row>
    <row r="185" spans="2:6">
      <c r="B185" s="264" t="s">
        <v>1573</v>
      </c>
      <c r="C185" s="265" t="s">
        <v>1672</v>
      </c>
      <c r="D185" s="266" t="str">
        <f>+VLOOKUP($C185,'Proyectos Base digitable'!$G$2:$BB$325,9,FALSE)</f>
        <v>Suspendido</v>
      </c>
      <c r="E185" s="268">
        <f>+VLOOKUP($C185,'Proyectos Base digitable'!$G$2:$BB$325,19,FALSE)</f>
        <v>45433</v>
      </c>
      <c r="F185" s="267">
        <f>+VLOOKUP($C185,'Proyectos Base digitable'!$G$2:$BB$325,46,FALSE)</f>
        <v>0</v>
      </c>
    </row>
    <row r="186" spans="2:6">
      <c r="B186" s="264" t="s">
        <v>405</v>
      </c>
      <c r="C186" s="265" t="s">
        <v>785</v>
      </c>
      <c r="D186" s="266" t="str">
        <f>+VLOOKUP($C186,'Proyectos Base digitable'!$G$2:$BB$325,9,FALSE)</f>
        <v>En_Ejecución</v>
      </c>
      <c r="E186" s="268">
        <f>+VLOOKUP($C186,'Proyectos Base digitable'!$G$2:$BB$325,19,FALSE)</f>
        <v>45991</v>
      </c>
      <c r="F186" s="267"/>
    </row>
    <row r="187" spans="2:6">
      <c r="B187" s="264" t="s">
        <v>1573</v>
      </c>
      <c r="C187" s="265" t="s">
        <v>1681</v>
      </c>
      <c r="D187" s="266" t="str">
        <f>+VLOOKUP($C187,'Proyectos Base digitable'!$G$2:$BB$325,9,FALSE)</f>
        <v>Suspendido</v>
      </c>
      <c r="E187" s="268">
        <f>+VLOOKUP($C187,'Proyectos Base digitable'!$G$2:$BB$325,19,FALSE)</f>
        <v>45433</v>
      </c>
      <c r="F187" s="267">
        <f>+VLOOKUP($C187,'Proyectos Base digitable'!$G$2:$BB$325,46,FALSE)</f>
        <v>0</v>
      </c>
    </row>
    <row r="188" spans="2:6">
      <c r="B188" s="264" t="s">
        <v>405</v>
      </c>
      <c r="C188" s="265" t="s">
        <v>791</v>
      </c>
      <c r="D188" s="266" t="str">
        <f>+VLOOKUP($C188,'Proyectos Base digitable'!$G$2:$BB$325,9,FALSE)</f>
        <v>En_Ejecución</v>
      </c>
      <c r="E188" s="268">
        <f>+VLOOKUP($C188,'Proyectos Base digitable'!$G$2:$BB$325,19,FALSE)</f>
        <v>45991</v>
      </c>
      <c r="F188" s="267"/>
    </row>
    <row r="189" spans="2:6">
      <c r="B189" s="264" t="s">
        <v>1573</v>
      </c>
      <c r="C189" s="265" t="s">
        <v>1689</v>
      </c>
      <c r="D189" s="266" t="str">
        <f>+VLOOKUP($C189,'Proyectos Base digitable'!$G$2:$BB$325,9,FALSE)</f>
        <v>Suspendido</v>
      </c>
      <c r="E189" s="268">
        <f>+VLOOKUP($C189,'Proyectos Base digitable'!$G$2:$BB$325,19,FALSE)</f>
        <v>45433</v>
      </c>
      <c r="F189" s="267">
        <f>+VLOOKUP($C189,'Proyectos Base digitable'!$G$2:$BB$325,46,FALSE)</f>
        <v>0</v>
      </c>
    </row>
    <row r="190" spans="2:6">
      <c r="B190" s="264" t="s">
        <v>405</v>
      </c>
      <c r="C190" s="265" t="s">
        <v>797</v>
      </c>
      <c r="D190" s="266" t="str">
        <f>+VLOOKUP($C190,'Proyectos Base digitable'!$G$2:$BB$325,9,FALSE)</f>
        <v>En_Ejecución</v>
      </c>
      <c r="E190" s="268">
        <f>+VLOOKUP($C190,'Proyectos Base digitable'!$G$2:$BB$325,19,FALSE)</f>
        <v>46022</v>
      </c>
      <c r="F190" s="267"/>
    </row>
    <row r="191" spans="2:6">
      <c r="B191" s="264" t="s">
        <v>405</v>
      </c>
      <c r="C191" s="265" t="s">
        <v>807</v>
      </c>
      <c r="D191" s="266" t="str">
        <f>+VLOOKUP($C191,'Proyectos Base digitable'!$G$2:$BB$325,9,FALSE)</f>
        <v>En_Ejecución</v>
      </c>
      <c r="E191" s="268">
        <f>+VLOOKUP($C191,'Proyectos Base digitable'!$G$2:$BB$325,19,FALSE)</f>
        <v>46022</v>
      </c>
      <c r="F191" s="267"/>
    </row>
    <row r="192" spans="2:6">
      <c r="B192" s="264" t="s">
        <v>405</v>
      </c>
      <c r="C192" s="265" t="s">
        <v>813</v>
      </c>
      <c r="D192" s="266" t="str">
        <f>+VLOOKUP($C192,'Proyectos Base digitable'!$G$2:$BB$325,9,FALSE)</f>
        <v>En_Ejecución</v>
      </c>
      <c r="E192" s="268">
        <f>+VLOOKUP($C192,'Proyectos Base digitable'!$G$2:$BB$325,19,FALSE)</f>
        <v>45900</v>
      </c>
      <c r="F192" s="267"/>
    </row>
    <row r="193" spans="2:6">
      <c r="B193" s="264" t="s">
        <v>1573</v>
      </c>
      <c r="C193" s="265" t="s">
        <v>1859</v>
      </c>
      <c r="D193" s="266" t="str">
        <f>+VLOOKUP($C193,'Proyectos Base digitable'!$G$2:$BB$325,9,FALSE)</f>
        <v>En_Ejecución</v>
      </c>
      <c r="E193" s="268">
        <f>+VLOOKUP($C193,'Proyectos Base digitable'!$G$2:$BB$325,19,FALSE)</f>
        <v>46387</v>
      </c>
      <c r="F193" s="267">
        <f>+VLOOKUP($C193,'Proyectos Base digitable'!$G$2:$BB$325,46,FALSE)</f>
        <v>0</v>
      </c>
    </row>
    <row r="194" spans="2:6">
      <c r="B194" s="264" t="s">
        <v>405</v>
      </c>
      <c r="C194" s="265" t="s">
        <v>821</v>
      </c>
      <c r="D194" s="266" t="str">
        <f>+VLOOKUP($C194,'Proyectos Base digitable'!$G$2:$BB$325,9,FALSE)</f>
        <v>En_Ejecución</v>
      </c>
      <c r="E194" s="268">
        <f>+VLOOKUP($C194,'Proyectos Base digitable'!$G$2:$BB$325,19,FALSE)</f>
        <v>46022</v>
      </c>
      <c r="F194" s="267"/>
    </row>
  </sheetData>
  <autoFilter ref="B3:F36" xr:uid="{F8FD6920-C6BF-467B-A762-3EFEE7B04B41}">
    <sortState xmlns:xlrd2="http://schemas.microsoft.com/office/spreadsheetml/2017/richdata2" ref="B4:F36">
      <sortCondition ref="E3:E36"/>
    </sortState>
  </autoFilter>
  <mergeCells count="2">
    <mergeCell ref="B2:F2"/>
    <mergeCell ref="B42:F42"/>
  </mergeCells>
  <pageMargins left="0.70866141732283472" right="0.70866141732283472" top="0.74803149606299213" bottom="0.74803149606299213" header="0.31496062992125984" footer="0.31496062992125984"/>
  <pageSetup scale="5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07eb4ba-5c51-46e4-ab57-16bb46c422b8" xsi:nil="true"/>
    <lcf76f155ced4ddcb4097134ff3c332f xmlns="f36d83da-8246-45a3-ad71-00bf89b4630c">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966445CD3FED84EAD481AFA5DD8557D" ma:contentTypeVersion="16" ma:contentTypeDescription="Crear nuevo documento." ma:contentTypeScope="" ma:versionID="ce838d6666a1af3a15afbca2823505ba">
  <xsd:schema xmlns:xsd="http://www.w3.org/2001/XMLSchema" xmlns:xs="http://www.w3.org/2001/XMLSchema" xmlns:p="http://schemas.microsoft.com/office/2006/metadata/properties" xmlns:ns2="f36d83da-8246-45a3-ad71-00bf89b4630c" xmlns:ns3="807eb4ba-5c51-46e4-ab57-16bb46c422b8" targetNamespace="http://schemas.microsoft.com/office/2006/metadata/properties" ma:root="true" ma:fieldsID="a2363810e5b5ab883fadab58a22725c6" ns2:_="" ns3:_="">
    <xsd:import namespace="f36d83da-8246-45a3-ad71-00bf89b4630c"/>
    <xsd:import namespace="807eb4ba-5c51-46e4-ab57-16bb46c422b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6d83da-8246-45a3-ad71-00bf89b46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4deff92-7be5-4517-9210-2eaa34ab19b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7eb4ba-5c51-46e4-ab57-16bb46c422b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e0d55f-65c8-4888-8c83-ee2935478e84}" ma:internalName="TaxCatchAll" ma:showField="CatchAllData" ma:web="807eb4ba-5c51-46e4-ab57-16bb46c422b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2C055CE-AF21-48B4-BE47-1D34DBD14721}">
  <ds:schemaRefs>
    <ds:schemaRef ds:uri="http://schemas.openxmlformats.org/package/2006/metadata/core-properties"/>
    <ds:schemaRef ds:uri="807eb4ba-5c51-46e4-ab57-16bb46c422b8"/>
    <ds:schemaRef ds:uri="http://schemas.microsoft.com/office/2006/documentManagement/types"/>
    <ds:schemaRef ds:uri="f36d83da-8246-45a3-ad71-00bf89b4630c"/>
    <ds:schemaRef ds:uri="http://purl.org/dc/dcmitype/"/>
    <ds:schemaRef ds:uri="http://www.w3.org/XML/1998/namespace"/>
    <ds:schemaRef ds:uri="http://purl.org/dc/elements/1.1/"/>
    <ds:schemaRef ds:uri="http://schemas.microsoft.com/office/infopath/2007/PartnerControls"/>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3806933D-5F71-4E67-8348-3B7B1A2383E0}">
  <ds:schemaRefs>
    <ds:schemaRef ds:uri="http://schemas.microsoft.com/sharepoint/v3/contenttype/forms"/>
  </ds:schemaRefs>
</ds:datastoreItem>
</file>

<file path=customXml/itemProps3.xml><?xml version="1.0" encoding="utf-8"?>
<ds:datastoreItem xmlns:ds="http://schemas.openxmlformats.org/officeDocument/2006/customXml" ds:itemID="{15939110-3E7E-4C54-880F-ECF6081159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6d83da-8246-45a3-ad71-00bf89b4630c"/>
    <ds:schemaRef ds:uri="807eb4ba-5c51-46e4-ab57-16bb46c422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vt:i4>
      </vt:variant>
    </vt:vector>
  </HeadingPairs>
  <TitlesOfParts>
    <vt:vector size="11" baseType="lpstr">
      <vt:lpstr>Contratos Marco</vt:lpstr>
      <vt:lpstr>Proyectos Base digitable</vt:lpstr>
      <vt:lpstr>Proyectos</vt:lpstr>
      <vt:lpstr>PD_2024_2027</vt:lpstr>
      <vt:lpstr>Registro Fotografico</vt:lpstr>
      <vt:lpstr>Diccionario de Conceptos</vt:lpstr>
      <vt:lpstr>Listas</vt:lpstr>
      <vt:lpstr>Dinámicas</vt:lpstr>
      <vt:lpstr>Reporte</vt:lpstr>
      <vt:lpstr>Hoja1</vt:lpstr>
      <vt:lpstr>Hoja1!Títulos_a_imprimir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Ramon Quintero Barzallo</dc:creator>
  <cp:keywords/>
  <dc:description/>
  <cp:lastModifiedBy>Esteban Eduardo Gutierrez Polo</cp:lastModifiedBy>
  <cp:revision/>
  <dcterms:created xsi:type="dcterms:W3CDTF">2021-09-27T21:01:15Z</dcterms:created>
  <dcterms:modified xsi:type="dcterms:W3CDTF">2025-10-28T14:27:30Z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0x0101000966445CD3FED84EAD481AFA5DD8557D</vt:lpwstr>
  </property>
  <property fmtid="{D5CDD505-2E9C-101B-9397-08002B2CF9AE}" pid="3" name="MediaServiceImageTags">
    <vt:lpwstr/>
  </property>
  <property fmtid="{D5CDD505-2E9C-101B-9397-08002B2CF9AE}" pid="4" name="MSIP_Label_f535a957-b352-4c2d-aa57-80f72177303d_Enabled">
    <vt:lpwstr>true</vt:lpwstr>
  </property>
  <property fmtid="{D5CDD505-2E9C-101B-9397-08002B2CF9AE}" pid="5" name="MSIP_Label_f535a957-b352-4c2d-aa57-80f72177303d_SetDate">
    <vt:lpwstr>2025-10-28T14:27:29Z</vt:lpwstr>
  </property>
  <property fmtid="{D5CDD505-2E9C-101B-9397-08002B2CF9AE}" pid="6" name="MSIP_Label_f535a957-b352-4c2d-aa57-80f72177303d_Method">
    <vt:lpwstr>Standard</vt:lpwstr>
  </property>
  <property fmtid="{D5CDD505-2E9C-101B-9397-08002B2CF9AE}" pid="7" name="MSIP_Label_f535a957-b352-4c2d-aa57-80f72177303d_Name">
    <vt:lpwstr>defa4170-0d19-0005-0004-bc88714345d2</vt:lpwstr>
  </property>
  <property fmtid="{D5CDD505-2E9C-101B-9397-08002B2CF9AE}" pid="8" name="MSIP_Label_f535a957-b352-4c2d-aa57-80f72177303d_SiteId">
    <vt:lpwstr>34303541-74ec-4d4a-8c5a-8049d2fd6ce6</vt:lpwstr>
  </property>
  <property fmtid="{D5CDD505-2E9C-101B-9397-08002B2CF9AE}" pid="9" name="MSIP_Label_f535a957-b352-4c2d-aa57-80f72177303d_ActionId">
    <vt:lpwstr>dfc26c64-e42a-4b82-82b8-2ff4e98ec840</vt:lpwstr>
  </property>
  <property fmtid="{D5CDD505-2E9C-101B-9397-08002B2CF9AE}" pid="10" name="MSIP_Label_f535a957-b352-4c2d-aa57-80f72177303d_ContentBits">
    <vt:lpwstr>0</vt:lpwstr>
  </property>
  <property fmtid="{D5CDD505-2E9C-101B-9397-08002B2CF9AE}" pid="11" name="MSIP_Label_f535a957-b352-4c2d-aa57-80f72177303d_Tag">
    <vt:lpwstr>10, 3, 0, 1</vt:lpwstr>
  </property>
</Properties>
</file>